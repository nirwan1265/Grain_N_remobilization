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ye.brugler\Box\RNA_New_Framework_for_N_Stress_Paper\"/>
    </mc:Choice>
  </mc:AlternateContent>
  <xr:revisionPtr revIDLastSave="0" documentId="13_ncr:1_{DA63D930-47C5-48B8-9F2C-162BA13EB478}" xr6:coauthVersionLast="47" xr6:coauthVersionMax="47" xr10:uidLastSave="{00000000-0000-0000-0000-000000000000}"/>
  <bookViews>
    <workbookView xWindow="28680" yWindow="-120" windowWidth="29040" windowHeight="15720" activeTab="3" xr2:uid="{024199E4-F496-446F-8267-DD0B52BC85DE}"/>
  </bookViews>
  <sheets>
    <sheet name="2023 V10" sheetId="1" r:id="rId1"/>
    <sheet name="2022 V10" sheetId="2" r:id="rId2"/>
    <sheet name="2022 V6" sheetId="3" r:id="rId3"/>
    <sheet name="2023 V6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4" l="1"/>
  <c r="G163" i="4"/>
  <c r="F163" i="4"/>
  <c r="E163" i="4"/>
  <c r="H163" i="4" s="1"/>
  <c r="D163" i="4"/>
  <c r="C163" i="4"/>
  <c r="G69" i="4"/>
  <c r="F69" i="4"/>
  <c r="E69" i="4"/>
  <c r="H69" i="4" s="1"/>
  <c r="D69" i="4"/>
  <c r="C69" i="4"/>
  <c r="G68" i="4"/>
  <c r="F68" i="4"/>
  <c r="E68" i="4"/>
  <c r="H68" i="4" s="1"/>
  <c r="D68" i="4"/>
  <c r="C68" i="4"/>
  <c r="G67" i="4"/>
  <c r="F67" i="4"/>
  <c r="E67" i="4"/>
  <c r="D67" i="4"/>
  <c r="C67" i="4"/>
  <c r="G66" i="4"/>
  <c r="F66" i="4"/>
  <c r="E66" i="4"/>
  <c r="H66" i="4" s="1"/>
  <c r="D66" i="4"/>
  <c r="C66" i="4"/>
  <c r="G65" i="4"/>
  <c r="F65" i="4"/>
  <c r="E65" i="4"/>
  <c r="H65" i="4" s="1"/>
  <c r="D65" i="4"/>
  <c r="C65" i="4"/>
  <c r="G64" i="4"/>
  <c r="F64" i="4"/>
  <c r="E64" i="4"/>
  <c r="H64" i="4" s="1"/>
  <c r="D64" i="4"/>
  <c r="C64" i="4"/>
  <c r="G63" i="4"/>
  <c r="F63" i="4"/>
  <c r="E63" i="4"/>
  <c r="H63" i="4" s="1"/>
  <c r="D63" i="4"/>
  <c r="C63" i="4"/>
  <c r="G62" i="4"/>
  <c r="F62" i="4"/>
  <c r="E62" i="4"/>
  <c r="D62" i="4"/>
  <c r="C62" i="4"/>
  <c r="H61" i="4"/>
  <c r="G61" i="4"/>
  <c r="F61" i="4"/>
  <c r="E61" i="4"/>
  <c r="D61" i="4"/>
  <c r="C61" i="4"/>
  <c r="G60" i="4"/>
  <c r="F60" i="4"/>
  <c r="E60" i="4"/>
  <c r="H60" i="4" s="1"/>
  <c r="D60" i="4"/>
  <c r="C60" i="4"/>
  <c r="G59" i="4"/>
  <c r="F59" i="4"/>
  <c r="E59" i="4"/>
  <c r="D59" i="4"/>
  <c r="C59" i="4"/>
  <c r="G58" i="4"/>
  <c r="F58" i="4"/>
  <c r="E58" i="4"/>
  <c r="D58" i="4"/>
  <c r="C58" i="4"/>
  <c r="G57" i="4"/>
  <c r="F57" i="4"/>
  <c r="E57" i="4"/>
  <c r="H57" i="4" s="1"/>
  <c r="D57" i="4"/>
  <c r="C57" i="4"/>
  <c r="G56" i="4"/>
  <c r="F56" i="4"/>
  <c r="E56" i="4"/>
  <c r="D56" i="4"/>
  <c r="C56" i="4"/>
  <c r="G55" i="4"/>
  <c r="F55" i="4"/>
  <c r="E55" i="4"/>
  <c r="D55" i="4"/>
  <c r="C55" i="4"/>
  <c r="G54" i="4"/>
  <c r="F54" i="4"/>
  <c r="E54" i="4"/>
  <c r="H54" i="4" s="1"/>
  <c r="D54" i="4"/>
  <c r="C54" i="4"/>
  <c r="G53" i="4"/>
  <c r="F53" i="4"/>
  <c r="E53" i="4"/>
  <c r="H53" i="4" s="1"/>
  <c r="D53" i="4"/>
  <c r="C53" i="4"/>
  <c r="G52" i="4"/>
  <c r="F52" i="4"/>
  <c r="E52" i="4"/>
  <c r="D52" i="4"/>
  <c r="C52" i="4"/>
  <c r="G51" i="4"/>
  <c r="F51" i="4"/>
  <c r="E51" i="4"/>
  <c r="H51" i="4" s="1"/>
  <c r="D51" i="4"/>
  <c r="C51" i="4"/>
  <c r="G50" i="4"/>
  <c r="F50" i="4"/>
  <c r="E50" i="4"/>
  <c r="D50" i="4"/>
  <c r="C50" i="4"/>
  <c r="G49" i="4"/>
  <c r="F49" i="4"/>
  <c r="H49" i="4" s="1"/>
  <c r="E49" i="4"/>
  <c r="D49" i="4"/>
  <c r="C49" i="4"/>
  <c r="G48" i="4"/>
  <c r="F48" i="4"/>
  <c r="E48" i="4"/>
  <c r="H48" i="4" s="1"/>
  <c r="D48" i="4"/>
  <c r="C48" i="4"/>
  <c r="G47" i="4"/>
  <c r="F47" i="4"/>
  <c r="E47" i="4"/>
  <c r="D47" i="4"/>
  <c r="C47" i="4"/>
  <c r="G46" i="4"/>
  <c r="F46" i="4"/>
  <c r="E46" i="4"/>
  <c r="H46" i="4" s="1"/>
  <c r="D46" i="4"/>
  <c r="C46" i="4"/>
  <c r="G45" i="4"/>
  <c r="F45" i="4"/>
  <c r="E45" i="4"/>
  <c r="H45" i="4" s="1"/>
  <c r="D45" i="4"/>
  <c r="C45" i="4"/>
  <c r="G44" i="4"/>
  <c r="F44" i="4"/>
  <c r="E44" i="4"/>
  <c r="D44" i="4"/>
  <c r="C44" i="4"/>
  <c r="G43" i="4"/>
  <c r="F43" i="4"/>
  <c r="E43" i="4"/>
  <c r="H43" i="4" s="1"/>
  <c r="D43" i="4"/>
  <c r="C43" i="4"/>
  <c r="G42" i="4"/>
  <c r="F42" i="4"/>
  <c r="E42" i="4"/>
  <c r="H42" i="4" s="1"/>
  <c r="D42" i="4"/>
  <c r="C42" i="4"/>
  <c r="H41" i="4"/>
  <c r="G41" i="4"/>
  <c r="F41" i="4"/>
  <c r="E41" i="4"/>
  <c r="D41" i="4"/>
  <c r="C41" i="4"/>
  <c r="G40" i="4"/>
  <c r="F40" i="4"/>
  <c r="E40" i="4"/>
  <c r="H40" i="4" s="1"/>
  <c r="D40" i="4"/>
  <c r="C40" i="4"/>
  <c r="G39" i="4"/>
  <c r="F39" i="4"/>
  <c r="E39" i="4"/>
  <c r="H39" i="4" s="1"/>
  <c r="D39" i="4"/>
  <c r="C39" i="4"/>
  <c r="G38" i="4"/>
  <c r="F38" i="4"/>
  <c r="E38" i="4"/>
  <c r="H38" i="4" s="1"/>
  <c r="D38" i="4"/>
  <c r="C38" i="4"/>
  <c r="G37" i="4"/>
  <c r="F37" i="4"/>
  <c r="E37" i="4"/>
  <c r="H37" i="4" s="1"/>
  <c r="D37" i="4"/>
  <c r="C37" i="4"/>
  <c r="G36" i="4"/>
  <c r="F36" i="4"/>
  <c r="E36" i="4"/>
  <c r="H36" i="4" s="1"/>
  <c r="D36" i="4"/>
  <c r="C36" i="4"/>
  <c r="G35" i="4"/>
  <c r="F35" i="4"/>
  <c r="E35" i="4"/>
  <c r="H35" i="4" s="1"/>
  <c r="D35" i="4"/>
  <c r="C35" i="4"/>
  <c r="G34" i="4"/>
  <c r="F34" i="4"/>
  <c r="E34" i="4"/>
  <c r="H34" i="4" s="1"/>
  <c r="D34" i="4"/>
  <c r="C34" i="4"/>
  <c r="G33" i="4"/>
  <c r="F33" i="4"/>
  <c r="E33" i="4"/>
  <c r="H33" i="4" s="1"/>
  <c r="D33" i="4"/>
  <c r="C33" i="4"/>
  <c r="G32" i="4"/>
  <c r="F32" i="4"/>
  <c r="E32" i="4"/>
  <c r="H32" i="4" s="1"/>
  <c r="D32" i="4"/>
  <c r="C32" i="4"/>
  <c r="G31" i="4"/>
  <c r="F31" i="4"/>
  <c r="E31" i="4"/>
  <c r="H31" i="4" s="1"/>
  <c r="D31" i="4"/>
  <c r="C31" i="4"/>
  <c r="G30" i="4"/>
  <c r="F30" i="4"/>
  <c r="E30" i="4"/>
  <c r="D30" i="4"/>
  <c r="C30" i="4"/>
  <c r="H29" i="4"/>
  <c r="G29" i="4"/>
  <c r="F29" i="4"/>
  <c r="E29" i="4"/>
  <c r="D29" i="4"/>
  <c r="C29" i="4"/>
  <c r="G28" i="4"/>
  <c r="F28" i="4"/>
  <c r="E28" i="4"/>
  <c r="H28" i="4" s="1"/>
  <c r="D28" i="4"/>
  <c r="C28" i="4"/>
  <c r="G27" i="4"/>
  <c r="F27" i="4"/>
  <c r="E27" i="4"/>
  <c r="D27" i="4"/>
  <c r="C27" i="4"/>
  <c r="G26" i="4"/>
  <c r="F26" i="4"/>
  <c r="E26" i="4"/>
  <c r="D26" i="4"/>
  <c r="C26" i="4"/>
  <c r="G25" i="4"/>
  <c r="F25" i="4"/>
  <c r="E25" i="4"/>
  <c r="H25" i="4" s="1"/>
  <c r="D25" i="4"/>
  <c r="C25" i="4"/>
  <c r="G24" i="4"/>
  <c r="F24" i="4"/>
  <c r="E24" i="4"/>
  <c r="D24" i="4"/>
  <c r="C24" i="4"/>
  <c r="G23" i="4"/>
  <c r="F23" i="4"/>
  <c r="E23" i="4"/>
  <c r="H23" i="4" s="1"/>
  <c r="D23" i="4"/>
  <c r="C23" i="4"/>
  <c r="G22" i="4"/>
  <c r="F22" i="4"/>
  <c r="E22" i="4"/>
  <c r="H22" i="4" s="1"/>
  <c r="D22" i="4"/>
  <c r="C22" i="4"/>
  <c r="G21" i="4"/>
  <c r="F21" i="4"/>
  <c r="E21" i="4"/>
  <c r="H21" i="4" s="1"/>
  <c r="D21" i="4"/>
  <c r="C21" i="4"/>
  <c r="G20" i="4"/>
  <c r="F20" i="4"/>
  <c r="E20" i="4"/>
  <c r="H20" i="4" s="1"/>
  <c r="D20" i="4"/>
  <c r="C20" i="4"/>
  <c r="G19" i="4"/>
  <c r="F19" i="4"/>
  <c r="E19" i="4"/>
  <c r="D19" i="4"/>
  <c r="C19" i="4"/>
  <c r="G18" i="4"/>
  <c r="F18" i="4"/>
  <c r="E18" i="4"/>
  <c r="D18" i="4"/>
  <c r="C18" i="4"/>
  <c r="G17" i="4"/>
  <c r="F17" i="4"/>
  <c r="E17" i="4"/>
  <c r="H17" i="4" s="1"/>
  <c r="D17" i="4"/>
  <c r="C17" i="4"/>
  <c r="G16" i="4"/>
  <c r="F16" i="4"/>
  <c r="E16" i="4"/>
  <c r="D16" i="4"/>
  <c r="C16" i="4"/>
  <c r="G15" i="4"/>
  <c r="F15" i="4"/>
  <c r="E15" i="4"/>
  <c r="H15" i="4" s="1"/>
  <c r="D15" i="4"/>
  <c r="C15" i="4"/>
  <c r="G14" i="4"/>
  <c r="F14" i="4"/>
  <c r="E14" i="4"/>
  <c r="H14" i="4" s="1"/>
  <c r="D14" i="4"/>
  <c r="C14" i="4"/>
  <c r="G13" i="4"/>
  <c r="F13" i="4"/>
  <c r="E13" i="4"/>
  <c r="H13" i="4" s="1"/>
  <c r="D13" i="4"/>
  <c r="C13" i="4"/>
  <c r="G12" i="4"/>
  <c r="F12" i="4"/>
  <c r="E12" i="4"/>
  <c r="H12" i="4" s="1"/>
  <c r="D12" i="4"/>
  <c r="C12" i="4"/>
  <c r="G11" i="4"/>
  <c r="F11" i="4"/>
  <c r="E11" i="4"/>
  <c r="D11" i="4"/>
  <c r="C11" i="4"/>
  <c r="G10" i="4"/>
  <c r="F10" i="4"/>
  <c r="E10" i="4"/>
  <c r="D10" i="4"/>
  <c r="C10" i="4"/>
  <c r="G9" i="4"/>
  <c r="F9" i="4"/>
  <c r="E9" i="4"/>
  <c r="H9" i="4" s="1"/>
  <c r="D9" i="4"/>
  <c r="C9" i="4"/>
  <c r="G8" i="4"/>
  <c r="F8" i="4"/>
  <c r="E8" i="4"/>
  <c r="D8" i="4"/>
  <c r="C8" i="4"/>
  <c r="G7" i="4"/>
  <c r="F7" i="4"/>
  <c r="E7" i="4"/>
  <c r="H7" i="4" s="1"/>
  <c r="D7" i="4"/>
  <c r="C7" i="4"/>
  <c r="G6" i="4"/>
  <c r="F6" i="4"/>
  <c r="E6" i="4"/>
  <c r="H6" i="4" s="1"/>
  <c r="D6" i="4"/>
  <c r="C6" i="4"/>
  <c r="G5" i="4"/>
  <c r="F5" i="4"/>
  <c r="E5" i="4"/>
  <c r="D5" i="4"/>
  <c r="C5" i="4"/>
  <c r="G4" i="4"/>
  <c r="F4" i="4"/>
  <c r="E4" i="4"/>
  <c r="H4" i="4" s="1"/>
  <c r="D4" i="4"/>
  <c r="C4" i="4"/>
  <c r="G3" i="4"/>
  <c r="F3" i="4"/>
  <c r="E3" i="4"/>
  <c r="D3" i="4"/>
  <c r="C3" i="4"/>
  <c r="G2" i="4"/>
  <c r="F2" i="4"/>
  <c r="E2" i="4"/>
  <c r="D2" i="4"/>
  <c r="C2" i="4"/>
  <c r="G162" i="4"/>
  <c r="F162" i="4"/>
  <c r="E162" i="4"/>
  <c r="H162" i="4" s="1"/>
  <c r="D162" i="4"/>
  <c r="C162" i="4"/>
  <c r="G161" i="4"/>
  <c r="F161" i="4"/>
  <c r="E161" i="4"/>
  <c r="D161" i="4"/>
  <c r="C161" i="4"/>
  <c r="G160" i="4"/>
  <c r="F160" i="4"/>
  <c r="E160" i="4"/>
  <c r="H160" i="4" s="1"/>
  <c r="D160" i="4"/>
  <c r="C160" i="4"/>
  <c r="G159" i="4"/>
  <c r="F159" i="4"/>
  <c r="E159" i="4"/>
  <c r="H159" i="4" s="1"/>
  <c r="D159" i="4"/>
  <c r="C159" i="4"/>
  <c r="G158" i="4"/>
  <c r="F158" i="4"/>
  <c r="E158" i="4"/>
  <c r="H158" i="4" s="1"/>
  <c r="D158" i="4"/>
  <c r="C158" i="4"/>
  <c r="G157" i="4"/>
  <c r="F157" i="4"/>
  <c r="E157" i="4"/>
  <c r="H157" i="4" s="1"/>
  <c r="D157" i="4"/>
  <c r="C157" i="4"/>
  <c r="G156" i="4"/>
  <c r="F156" i="4"/>
  <c r="E156" i="4"/>
  <c r="D156" i="4"/>
  <c r="C156" i="4"/>
  <c r="G155" i="4"/>
  <c r="F155" i="4"/>
  <c r="E155" i="4"/>
  <c r="D155" i="4"/>
  <c r="C155" i="4"/>
  <c r="G154" i="4"/>
  <c r="F154" i="4"/>
  <c r="E154" i="4"/>
  <c r="H154" i="4" s="1"/>
  <c r="D154" i="4"/>
  <c r="C154" i="4"/>
  <c r="G153" i="4"/>
  <c r="F153" i="4"/>
  <c r="E153" i="4"/>
  <c r="D153" i="4"/>
  <c r="C153" i="4"/>
  <c r="G152" i="4"/>
  <c r="F152" i="4"/>
  <c r="E152" i="4"/>
  <c r="H152" i="4" s="1"/>
  <c r="D152" i="4"/>
  <c r="C152" i="4"/>
  <c r="G151" i="4"/>
  <c r="F151" i="4"/>
  <c r="E151" i="4"/>
  <c r="H151" i="4" s="1"/>
  <c r="D151" i="4"/>
  <c r="C151" i="4"/>
  <c r="G150" i="4"/>
  <c r="F150" i="4"/>
  <c r="E150" i="4"/>
  <c r="H150" i="4" s="1"/>
  <c r="D150" i="4"/>
  <c r="C150" i="4"/>
  <c r="G149" i="4"/>
  <c r="F149" i="4"/>
  <c r="E149" i="4"/>
  <c r="H149" i="4" s="1"/>
  <c r="D149" i="4"/>
  <c r="C149" i="4"/>
  <c r="G148" i="4"/>
  <c r="F148" i="4"/>
  <c r="E148" i="4"/>
  <c r="D148" i="4"/>
  <c r="C148" i="4"/>
  <c r="G147" i="4"/>
  <c r="F147" i="4"/>
  <c r="E147" i="4"/>
  <c r="D147" i="4"/>
  <c r="C147" i="4"/>
  <c r="G146" i="4"/>
  <c r="F146" i="4"/>
  <c r="E146" i="4"/>
  <c r="H146" i="4" s="1"/>
  <c r="D146" i="4"/>
  <c r="C146" i="4"/>
  <c r="G145" i="4"/>
  <c r="F145" i="4"/>
  <c r="E145" i="4"/>
  <c r="D145" i="4"/>
  <c r="C145" i="4"/>
  <c r="G144" i="4"/>
  <c r="F144" i="4"/>
  <c r="E144" i="4"/>
  <c r="H144" i="4" s="1"/>
  <c r="D144" i="4"/>
  <c r="C144" i="4"/>
  <c r="G143" i="4"/>
  <c r="F143" i="4"/>
  <c r="E143" i="4"/>
  <c r="H143" i="4" s="1"/>
  <c r="D143" i="4"/>
  <c r="C143" i="4"/>
  <c r="G142" i="4"/>
  <c r="F142" i="4"/>
  <c r="E142" i="4"/>
  <c r="H142" i="4" s="1"/>
  <c r="D142" i="4"/>
  <c r="C142" i="4"/>
  <c r="G141" i="4"/>
  <c r="F141" i="4"/>
  <c r="E141" i="4"/>
  <c r="H141" i="4" s="1"/>
  <c r="D141" i="4"/>
  <c r="C141" i="4"/>
  <c r="G140" i="4"/>
  <c r="F140" i="4"/>
  <c r="E140" i="4"/>
  <c r="D140" i="4"/>
  <c r="C140" i="4"/>
  <c r="G139" i="4"/>
  <c r="F139" i="4"/>
  <c r="E139" i="4"/>
  <c r="D139" i="4"/>
  <c r="C139" i="4"/>
  <c r="G138" i="4"/>
  <c r="F138" i="4"/>
  <c r="E138" i="4"/>
  <c r="H138" i="4" s="1"/>
  <c r="D138" i="4"/>
  <c r="C138" i="4"/>
  <c r="G137" i="4"/>
  <c r="F137" i="4"/>
  <c r="E137" i="4"/>
  <c r="D137" i="4"/>
  <c r="C137" i="4"/>
  <c r="G136" i="4"/>
  <c r="F136" i="4"/>
  <c r="E136" i="4"/>
  <c r="H136" i="4" s="1"/>
  <c r="D136" i="4"/>
  <c r="C136" i="4"/>
  <c r="G135" i="4"/>
  <c r="F135" i="4"/>
  <c r="E135" i="4"/>
  <c r="H135" i="4" s="1"/>
  <c r="D135" i="4"/>
  <c r="C135" i="4"/>
  <c r="G134" i="4"/>
  <c r="F134" i="4"/>
  <c r="E134" i="4"/>
  <c r="H134" i="4" s="1"/>
  <c r="D134" i="4"/>
  <c r="C134" i="4"/>
  <c r="G133" i="4"/>
  <c r="F133" i="4"/>
  <c r="E133" i="4"/>
  <c r="H133" i="4" s="1"/>
  <c r="D133" i="4"/>
  <c r="C133" i="4"/>
  <c r="G132" i="4"/>
  <c r="F132" i="4"/>
  <c r="E132" i="4"/>
  <c r="D132" i="4"/>
  <c r="C132" i="4"/>
  <c r="G131" i="4"/>
  <c r="F131" i="4"/>
  <c r="E131" i="4"/>
  <c r="D131" i="4"/>
  <c r="C131" i="4"/>
  <c r="G130" i="4"/>
  <c r="F130" i="4"/>
  <c r="E130" i="4"/>
  <c r="H130" i="4" s="1"/>
  <c r="D130" i="4"/>
  <c r="C130" i="4"/>
  <c r="G129" i="4"/>
  <c r="F129" i="4"/>
  <c r="E129" i="4"/>
  <c r="D129" i="4"/>
  <c r="C129" i="4"/>
  <c r="G128" i="4"/>
  <c r="F128" i="4"/>
  <c r="E128" i="4"/>
  <c r="H128" i="4" s="1"/>
  <c r="D128" i="4"/>
  <c r="C128" i="4"/>
  <c r="G127" i="4"/>
  <c r="F127" i="4"/>
  <c r="E127" i="4"/>
  <c r="H127" i="4" s="1"/>
  <c r="D127" i="4"/>
  <c r="C127" i="4"/>
  <c r="G126" i="4"/>
  <c r="F126" i="4"/>
  <c r="E126" i="4"/>
  <c r="H126" i="4" s="1"/>
  <c r="D126" i="4"/>
  <c r="C126" i="4"/>
  <c r="G125" i="4"/>
  <c r="F125" i="4"/>
  <c r="E125" i="4"/>
  <c r="H125" i="4" s="1"/>
  <c r="D125" i="4"/>
  <c r="C125" i="4"/>
  <c r="G124" i="4"/>
  <c r="F124" i="4"/>
  <c r="E124" i="4"/>
  <c r="D124" i="4"/>
  <c r="C124" i="4"/>
  <c r="G123" i="4"/>
  <c r="F123" i="4"/>
  <c r="E123" i="4"/>
  <c r="D123" i="4"/>
  <c r="C123" i="4"/>
  <c r="G122" i="4"/>
  <c r="F122" i="4"/>
  <c r="E122" i="4"/>
  <c r="H122" i="4" s="1"/>
  <c r="D122" i="4"/>
  <c r="C122" i="4"/>
  <c r="G121" i="4"/>
  <c r="F121" i="4"/>
  <c r="E121" i="4"/>
  <c r="D121" i="4"/>
  <c r="C121" i="4"/>
  <c r="G120" i="4"/>
  <c r="F120" i="4"/>
  <c r="E120" i="4"/>
  <c r="H120" i="4" s="1"/>
  <c r="D120" i="4"/>
  <c r="C120" i="4"/>
  <c r="G119" i="4"/>
  <c r="F119" i="4"/>
  <c r="E119" i="4"/>
  <c r="H119" i="4" s="1"/>
  <c r="D119" i="4"/>
  <c r="C119" i="4"/>
  <c r="G118" i="4"/>
  <c r="F118" i="4"/>
  <c r="E118" i="4"/>
  <c r="H118" i="4" s="1"/>
  <c r="D118" i="4"/>
  <c r="C118" i="4"/>
  <c r="G117" i="4"/>
  <c r="F117" i="4"/>
  <c r="E117" i="4"/>
  <c r="H117" i="4" s="1"/>
  <c r="D117" i="4"/>
  <c r="C117" i="4"/>
  <c r="G116" i="4"/>
  <c r="F116" i="4"/>
  <c r="E116" i="4"/>
  <c r="D116" i="4"/>
  <c r="C116" i="4"/>
  <c r="G115" i="4"/>
  <c r="F115" i="4"/>
  <c r="E115" i="4"/>
  <c r="D115" i="4"/>
  <c r="C115" i="4"/>
  <c r="G114" i="4"/>
  <c r="F114" i="4"/>
  <c r="E114" i="4"/>
  <c r="H114" i="4" s="1"/>
  <c r="D114" i="4"/>
  <c r="C114" i="4"/>
  <c r="G113" i="4"/>
  <c r="F113" i="4"/>
  <c r="E113" i="4"/>
  <c r="D113" i="4"/>
  <c r="C113" i="4"/>
  <c r="G112" i="4"/>
  <c r="F112" i="4"/>
  <c r="E112" i="4"/>
  <c r="H112" i="4" s="1"/>
  <c r="D112" i="4"/>
  <c r="C112" i="4"/>
  <c r="G111" i="4"/>
  <c r="F111" i="4"/>
  <c r="E111" i="4"/>
  <c r="H111" i="4" s="1"/>
  <c r="D111" i="4"/>
  <c r="C111" i="4"/>
  <c r="G110" i="4"/>
  <c r="F110" i="4"/>
  <c r="E110" i="4"/>
  <c r="H110" i="4" s="1"/>
  <c r="D110" i="4"/>
  <c r="C110" i="4"/>
  <c r="G109" i="4"/>
  <c r="F109" i="4"/>
  <c r="E109" i="4"/>
  <c r="H109" i="4" s="1"/>
  <c r="D109" i="4"/>
  <c r="C109" i="4"/>
  <c r="G108" i="4"/>
  <c r="F108" i="4"/>
  <c r="E108" i="4"/>
  <c r="D108" i="4"/>
  <c r="C108" i="4"/>
  <c r="G107" i="4"/>
  <c r="F107" i="4"/>
  <c r="E107" i="4"/>
  <c r="D107" i="4"/>
  <c r="C107" i="4"/>
  <c r="G106" i="4"/>
  <c r="F106" i="4"/>
  <c r="E106" i="4"/>
  <c r="H106" i="4" s="1"/>
  <c r="D106" i="4"/>
  <c r="C106" i="4"/>
  <c r="G105" i="4"/>
  <c r="F105" i="4"/>
  <c r="E105" i="4"/>
  <c r="D105" i="4"/>
  <c r="C105" i="4"/>
  <c r="G104" i="4"/>
  <c r="F104" i="4"/>
  <c r="E104" i="4"/>
  <c r="H104" i="4" s="1"/>
  <c r="D104" i="4"/>
  <c r="C104" i="4"/>
  <c r="G103" i="4"/>
  <c r="F103" i="4"/>
  <c r="E103" i="4"/>
  <c r="H103" i="4" s="1"/>
  <c r="D103" i="4"/>
  <c r="C103" i="4"/>
  <c r="G102" i="4"/>
  <c r="F102" i="4"/>
  <c r="E102" i="4"/>
  <c r="H102" i="4" s="1"/>
  <c r="D102" i="4"/>
  <c r="C102" i="4"/>
  <c r="G101" i="4"/>
  <c r="F101" i="4"/>
  <c r="E101" i="4"/>
  <c r="H101" i="4" s="1"/>
  <c r="D101" i="4"/>
  <c r="C101" i="4"/>
  <c r="G100" i="4"/>
  <c r="F100" i="4"/>
  <c r="E100" i="4"/>
  <c r="D100" i="4"/>
  <c r="C100" i="4"/>
  <c r="G99" i="4"/>
  <c r="F99" i="4"/>
  <c r="E99" i="4"/>
  <c r="D99" i="4"/>
  <c r="C99" i="4"/>
  <c r="G98" i="4"/>
  <c r="F98" i="4"/>
  <c r="E98" i="4"/>
  <c r="H98" i="4" s="1"/>
  <c r="D98" i="4"/>
  <c r="C98" i="4"/>
  <c r="G97" i="4"/>
  <c r="F97" i="4"/>
  <c r="E97" i="4"/>
  <c r="D97" i="4"/>
  <c r="C97" i="4"/>
  <c r="G96" i="4"/>
  <c r="F96" i="4"/>
  <c r="E96" i="4"/>
  <c r="H96" i="4" s="1"/>
  <c r="D96" i="4"/>
  <c r="C96" i="4"/>
  <c r="G95" i="4"/>
  <c r="F95" i="4"/>
  <c r="E95" i="4"/>
  <c r="H95" i="4" s="1"/>
  <c r="D95" i="4"/>
  <c r="C95" i="4"/>
  <c r="G94" i="4"/>
  <c r="F94" i="4"/>
  <c r="E94" i="4"/>
  <c r="H94" i="4" s="1"/>
  <c r="D94" i="4"/>
  <c r="C94" i="4"/>
  <c r="G93" i="4"/>
  <c r="F93" i="4"/>
  <c r="E93" i="4"/>
  <c r="H93" i="4" s="1"/>
  <c r="D93" i="4"/>
  <c r="C93" i="4"/>
  <c r="G92" i="4"/>
  <c r="F92" i="4"/>
  <c r="E92" i="4"/>
  <c r="D92" i="4"/>
  <c r="C92" i="4"/>
  <c r="G91" i="4"/>
  <c r="F91" i="4"/>
  <c r="E91" i="4"/>
  <c r="D91" i="4"/>
  <c r="C91" i="4"/>
  <c r="G90" i="4"/>
  <c r="F90" i="4"/>
  <c r="E90" i="4"/>
  <c r="H90" i="4" s="1"/>
  <c r="D90" i="4"/>
  <c r="C90" i="4"/>
  <c r="G89" i="4"/>
  <c r="F89" i="4"/>
  <c r="E89" i="4"/>
  <c r="D89" i="4"/>
  <c r="C89" i="4"/>
  <c r="G88" i="4"/>
  <c r="F88" i="4"/>
  <c r="E88" i="4"/>
  <c r="H88" i="4" s="1"/>
  <c r="D88" i="4"/>
  <c r="C88" i="4"/>
  <c r="G87" i="4"/>
  <c r="F87" i="4"/>
  <c r="E87" i="4"/>
  <c r="H87" i="4" s="1"/>
  <c r="D87" i="4"/>
  <c r="C87" i="4"/>
  <c r="G86" i="4"/>
  <c r="F86" i="4"/>
  <c r="E86" i="4"/>
  <c r="H86" i="4" s="1"/>
  <c r="D86" i="4"/>
  <c r="C86" i="4"/>
  <c r="G85" i="4"/>
  <c r="F85" i="4"/>
  <c r="E85" i="4"/>
  <c r="H85" i="4" s="1"/>
  <c r="D85" i="4"/>
  <c r="C85" i="4"/>
  <c r="G84" i="4"/>
  <c r="F84" i="4"/>
  <c r="E84" i="4"/>
  <c r="D84" i="4"/>
  <c r="C84" i="4"/>
  <c r="G83" i="4"/>
  <c r="F83" i="4"/>
  <c r="E83" i="4"/>
  <c r="D83" i="4"/>
  <c r="C83" i="4"/>
  <c r="G82" i="4"/>
  <c r="F82" i="4"/>
  <c r="E82" i="4"/>
  <c r="H82" i="4" s="1"/>
  <c r="D82" i="4"/>
  <c r="C82" i="4"/>
  <c r="G81" i="4"/>
  <c r="F81" i="4"/>
  <c r="E81" i="4"/>
  <c r="D81" i="4"/>
  <c r="C81" i="4"/>
  <c r="G80" i="4"/>
  <c r="F80" i="4"/>
  <c r="E80" i="4"/>
  <c r="H80" i="4" s="1"/>
  <c r="D80" i="4"/>
  <c r="C80" i="4"/>
  <c r="G79" i="4"/>
  <c r="F79" i="4"/>
  <c r="E79" i="4"/>
  <c r="H79" i="4" s="1"/>
  <c r="D79" i="4"/>
  <c r="C79" i="4"/>
  <c r="G78" i="4"/>
  <c r="F78" i="4"/>
  <c r="E78" i="4"/>
  <c r="H78" i="4" s="1"/>
  <c r="D78" i="4"/>
  <c r="C78" i="4"/>
  <c r="G77" i="4"/>
  <c r="F77" i="4"/>
  <c r="E77" i="4"/>
  <c r="H77" i="4" s="1"/>
  <c r="D77" i="4"/>
  <c r="C77" i="4"/>
  <c r="G76" i="4"/>
  <c r="F76" i="4"/>
  <c r="E76" i="4"/>
  <c r="D76" i="4"/>
  <c r="C76" i="4"/>
  <c r="G75" i="4"/>
  <c r="F75" i="4"/>
  <c r="E75" i="4"/>
  <c r="D75" i="4"/>
  <c r="C75" i="4"/>
  <c r="G74" i="4"/>
  <c r="F74" i="4"/>
  <c r="E74" i="4"/>
  <c r="H74" i="4" s="1"/>
  <c r="D74" i="4"/>
  <c r="C74" i="4"/>
  <c r="G73" i="4"/>
  <c r="F73" i="4"/>
  <c r="E73" i="4"/>
  <c r="D73" i="4"/>
  <c r="C73" i="4"/>
  <c r="G72" i="4"/>
  <c r="F72" i="4"/>
  <c r="E72" i="4"/>
  <c r="H72" i="4" s="1"/>
  <c r="D72" i="4"/>
  <c r="C72" i="4"/>
  <c r="G71" i="4"/>
  <c r="F71" i="4"/>
  <c r="E71" i="4"/>
  <c r="H71" i="4" s="1"/>
  <c r="D71" i="4"/>
  <c r="C71" i="4"/>
  <c r="G70" i="4"/>
  <c r="F70" i="4"/>
  <c r="E70" i="4"/>
  <c r="H70" i="4" s="1"/>
  <c r="D70" i="4"/>
  <c r="C70" i="4"/>
  <c r="H76" i="4" l="1"/>
  <c r="H84" i="4"/>
  <c r="H92" i="4"/>
  <c r="H100" i="4"/>
  <c r="H108" i="4"/>
  <c r="H116" i="4"/>
  <c r="H124" i="4"/>
  <c r="H132" i="4"/>
  <c r="H140" i="4"/>
  <c r="H148" i="4"/>
  <c r="H156" i="4"/>
  <c r="H3" i="4"/>
  <c r="H11" i="4"/>
  <c r="H19" i="4"/>
  <c r="H27" i="4"/>
  <c r="H30" i="4"/>
  <c r="H56" i="4"/>
  <c r="H59" i="4"/>
  <c r="H62" i="4"/>
  <c r="H73" i="4"/>
  <c r="H81" i="4"/>
  <c r="H89" i="4"/>
  <c r="H97" i="4"/>
  <c r="H105" i="4"/>
  <c r="H113" i="4"/>
  <c r="H121" i="4"/>
  <c r="H129" i="4"/>
  <c r="H137" i="4"/>
  <c r="H145" i="4"/>
  <c r="H153" i="4"/>
  <c r="H161" i="4"/>
  <c r="H8" i="4"/>
  <c r="H16" i="4"/>
  <c r="H24" i="4"/>
  <c r="H44" i="4"/>
  <c r="H47" i="4"/>
  <c r="H50" i="4"/>
  <c r="H67" i="4"/>
  <c r="H75" i="4"/>
  <c r="H83" i="4"/>
  <c r="H91" i="4"/>
  <c r="H99" i="4"/>
  <c r="H107" i="4"/>
  <c r="H115" i="4"/>
  <c r="H123" i="4"/>
  <c r="H131" i="4"/>
  <c r="H139" i="4"/>
  <c r="H147" i="4"/>
  <c r="H155" i="4"/>
  <c r="H2" i="4"/>
  <c r="H10" i="4"/>
  <c r="H18" i="4"/>
  <c r="H26" i="4"/>
  <c r="H52" i="4"/>
  <c r="H55" i="4"/>
  <c r="H58" i="4"/>
  <c r="G117" i="3"/>
  <c r="F117" i="3"/>
  <c r="H117" i="3" s="1"/>
  <c r="E117" i="3"/>
  <c r="D117" i="3"/>
  <c r="C117" i="3"/>
  <c r="G116" i="3"/>
  <c r="H116" i="3" s="1"/>
  <c r="F116" i="3"/>
  <c r="E116" i="3"/>
  <c r="D116" i="3"/>
  <c r="C116" i="3"/>
  <c r="G115" i="3"/>
  <c r="H115" i="3" s="1"/>
  <c r="F115" i="3"/>
  <c r="E115" i="3"/>
  <c r="D115" i="3"/>
  <c r="C115" i="3"/>
  <c r="G114" i="3"/>
  <c r="F114" i="3"/>
  <c r="H114" i="3" s="1"/>
  <c r="E114" i="3"/>
  <c r="D114" i="3"/>
  <c r="C114" i="3"/>
  <c r="G113" i="3"/>
  <c r="F113" i="3"/>
  <c r="H113" i="3" s="1"/>
  <c r="E113" i="3"/>
  <c r="D113" i="3"/>
  <c r="C113" i="3"/>
  <c r="G112" i="3"/>
  <c r="H112" i="3" s="1"/>
  <c r="F112" i="3"/>
  <c r="E112" i="3"/>
  <c r="D112" i="3"/>
  <c r="C112" i="3"/>
  <c r="G111" i="3"/>
  <c r="H111" i="3" s="1"/>
  <c r="F111" i="3"/>
  <c r="E111" i="3"/>
  <c r="D111" i="3"/>
  <c r="C111" i="3"/>
  <c r="G110" i="3"/>
  <c r="F110" i="3"/>
  <c r="H110" i="3" s="1"/>
  <c r="E110" i="3"/>
  <c r="D110" i="3"/>
  <c r="C110" i="3"/>
  <c r="G109" i="3"/>
  <c r="F109" i="3"/>
  <c r="H109" i="3" s="1"/>
  <c r="E109" i="3"/>
  <c r="D109" i="3"/>
  <c r="C109" i="3"/>
  <c r="G108" i="3"/>
  <c r="H108" i="3" s="1"/>
  <c r="F108" i="3"/>
  <c r="E108" i="3"/>
  <c r="D108" i="3"/>
  <c r="C108" i="3"/>
  <c r="G107" i="3"/>
  <c r="H107" i="3" s="1"/>
  <c r="F107" i="3"/>
  <c r="E107" i="3"/>
  <c r="D107" i="3"/>
  <c r="C107" i="3"/>
  <c r="G106" i="3"/>
  <c r="F106" i="3"/>
  <c r="H106" i="3" s="1"/>
  <c r="E106" i="3"/>
  <c r="D106" i="3"/>
  <c r="C106" i="3"/>
  <c r="G105" i="3"/>
  <c r="F105" i="3"/>
  <c r="H105" i="3" s="1"/>
  <c r="E105" i="3"/>
  <c r="D105" i="3"/>
  <c r="C105" i="3"/>
  <c r="G104" i="3"/>
  <c r="H104" i="3" s="1"/>
  <c r="F104" i="3"/>
  <c r="E104" i="3"/>
  <c r="D104" i="3"/>
  <c r="C104" i="3"/>
  <c r="G103" i="3"/>
  <c r="H103" i="3" s="1"/>
  <c r="F103" i="3"/>
  <c r="E103" i="3"/>
  <c r="D103" i="3"/>
  <c r="C103" i="3"/>
  <c r="G102" i="3"/>
  <c r="F102" i="3"/>
  <c r="H102" i="3" s="1"/>
  <c r="E102" i="3"/>
  <c r="D102" i="3"/>
  <c r="C102" i="3"/>
  <c r="G101" i="3"/>
  <c r="F101" i="3"/>
  <c r="H101" i="3" s="1"/>
  <c r="E101" i="3"/>
  <c r="D101" i="3"/>
  <c r="C101" i="3"/>
  <c r="G100" i="3"/>
  <c r="H100" i="3" s="1"/>
  <c r="F100" i="3"/>
  <c r="E100" i="3"/>
  <c r="D100" i="3"/>
  <c r="C100" i="3"/>
  <c r="G99" i="3"/>
  <c r="H99" i="3" s="1"/>
  <c r="F99" i="3"/>
  <c r="E99" i="3"/>
  <c r="D99" i="3"/>
  <c r="C99" i="3"/>
  <c r="G98" i="3"/>
  <c r="F98" i="3"/>
  <c r="H98" i="3" s="1"/>
  <c r="E98" i="3"/>
  <c r="D98" i="3"/>
  <c r="C98" i="3"/>
  <c r="G97" i="3"/>
  <c r="F97" i="3"/>
  <c r="H97" i="3" s="1"/>
  <c r="E97" i="3"/>
  <c r="D97" i="3"/>
  <c r="C97" i="3"/>
  <c r="G96" i="3"/>
  <c r="H96" i="3" s="1"/>
  <c r="F96" i="3"/>
  <c r="E96" i="3"/>
  <c r="D96" i="3"/>
  <c r="C96" i="3"/>
  <c r="G95" i="3"/>
  <c r="H95" i="3" s="1"/>
  <c r="F95" i="3"/>
  <c r="E95" i="3"/>
  <c r="D95" i="3"/>
  <c r="C95" i="3"/>
  <c r="G94" i="3"/>
  <c r="F94" i="3"/>
  <c r="H94" i="3" s="1"/>
  <c r="E94" i="3"/>
  <c r="D94" i="3"/>
  <c r="C94" i="3"/>
  <c r="G93" i="3"/>
  <c r="F93" i="3"/>
  <c r="H93" i="3" s="1"/>
  <c r="E93" i="3"/>
  <c r="D93" i="3"/>
  <c r="C93" i="3"/>
  <c r="G92" i="3"/>
  <c r="H92" i="3" s="1"/>
  <c r="F92" i="3"/>
  <c r="E92" i="3"/>
  <c r="D92" i="3"/>
  <c r="C92" i="3"/>
  <c r="G91" i="3"/>
  <c r="H91" i="3" s="1"/>
  <c r="F91" i="3"/>
  <c r="E91" i="3"/>
  <c r="D91" i="3"/>
  <c r="C91" i="3"/>
  <c r="G90" i="3"/>
  <c r="F90" i="3"/>
  <c r="H90" i="3" s="1"/>
  <c r="E90" i="3"/>
  <c r="D90" i="3"/>
  <c r="C90" i="3"/>
  <c r="G89" i="3"/>
  <c r="F89" i="3"/>
  <c r="H89" i="3" s="1"/>
  <c r="E89" i="3"/>
  <c r="D89" i="3"/>
  <c r="C89" i="3"/>
  <c r="G88" i="3"/>
  <c r="H88" i="3" s="1"/>
  <c r="F88" i="3"/>
  <c r="E88" i="3"/>
  <c r="D88" i="3"/>
  <c r="C88" i="3"/>
  <c r="G87" i="3"/>
  <c r="H87" i="3" s="1"/>
  <c r="F87" i="3"/>
  <c r="E87" i="3"/>
  <c r="D87" i="3"/>
  <c r="C87" i="3"/>
  <c r="G86" i="3"/>
  <c r="F86" i="3"/>
  <c r="H86" i="3" s="1"/>
  <c r="E86" i="3"/>
  <c r="D86" i="3"/>
  <c r="C86" i="3"/>
  <c r="G85" i="3"/>
  <c r="F85" i="3"/>
  <c r="H85" i="3" s="1"/>
  <c r="E85" i="3"/>
  <c r="D85" i="3"/>
  <c r="C85" i="3"/>
  <c r="G84" i="3"/>
  <c r="H84" i="3" s="1"/>
  <c r="F84" i="3"/>
  <c r="E84" i="3"/>
  <c r="D84" i="3"/>
  <c r="C84" i="3"/>
  <c r="G83" i="3"/>
  <c r="H83" i="3" s="1"/>
  <c r="F83" i="3"/>
  <c r="E83" i="3"/>
  <c r="D83" i="3"/>
  <c r="C83" i="3"/>
  <c r="G82" i="3"/>
  <c r="F82" i="3"/>
  <c r="H82" i="3" s="1"/>
  <c r="E82" i="3"/>
  <c r="D82" i="3"/>
  <c r="C82" i="3"/>
  <c r="G81" i="3"/>
  <c r="F81" i="3"/>
  <c r="H81" i="3" s="1"/>
  <c r="E81" i="3"/>
  <c r="D81" i="3"/>
  <c r="C81" i="3"/>
  <c r="G80" i="3"/>
  <c r="H80" i="3" s="1"/>
  <c r="F80" i="3"/>
  <c r="E80" i="3"/>
  <c r="D80" i="3"/>
  <c r="C80" i="3"/>
  <c r="G79" i="3"/>
  <c r="H79" i="3" s="1"/>
  <c r="F79" i="3"/>
  <c r="E79" i="3"/>
  <c r="D79" i="3"/>
  <c r="C79" i="3"/>
  <c r="G78" i="3"/>
  <c r="F78" i="3"/>
  <c r="H78" i="3" s="1"/>
  <c r="E78" i="3"/>
  <c r="D78" i="3"/>
  <c r="C78" i="3"/>
  <c r="G77" i="3"/>
  <c r="F77" i="3"/>
  <c r="H77" i="3" s="1"/>
  <c r="E77" i="3"/>
  <c r="D77" i="3"/>
  <c r="C77" i="3"/>
  <c r="G76" i="3"/>
  <c r="H76" i="3" s="1"/>
  <c r="F76" i="3"/>
  <c r="E76" i="3"/>
  <c r="D76" i="3"/>
  <c r="C76" i="3"/>
  <c r="G75" i="3"/>
  <c r="H75" i="3" s="1"/>
  <c r="F75" i="3"/>
  <c r="E75" i="3"/>
  <c r="D75" i="3"/>
  <c r="C75" i="3"/>
  <c r="G74" i="3"/>
  <c r="F74" i="3"/>
  <c r="H74" i="3" s="1"/>
  <c r="E74" i="3"/>
  <c r="D74" i="3"/>
  <c r="C74" i="3"/>
  <c r="G73" i="3"/>
  <c r="F73" i="3"/>
  <c r="H73" i="3" s="1"/>
  <c r="E73" i="3"/>
  <c r="D73" i="3"/>
  <c r="C73" i="3"/>
  <c r="G72" i="3"/>
  <c r="H72" i="3" s="1"/>
  <c r="F72" i="3"/>
  <c r="E72" i="3"/>
  <c r="D72" i="3"/>
  <c r="C72" i="3"/>
  <c r="G71" i="3"/>
  <c r="H71" i="3" s="1"/>
  <c r="F71" i="3"/>
  <c r="E71" i="3"/>
  <c r="D71" i="3"/>
  <c r="C71" i="3"/>
  <c r="G70" i="3"/>
  <c r="F70" i="3"/>
  <c r="H70" i="3" s="1"/>
  <c r="E70" i="3"/>
  <c r="D70" i="3"/>
  <c r="C70" i="3"/>
  <c r="G69" i="3"/>
  <c r="F69" i="3"/>
  <c r="H69" i="3" s="1"/>
  <c r="E69" i="3"/>
  <c r="D69" i="3"/>
  <c r="C69" i="3"/>
  <c r="G68" i="3"/>
  <c r="H68" i="3" s="1"/>
  <c r="F68" i="3"/>
  <c r="E68" i="3"/>
  <c r="D68" i="3"/>
  <c r="C68" i="3"/>
  <c r="G67" i="3"/>
  <c r="H67" i="3" s="1"/>
  <c r="F67" i="3"/>
  <c r="E67" i="3"/>
  <c r="D67" i="3"/>
  <c r="C67" i="3"/>
  <c r="G66" i="3"/>
  <c r="F66" i="3"/>
  <c r="H66" i="3" s="1"/>
  <c r="E66" i="3"/>
  <c r="D66" i="3"/>
  <c r="C66" i="3"/>
  <c r="G65" i="3"/>
  <c r="F65" i="3"/>
  <c r="H65" i="3" s="1"/>
  <c r="E65" i="3"/>
  <c r="D65" i="3"/>
  <c r="C65" i="3"/>
  <c r="G64" i="3"/>
  <c r="H64" i="3" s="1"/>
  <c r="F64" i="3"/>
  <c r="E64" i="3"/>
  <c r="D64" i="3"/>
  <c r="C64" i="3"/>
  <c r="G63" i="3"/>
  <c r="H63" i="3" s="1"/>
  <c r="F63" i="3"/>
  <c r="E63" i="3"/>
  <c r="D63" i="3"/>
  <c r="C63" i="3"/>
  <c r="G62" i="3"/>
  <c r="F62" i="3"/>
  <c r="H62" i="3" s="1"/>
  <c r="E62" i="3"/>
  <c r="D62" i="3"/>
  <c r="C62" i="3"/>
  <c r="G61" i="3"/>
  <c r="F61" i="3"/>
  <c r="H61" i="3" s="1"/>
  <c r="E61" i="3"/>
  <c r="D61" i="3"/>
  <c r="C61" i="3"/>
  <c r="G60" i="3"/>
  <c r="H60" i="3" s="1"/>
  <c r="F60" i="3"/>
  <c r="E60" i="3"/>
  <c r="D60" i="3"/>
  <c r="C60" i="3"/>
  <c r="G59" i="3"/>
  <c r="H59" i="3" s="1"/>
  <c r="F59" i="3"/>
  <c r="E59" i="3"/>
  <c r="D59" i="3"/>
  <c r="C59" i="3"/>
  <c r="G58" i="3"/>
  <c r="F58" i="3"/>
  <c r="H58" i="3" s="1"/>
  <c r="E58" i="3"/>
  <c r="D58" i="3"/>
  <c r="C58" i="3"/>
  <c r="G57" i="3"/>
  <c r="F57" i="3"/>
  <c r="H57" i="3" s="1"/>
  <c r="E57" i="3"/>
  <c r="D57" i="3"/>
  <c r="C57" i="3"/>
  <c r="G56" i="3"/>
  <c r="H56" i="3" s="1"/>
  <c r="F56" i="3"/>
  <c r="E56" i="3"/>
  <c r="D56" i="3"/>
  <c r="C56" i="3"/>
  <c r="G55" i="3"/>
  <c r="H55" i="3" s="1"/>
  <c r="F55" i="3"/>
  <c r="E55" i="3"/>
  <c r="D55" i="3"/>
  <c r="C55" i="3"/>
  <c r="G54" i="3"/>
  <c r="F54" i="3"/>
  <c r="H54" i="3" s="1"/>
  <c r="E54" i="3"/>
  <c r="D54" i="3"/>
  <c r="C54" i="3"/>
  <c r="G53" i="3"/>
  <c r="F53" i="3"/>
  <c r="H53" i="3" s="1"/>
  <c r="E53" i="3"/>
  <c r="D53" i="3"/>
  <c r="C53" i="3"/>
  <c r="G52" i="3"/>
  <c r="H52" i="3" s="1"/>
  <c r="F52" i="3"/>
  <c r="E52" i="3"/>
  <c r="D52" i="3"/>
  <c r="C52" i="3"/>
  <c r="G51" i="3"/>
  <c r="H51" i="3" s="1"/>
  <c r="F51" i="3"/>
  <c r="E51" i="3"/>
  <c r="D51" i="3"/>
  <c r="C51" i="3"/>
  <c r="G50" i="3"/>
  <c r="F50" i="3"/>
  <c r="H50" i="3" s="1"/>
  <c r="E50" i="3"/>
  <c r="D50" i="3"/>
  <c r="C50" i="3"/>
  <c r="G49" i="3"/>
  <c r="F49" i="3"/>
  <c r="H49" i="3" s="1"/>
  <c r="E49" i="3"/>
  <c r="D49" i="3"/>
  <c r="C49" i="3"/>
  <c r="G48" i="3"/>
  <c r="H48" i="3" s="1"/>
  <c r="F48" i="3"/>
  <c r="E48" i="3"/>
  <c r="D48" i="3"/>
  <c r="C48" i="3"/>
  <c r="G47" i="3"/>
  <c r="H47" i="3" s="1"/>
  <c r="F47" i="3"/>
  <c r="E47" i="3"/>
  <c r="D47" i="3"/>
  <c r="C47" i="3"/>
  <c r="G46" i="3"/>
  <c r="F46" i="3"/>
  <c r="H46" i="3" s="1"/>
  <c r="E46" i="3"/>
  <c r="D46" i="3"/>
  <c r="C46" i="3"/>
  <c r="G45" i="3"/>
  <c r="F45" i="3"/>
  <c r="H45" i="3" s="1"/>
  <c r="E45" i="3"/>
  <c r="D45" i="3"/>
  <c r="C45" i="3"/>
  <c r="G44" i="3"/>
  <c r="H44" i="3" s="1"/>
  <c r="F44" i="3"/>
  <c r="E44" i="3"/>
  <c r="D44" i="3"/>
  <c r="C44" i="3"/>
  <c r="G43" i="3"/>
  <c r="H43" i="3" s="1"/>
  <c r="F43" i="3"/>
  <c r="E43" i="3"/>
  <c r="D43" i="3"/>
  <c r="C43" i="3"/>
  <c r="G42" i="3"/>
  <c r="F42" i="3"/>
  <c r="H42" i="3" s="1"/>
  <c r="E42" i="3"/>
  <c r="D42" i="3"/>
  <c r="C42" i="3"/>
  <c r="G41" i="3"/>
  <c r="F41" i="3"/>
  <c r="H41" i="3" s="1"/>
  <c r="E41" i="3"/>
  <c r="D41" i="3"/>
  <c r="C41" i="3"/>
  <c r="G40" i="3"/>
  <c r="H40" i="3" s="1"/>
  <c r="F40" i="3"/>
  <c r="E40" i="3"/>
  <c r="D40" i="3"/>
  <c r="C40" i="3"/>
  <c r="G39" i="3"/>
  <c r="H39" i="3" s="1"/>
  <c r="F39" i="3"/>
  <c r="E39" i="3"/>
  <c r="D39" i="3"/>
  <c r="C39" i="3"/>
  <c r="G38" i="3"/>
  <c r="F38" i="3"/>
  <c r="H38" i="3" s="1"/>
  <c r="E38" i="3"/>
  <c r="D38" i="3"/>
  <c r="C38" i="3"/>
  <c r="G37" i="3"/>
  <c r="F37" i="3"/>
  <c r="H37" i="3" s="1"/>
  <c r="E37" i="3"/>
  <c r="D37" i="3"/>
  <c r="C37" i="3"/>
  <c r="G36" i="3"/>
  <c r="H36" i="3" s="1"/>
  <c r="F36" i="3"/>
  <c r="E36" i="3"/>
  <c r="D36" i="3"/>
  <c r="C36" i="3"/>
  <c r="G35" i="3"/>
  <c r="H35" i="3" s="1"/>
  <c r="F35" i="3"/>
  <c r="E35" i="3"/>
  <c r="D35" i="3"/>
  <c r="C35" i="3"/>
  <c r="G34" i="3"/>
  <c r="F34" i="3"/>
  <c r="H34" i="3" s="1"/>
  <c r="E34" i="3"/>
  <c r="D34" i="3"/>
  <c r="C34" i="3"/>
  <c r="G33" i="3"/>
  <c r="F33" i="3"/>
  <c r="H33" i="3" s="1"/>
  <c r="E33" i="3"/>
  <c r="D33" i="3"/>
  <c r="C33" i="3"/>
  <c r="G32" i="3"/>
  <c r="H32" i="3" s="1"/>
  <c r="F32" i="3"/>
  <c r="E32" i="3"/>
  <c r="D32" i="3"/>
  <c r="C32" i="3"/>
  <c r="G31" i="3"/>
  <c r="H31" i="3" s="1"/>
  <c r="F31" i="3"/>
  <c r="E31" i="3"/>
  <c r="D31" i="3"/>
  <c r="C31" i="3"/>
  <c r="G30" i="3"/>
  <c r="F30" i="3"/>
  <c r="H30" i="3" s="1"/>
  <c r="E30" i="3"/>
  <c r="D30" i="3"/>
  <c r="C30" i="3"/>
  <c r="G29" i="3"/>
  <c r="F29" i="3"/>
  <c r="H29" i="3" s="1"/>
  <c r="E29" i="3"/>
  <c r="D29" i="3"/>
  <c r="C29" i="3"/>
  <c r="G28" i="3"/>
  <c r="H28" i="3" s="1"/>
  <c r="F28" i="3"/>
  <c r="E28" i="3"/>
  <c r="D28" i="3"/>
  <c r="C28" i="3"/>
  <c r="G27" i="3"/>
  <c r="H27" i="3" s="1"/>
  <c r="F27" i="3"/>
  <c r="E27" i="3"/>
  <c r="D27" i="3"/>
  <c r="C27" i="3"/>
  <c r="G26" i="3"/>
  <c r="F26" i="3"/>
  <c r="H26" i="3" s="1"/>
  <c r="E26" i="3"/>
  <c r="D26" i="3"/>
  <c r="C26" i="3"/>
  <c r="G25" i="3"/>
  <c r="F25" i="3"/>
  <c r="H25" i="3" s="1"/>
  <c r="E25" i="3"/>
  <c r="D25" i="3"/>
  <c r="C25" i="3"/>
  <c r="G24" i="3"/>
  <c r="H24" i="3" s="1"/>
  <c r="F24" i="3"/>
  <c r="E24" i="3"/>
  <c r="D24" i="3"/>
  <c r="C24" i="3"/>
  <c r="G23" i="3"/>
  <c r="H23" i="3" s="1"/>
  <c r="F23" i="3"/>
  <c r="E23" i="3"/>
  <c r="D23" i="3"/>
  <c r="C23" i="3"/>
  <c r="G22" i="3"/>
  <c r="F22" i="3"/>
  <c r="H22" i="3" s="1"/>
  <c r="E22" i="3"/>
  <c r="D22" i="3"/>
  <c r="C22" i="3"/>
  <c r="G21" i="3"/>
  <c r="F21" i="3"/>
  <c r="H21" i="3" s="1"/>
  <c r="E21" i="3"/>
  <c r="D21" i="3"/>
  <c r="C21" i="3"/>
  <c r="G20" i="3"/>
  <c r="H20" i="3" s="1"/>
  <c r="F20" i="3"/>
  <c r="E20" i="3"/>
  <c r="D20" i="3"/>
  <c r="C20" i="3"/>
  <c r="G19" i="3"/>
  <c r="H19" i="3" s="1"/>
  <c r="F19" i="3"/>
  <c r="E19" i="3"/>
  <c r="D19" i="3"/>
  <c r="C19" i="3"/>
  <c r="G18" i="3"/>
  <c r="F18" i="3"/>
  <c r="H18" i="3" s="1"/>
  <c r="E18" i="3"/>
  <c r="D18" i="3"/>
  <c r="C18" i="3"/>
  <c r="G17" i="3"/>
  <c r="F17" i="3"/>
  <c r="H17" i="3" s="1"/>
  <c r="E17" i="3"/>
  <c r="D17" i="3"/>
  <c r="C17" i="3"/>
  <c r="G16" i="3"/>
  <c r="H16" i="3" s="1"/>
  <c r="F16" i="3"/>
  <c r="E16" i="3"/>
  <c r="D16" i="3"/>
  <c r="C16" i="3"/>
  <c r="G15" i="3"/>
  <c r="H15" i="3" s="1"/>
  <c r="F15" i="3"/>
  <c r="E15" i="3"/>
  <c r="D15" i="3"/>
  <c r="C15" i="3"/>
  <c r="G14" i="3"/>
  <c r="F14" i="3"/>
  <c r="H14" i="3" s="1"/>
  <c r="E14" i="3"/>
  <c r="D14" i="3"/>
  <c r="C14" i="3"/>
  <c r="G13" i="3"/>
  <c r="F13" i="3"/>
  <c r="H13" i="3" s="1"/>
  <c r="E13" i="3"/>
  <c r="D13" i="3"/>
  <c r="C13" i="3"/>
  <c r="G12" i="3"/>
  <c r="H12" i="3" s="1"/>
  <c r="F12" i="3"/>
  <c r="E12" i="3"/>
  <c r="D12" i="3"/>
  <c r="C12" i="3"/>
  <c r="G11" i="3"/>
  <c r="H11" i="3" s="1"/>
  <c r="F11" i="3"/>
  <c r="E11" i="3"/>
  <c r="D11" i="3"/>
  <c r="C11" i="3"/>
  <c r="G10" i="3"/>
  <c r="F10" i="3"/>
  <c r="H10" i="3" s="1"/>
  <c r="E10" i="3"/>
  <c r="D10" i="3"/>
  <c r="C10" i="3"/>
  <c r="G9" i="3"/>
  <c r="F9" i="3"/>
  <c r="H9" i="3" s="1"/>
  <c r="E9" i="3"/>
  <c r="D9" i="3"/>
  <c r="C9" i="3"/>
  <c r="G8" i="3"/>
  <c r="H8" i="3" s="1"/>
  <c r="F8" i="3"/>
  <c r="E8" i="3"/>
  <c r="D8" i="3"/>
  <c r="C8" i="3"/>
  <c r="G7" i="3"/>
  <c r="H7" i="3" s="1"/>
  <c r="F7" i="3"/>
  <c r="E7" i="3"/>
  <c r="D7" i="3"/>
  <c r="C7" i="3"/>
  <c r="G6" i="3"/>
  <c r="F6" i="3"/>
  <c r="H6" i="3" s="1"/>
  <c r="E6" i="3"/>
  <c r="D6" i="3"/>
  <c r="C6" i="3"/>
  <c r="G5" i="3"/>
  <c r="F5" i="3"/>
  <c r="H5" i="3" s="1"/>
  <c r="E5" i="3"/>
  <c r="D5" i="3"/>
  <c r="C5" i="3"/>
  <c r="G4" i="3"/>
  <c r="H4" i="3" s="1"/>
  <c r="F4" i="3"/>
  <c r="E4" i="3"/>
  <c r="D4" i="3"/>
  <c r="C4" i="3"/>
  <c r="G3" i="3"/>
  <c r="H3" i="3" s="1"/>
  <c r="F3" i="3"/>
  <c r="E3" i="3"/>
  <c r="D3" i="3"/>
  <c r="C3" i="3"/>
  <c r="G2" i="3"/>
  <c r="F2" i="3"/>
  <c r="H2" i="3" s="1"/>
  <c r="E2" i="3"/>
  <c r="D2" i="3"/>
  <c r="C2" i="3"/>
  <c r="F663" i="2" l="1"/>
  <c r="E663" i="2"/>
  <c r="G663" i="2" s="1"/>
  <c r="D663" i="2"/>
  <c r="C663" i="2"/>
  <c r="F474" i="2"/>
  <c r="E474" i="2"/>
  <c r="G474" i="2" s="1"/>
  <c r="D474" i="2"/>
  <c r="C474" i="2"/>
  <c r="F473" i="2"/>
  <c r="E473" i="2"/>
  <c r="G473" i="2" s="1"/>
  <c r="D473" i="2"/>
  <c r="C473" i="2"/>
  <c r="F472" i="2"/>
  <c r="E472" i="2"/>
  <c r="G472" i="2" s="1"/>
  <c r="D472" i="2"/>
  <c r="C472" i="2"/>
  <c r="F471" i="2"/>
  <c r="E471" i="2"/>
  <c r="G471" i="2" s="1"/>
  <c r="D471" i="2"/>
  <c r="C471" i="2"/>
  <c r="F470" i="2"/>
  <c r="E470" i="2"/>
  <c r="G470" i="2" s="1"/>
  <c r="D470" i="2"/>
  <c r="C470" i="2"/>
  <c r="F469" i="2"/>
  <c r="E469" i="2"/>
  <c r="D469" i="2"/>
  <c r="C469" i="2"/>
  <c r="F468" i="2"/>
  <c r="G468" i="2" s="1"/>
  <c r="E468" i="2"/>
  <c r="D468" i="2"/>
  <c r="C468" i="2"/>
  <c r="F662" i="2"/>
  <c r="E662" i="2"/>
  <c r="G662" i="2" s="1"/>
  <c r="D662" i="2"/>
  <c r="C662" i="2"/>
  <c r="F467" i="2"/>
  <c r="E467" i="2"/>
  <c r="D467" i="2"/>
  <c r="C467" i="2"/>
  <c r="F466" i="2"/>
  <c r="E466" i="2"/>
  <c r="G466" i="2" s="1"/>
  <c r="D466" i="2"/>
  <c r="C466" i="2"/>
  <c r="G465" i="2"/>
  <c r="F465" i="2"/>
  <c r="E465" i="2"/>
  <c r="D465" i="2"/>
  <c r="C465" i="2"/>
  <c r="F464" i="2"/>
  <c r="E464" i="2"/>
  <c r="G464" i="2" s="1"/>
  <c r="D464" i="2"/>
  <c r="C464" i="2"/>
  <c r="F463" i="2"/>
  <c r="E463" i="2"/>
  <c r="D463" i="2"/>
  <c r="C463" i="2"/>
  <c r="F462" i="2"/>
  <c r="E462" i="2"/>
  <c r="D462" i="2"/>
  <c r="C462" i="2"/>
  <c r="F461" i="2"/>
  <c r="E461" i="2"/>
  <c r="G461" i="2" s="1"/>
  <c r="D461" i="2"/>
  <c r="C461" i="2"/>
  <c r="F460" i="2"/>
  <c r="E460" i="2"/>
  <c r="G460" i="2" s="1"/>
  <c r="D460" i="2"/>
  <c r="C460" i="2"/>
  <c r="F459" i="2"/>
  <c r="E459" i="2"/>
  <c r="G459" i="2" s="1"/>
  <c r="D459" i="2"/>
  <c r="C459" i="2"/>
  <c r="F458" i="2"/>
  <c r="E458" i="2"/>
  <c r="G458" i="2" s="1"/>
  <c r="D458" i="2"/>
  <c r="C458" i="2"/>
  <c r="F457" i="2"/>
  <c r="E457" i="2"/>
  <c r="G457" i="2" s="1"/>
  <c r="D457" i="2"/>
  <c r="C457" i="2"/>
  <c r="F456" i="2"/>
  <c r="E456" i="2"/>
  <c r="G456" i="2" s="1"/>
  <c r="D456" i="2"/>
  <c r="C456" i="2"/>
  <c r="F455" i="2"/>
  <c r="E455" i="2"/>
  <c r="G455" i="2" s="1"/>
  <c r="D455" i="2"/>
  <c r="C455" i="2"/>
  <c r="F661" i="2"/>
  <c r="E661" i="2"/>
  <c r="D661" i="2"/>
  <c r="C661" i="2"/>
  <c r="F454" i="2"/>
  <c r="E454" i="2"/>
  <c r="D454" i="2"/>
  <c r="C454" i="2"/>
  <c r="F660" i="2"/>
  <c r="E660" i="2"/>
  <c r="D660" i="2"/>
  <c r="C660" i="2"/>
  <c r="F453" i="2"/>
  <c r="E453" i="2"/>
  <c r="D453" i="2"/>
  <c r="C453" i="2"/>
  <c r="F452" i="2"/>
  <c r="E452" i="2"/>
  <c r="D452" i="2"/>
  <c r="C452" i="2"/>
  <c r="G451" i="2"/>
  <c r="F451" i="2"/>
  <c r="E451" i="2"/>
  <c r="D451" i="2"/>
  <c r="C451" i="2"/>
  <c r="F450" i="2"/>
  <c r="E450" i="2"/>
  <c r="D450" i="2"/>
  <c r="C450" i="2"/>
  <c r="F449" i="2"/>
  <c r="E449" i="2"/>
  <c r="D449" i="2"/>
  <c r="C449" i="2"/>
  <c r="F448" i="2"/>
  <c r="G448" i="2" s="1"/>
  <c r="E448" i="2"/>
  <c r="D448" i="2"/>
  <c r="C448" i="2"/>
  <c r="F447" i="2"/>
  <c r="E447" i="2"/>
  <c r="G447" i="2" s="1"/>
  <c r="D447" i="2"/>
  <c r="C447" i="2"/>
  <c r="F446" i="2"/>
  <c r="E446" i="2"/>
  <c r="G446" i="2" s="1"/>
  <c r="D446" i="2"/>
  <c r="C446" i="2"/>
  <c r="F445" i="2"/>
  <c r="E445" i="2"/>
  <c r="G445" i="2" s="1"/>
  <c r="D445" i="2"/>
  <c r="C445" i="2"/>
  <c r="F444" i="2"/>
  <c r="E444" i="2"/>
  <c r="G444" i="2" s="1"/>
  <c r="D444" i="2"/>
  <c r="C444" i="2"/>
  <c r="F659" i="2"/>
  <c r="E659" i="2"/>
  <c r="G659" i="2" s="1"/>
  <c r="D659" i="2"/>
  <c r="C659" i="2"/>
  <c r="F658" i="2"/>
  <c r="E658" i="2"/>
  <c r="G658" i="2" s="1"/>
  <c r="D658" i="2"/>
  <c r="C658" i="2"/>
  <c r="F443" i="2"/>
  <c r="E443" i="2"/>
  <c r="G443" i="2" s="1"/>
  <c r="D443" i="2"/>
  <c r="C443" i="2"/>
  <c r="F657" i="2"/>
  <c r="E657" i="2"/>
  <c r="D657" i="2"/>
  <c r="C657" i="2"/>
  <c r="F442" i="2"/>
  <c r="G442" i="2" s="1"/>
  <c r="E442" i="2"/>
  <c r="D442" i="2"/>
  <c r="C442" i="2"/>
  <c r="F441" i="2"/>
  <c r="E441" i="2"/>
  <c r="D441" i="2"/>
  <c r="C441" i="2"/>
  <c r="F440" i="2"/>
  <c r="E440" i="2"/>
  <c r="D440" i="2"/>
  <c r="C440" i="2"/>
  <c r="F439" i="2"/>
  <c r="E439" i="2"/>
  <c r="D439" i="2"/>
  <c r="C439" i="2"/>
  <c r="G438" i="2"/>
  <c r="F438" i="2"/>
  <c r="E438" i="2"/>
  <c r="D438" i="2"/>
  <c r="C438" i="2"/>
  <c r="F437" i="2"/>
  <c r="E437" i="2"/>
  <c r="D437" i="2"/>
  <c r="C437" i="2"/>
  <c r="F656" i="2"/>
  <c r="E656" i="2"/>
  <c r="D656" i="2"/>
  <c r="C656" i="2"/>
  <c r="F436" i="2"/>
  <c r="G436" i="2" s="1"/>
  <c r="E436" i="2"/>
  <c r="D436" i="2"/>
  <c r="C436" i="2"/>
  <c r="F655" i="2"/>
  <c r="E655" i="2"/>
  <c r="G655" i="2" s="1"/>
  <c r="D655" i="2"/>
  <c r="C655" i="2"/>
  <c r="F654" i="2"/>
  <c r="E654" i="2"/>
  <c r="D654" i="2"/>
  <c r="C654" i="2"/>
  <c r="F653" i="2"/>
  <c r="E653" i="2"/>
  <c r="G653" i="2" s="1"/>
  <c r="D653" i="2"/>
  <c r="C653" i="2"/>
  <c r="F435" i="2"/>
  <c r="E435" i="2"/>
  <c r="D435" i="2"/>
  <c r="C435" i="2"/>
  <c r="F434" i="2"/>
  <c r="E434" i="2"/>
  <c r="G434" i="2" s="1"/>
  <c r="D434" i="2"/>
  <c r="C434" i="2"/>
  <c r="F652" i="2"/>
  <c r="E652" i="2"/>
  <c r="D652" i="2"/>
  <c r="C652" i="2"/>
  <c r="F433" i="2"/>
  <c r="E433" i="2"/>
  <c r="G433" i="2" s="1"/>
  <c r="D433" i="2"/>
  <c r="C433" i="2"/>
  <c r="F651" i="2"/>
  <c r="G651" i="2" s="1"/>
  <c r="E651" i="2"/>
  <c r="D651" i="2"/>
  <c r="C651" i="2"/>
  <c r="F432" i="2"/>
  <c r="E432" i="2"/>
  <c r="G432" i="2" s="1"/>
  <c r="D432" i="2"/>
  <c r="C432" i="2"/>
  <c r="F431" i="2"/>
  <c r="E431" i="2"/>
  <c r="D431" i="2"/>
  <c r="C431" i="2"/>
  <c r="F430" i="2"/>
  <c r="E430" i="2"/>
  <c r="G430" i="2" s="1"/>
  <c r="D430" i="2"/>
  <c r="C430" i="2"/>
  <c r="F429" i="2"/>
  <c r="E429" i="2"/>
  <c r="D429" i="2"/>
  <c r="C429" i="2"/>
  <c r="F428" i="2"/>
  <c r="E428" i="2"/>
  <c r="G428" i="2" s="1"/>
  <c r="D428" i="2"/>
  <c r="C428" i="2"/>
  <c r="F427" i="2"/>
  <c r="E427" i="2"/>
  <c r="D427" i="2"/>
  <c r="C427" i="2"/>
  <c r="F426" i="2"/>
  <c r="E426" i="2"/>
  <c r="G426" i="2" s="1"/>
  <c r="D426" i="2"/>
  <c r="C426" i="2"/>
  <c r="F425" i="2"/>
  <c r="G425" i="2" s="1"/>
  <c r="E425" i="2"/>
  <c r="D425" i="2"/>
  <c r="C425" i="2"/>
  <c r="F424" i="2"/>
  <c r="E424" i="2"/>
  <c r="G424" i="2" s="1"/>
  <c r="D424" i="2"/>
  <c r="C424" i="2"/>
  <c r="F423" i="2"/>
  <c r="E423" i="2"/>
  <c r="G423" i="2" s="1"/>
  <c r="D423" i="2"/>
  <c r="C423" i="2"/>
  <c r="F422" i="2"/>
  <c r="E422" i="2"/>
  <c r="G422" i="2" s="1"/>
  <c r="D422" i="2"/>
  <c r="C422" i="2"/>
  <c r="F650" i="2"/>
  <c r="E650" i="2"/>
  <c r="G650" i="2" s="1"/>
  <c r="D650" i="2"/>
  <c r="C650" i="2"/>
  <c r="F421" i="2"/>
  <c r="G421" i="2" s="1"/>
  <c r="E421" i="2"/>
  <c r="D421" i="2"/>
  <c r="C421" i="2"/>
  <c r="F420" i="2"/>
  <c r="E420" i="2"/>
  <c r="G420" i="2" s="1"/>
  <c r="D420" i="2"/>
  <c r="C420" i="2"/>
  <c r="F649" i="2"/>
  <c r="E649" i="2"/>
  <c r="D649" i="2"/>
  <c r="C649" i="2"/>
  <c r="F419" i="2"/>
  <c r="E419" i="2"/>
  <c r="D419" i="2"/>
  <c r="C419" i="2"/>
  <c r="G418" i="2"/>
  <c r="F418" i="2"/>
  <c r="E418" i="2"/>
  <c r="D418" i="2"/>
  <c r="C418" i="2"/>
  <c r="F417" i="2"/>
  <c r="E417" i="2"/>
  <c r="G417" i="2" s="1"/>
  <c r="D417" i="2"/>
  <c r="C417" i="2"/>
  <c r="F416" i="2"/>
  <c r="E416" i="2"/>
  <c r="D416" i="2"/>
  <c r="C416" i="2"/>
  <c r="F415" i="2"/>
  <c r="E415" i="2"/>
  <c r="G415" i="2" s="1"/>
  <c r="D415" i="2"/>
  <c r="C415" i="2"/>
  <c r="G414" i="2"/>
  <c r="F414" i="2"/>
  <c r="E414" i="2"/>
  <c r="D414" i="2"/>
  <c r="C414" i="2"/>
  <c r="F413" i="2"/>
  <c r="E413" i="2"/>
  <c r="G413" i="2" s="1"/>
  <c r="D413" i="2"/>
  <c r="C413" i="2"/>
  <c r="F648" i="2"/>
  <c r="E648" i="2"/>
  <c r="D648" i="2"/>
  <c r="C648" i="2"/>
  <c r="F412" i="2"/>
  <c r="E412" i="2"/>
  <c r="D412" i="2"/>
  <c r="C412" i="2"/>
  <c r="F647" i="2"/>
  <c r="E647" i="2"/>
  <c r="G647" i="2" s="1"/>
  <c r="D647" i="2"/>
  <c r="C647" i="2"/>
  <c r="F411" i="2"/>
  <c r="E411" i="2"/>
  <c r="G411" i="2" s="1"/>
  <c r="D411" i="2"/>
  <c r="C411" i="2"/>
  <c r="F410" i="2"/>
  <c r="E410" i="2"/>
  <c r="G410" i="2" s="1"/>
  <c r="D410" i="2"/>
  <c r="C410" i="2"/>
  <c r="F409" i="2"/>
  <c r="E409" i="2"/>
  <c r="G409" i="2" s="1"/>
  <c r="D409" i="2"/>
  <c r="C409" i="2"/>
  <c r="F408" i="2"/>
  <c r="E408" i="2"/>
  <c r="G408" i="2" s="1"/>
  <c r="D408" i="2"/>
  <c r="C408" i="2"/>
  <c r="F407" i="2"/>
  <c r="E407" i="2"/>
  <c r="G407" i="2" s="1"/>
  <c r="D407" i="2"/>
  <c r="C407" i="2"/>
  <c r="F406" i="2"/>
  <c r="E406" i="2"/>
  <c r="G406" i="2" s="1"/>
  <c r="D406" i="2"/>
  <c r="C406" i="2"/>
  <c r="F405" i="2"/>
  <c r="E405" i="2"/>
  <c r="D405" i="2"/>
  <c r="C405" i="2"/>
  <c r="F404" i="2"/>
  <c r="E404" i="2"/>
  <c r="G404" i="2" s="1"/>
  <c r="D404" i="2"/>
  <c r="C404" i="2"/>
  <c r="F403" i="2"/>
  <c r="E403" i="2"/>
  <c r="D403" i="2"/>
  <c r="C403" i="2"/>
  <c r="F402" i="2"/>
  <c r="E402" i="2"/>
  <c r="G402" i="2" s="1"/>
  <c r="D402" i="2"/>
  <c r="C402" i="2"/>
  <c r="F401" i="2"/>
  <c r="E401" i="2"/>
  <c r="D401" i="2"/>
  <c r="C401" i="2"/>
  <c r="F646" i="2"/>
  <c r="E646" i="2"/>
  <c r="G646" i="2" s="1"/>
  <c r="D646" i="2"/>
  <c r="C646" i="2"/>
  <c r="F645" i="2"/>
  <c r="E645" i="2"/>
  <c r="D645" i="2"/>
  <c r="C645" i="2"/>
  <c r="F400" i="2"/>
  <c r="E400" i="2"/>
  <c r="G400" i="2" s="1"/>
  <c r="D400" i="2"/>
  <c r="C400" i="2"/>
  <c r="F399" i="2"/>
  <c r="G399" i="2" s="1"/>
  <c r="E399" i="2"/>
  <c r="D399" i="2"/>
  <c r="C399" i="2"/>
  <c r="F398" i="2"/>
  <c r="E398" i="2"/>
  <c r="G398" i="2" s="1"/>
  <c r="D398" i="2"/>
  <c r="C398" i="2"/>
  <c r="F397" i="2"/>
  <c r="E397" i="2"/>
  <c r="D397" i="2"/>
  <c r="C397" i="2"/>
  <c r="F396" i="2"/>
  <c r="E396" i="2"/>
  <c r="G396" i="2" s="1"/>
  <c r="D396" i="2"/>
  <c r="C396" i="2"/>
  <c r="F395" i="2"/>
  <c r="E395" i="2"/>
  <c r="G395" i="2" s="1"/>
  <c r="D395" i="2"/>
  <c r="C395" i="2"/>
  <c r="F394" i="2"/>
  <c r="E394" i="2"/>
  <c r="G394" i="2" s="1"/>
  <c r="D394" i="2"/>
  <c r="C394" i="2"/>
  <c r="F644" i="2"/>
  <c r="E644" i="2"/>
  <c r="G644" i="2" s="1"/>
  <c r="D644" i="2"/>
  <c r="C644" i="2"/>
  <c r="F643" i="2"/>
  <c r="E643" i="2"/>
  <c r="G643" i="2" s="1"/>
  <c r="D643" i="2"/>
  <c r="C643" i="2"/>
  <c r="F393" i="2"/>
  <c r="E393" i="2"/>
  <c r="D393" i="2"/>
  <c r="C393" i="2"/>
  <c r="F392" i="2"/>
  <c r="G392" i="2" s="1"/>
  <c r="E392" i="2"/>
  <c r="D392" i="2"/>
  <c r="C392" i="2"/>
  <c r="F391" i="2"/>
  <c r="E391" i="2"/>
  <c r="G391" i="2" s="1"/>
  <c r="D391" i="2"/>
  <c r="C391" i="2"/>
  <c r="F390" i="2"/>
  <c r="E390" i="2"/>
  <c r="D390" i="2"/>
  <c r="C390" i="2"/>
  <c r="F389" i="2"/>
  <c r="E389" i="2"/>
  <c r="G389" i="2" s="1"/>
  <c r="D389" i="2"/>
  <c r="C389" i="2"/>
  <c r="G388" i="2"/>
  <c r="F388" i="2"/>
  <c r="E388" i="2"/>
  <c r="D388" i="2"/>
  <c r="C388" i="2"/>
  <c r="F387" i="2"/>
  <c r="E387" i="2"/>
  <c r="G387" i="2" s="1"/>
  <c r="D387" i="2"/>
  <c r="C387" i="2"/>
  <c r="F642" i="2"/>
  <c r="E642" i="2"/>
  <c r="D642" i="2"/>
  <c r="C642" i="2"/>
  <c r="F386" i="2"/>
  <c r="E386" i="2"/>
  <c r="D386" i="2"/>
  <c r="C386" i="2"/>
  <c r="F641" i="2"/>
  <c r="E641" i="2"/>
  <c r="G641" i="2" s="1"/>
  <c r="D641" i="2"/>
  <c r="C641" i="2"/>
  <c r="F385" i="2"/>
  <c r="E385" i="2"/>
  <c r="D385" i="2"/>
  <c r="C385" i="2"/>
  <c r="F384" i="2"/>
  <c r="E384" i="2"/>
  <c r="G384" i="2" s="1"/>
  <c r="D384" i="2"/>
  <c r="C384" i="2"/>
  <c r="F383" i="2"/>
  <c r="E383" i="2"/>
  <c r="G383" i="2" s="1"/>
  <c r="D383" i="2"/>
  <c r="C383" i="2"/>
  <c r="F382" i="2"/>
  <c r="E382" i="2"/>
  <c r="G382" i="2" s="1"/>
  <c r="D382" i="2"/>
  <c r="C382" i="2"/>
  <c r="F381" i="2"/>
  <c r="E381" i="2"/>
  <c r="G381" i="2" s="1"/>
  <c r="D381" i="2"/>
  <c r="C381" i="2"/>
  <c r="F380" i="2"/>
  <c r="E380" i="2"/>
  <c r="G380" i="2" s="1"/>
  <c r="D380" i="2"/>
  <c r="C380" i="2"/>
  <c r="F379" i="2"/>
  <c r="E379" i="2"/>
  <c r="D379" i="2"/>
  <c r="C379" i="2"/>
  <c r="F378" i="2"/>
  <c r="E378" i="2"/>
  <c r="G378" i="2" s="1"/>
  <c r="D378" i="2"/>
  <c r="C378" i="2"/>
  <c r="F640" i="2"/>
  <c r="E640" i="2"/>
  <c r="D640" i="2"/>
  <c r="C640" i="2"/>
  <c r="F639" i="2"/>
  <c r="E639" i="2"/>
  <c r="G639" i="2" s="1"/>
  <c r="D639" i="2"/>
  <c r="C639" i="2"/>
  <c r="F377" i="2"/>
  <c r="E377" i="2"/>
  <c r="D377" i="2"/>
  <c r="C377" i="2"/>
  <c r="F638" i="2"/>
  <c r="G638" i="2" s="1"/>
  <c r="E638" i="2"/>
  <c r="D638" i="2"/>
  <c r="C638" i="2"/>
  <c r="F376" i="2"/>
  <c r="E376" i="2"/>
  <c r="D376" i="2"/>
  <c r="C376" i="2"/>
  <c r="F637" i="2"/>
  <c r="E637" i="2"/>
  <c r="D637" i="2"/>
  <c r="C637" i="2"/>
  <c r="F375" i="2"/>
  <c r="E375" i="2"/>
  <c r="D375" i="2"/>
  <c r="C375" i="2"/>
  <c r="G374" i="2"/>
  <c r="F374" i="2"/>
  <c r="E374" i="2"/>
  <c r="D374" i="2"/>
  <c r="C374" i="2"/>
  <c r="F636" i="2"/>
  <c r="E636" i="2"/>
  <c r="D636" i="2"/>
  <c r="C636" i="2"/>
  <c r="F635" i="2"/>
  <c r="E635" i="2"/>
  <c r="D635" i="2"/>
  <c r="C635" i="2"/>
  <c r="F373" i="2"/>
  <c r="E373" i="2"/>
  <c r="G373" i="2" s="1"/>
  <c r="D373" i="2"/>
  <c r="C373" i="2"/>
  <c r="F634" i="2"/>
  <c r="E634" i="2"/>
  <c r="G634" i="2" s="1"/>
  <c r="D634" i="2"/>
  <c r="C634" i="2"/>
  <c r="F372" i="2"/>
  <c r="E372" i="2"/>
  <c r="G372" i="2" s="1"/>
  <c r="D372" i="2"/>
  <c r="C372" i="2"/>
  <c r="F371" i="2"/>
  <c r="E371" i="2"/>
  <c r="G371" i="2" s="1"/>
  <c r="D371" i="2"/>
  <c r="C371" i="2"/>
  <c r="F370" i="2"/>
  <c r="E370" i="2"/>
  <c r="D370" i="2"/>
  <c r="C370" i="2"/>
  <c r="F369" i="2"/>
  <c r="G369" i="2" s="1"/>
  <c r="E369" i="2"/>
  <c r="D369" i="2"/>
  <c r="C369" i="2"/>
  <c r="F368" i="2"/>
  <c r="E368" i="2"/>
  <c r="D368" i="2"/>
  <c r="C368" i="2"/>
  <c r="F367" i="2"/>
  <c r="E367" i="2"/>
  <c r="D367" i="2"/>
  <c r="C367" i="2"/>
  <c r="F366" i="2"/>
  <c r="E366" i="2"/>
  <c r="G366" i="2" s="1"/>
  <c r="D366" i="2"/>
  <c r="C366" i="2"/>
  <c r="G365" i="2"/>
  <c r="F365" i="2"/>
  <c r="E365" i="2"/>
  <c r="D365" i="2"/>
  <c r="C365" i="2"/>
  <c r="F364" i="2"/>
  <c r="E364" i="2"/>
  <c r="D364" i="2"/>
  <c r="C364" i="2"/>
  <c r="F363" i="2"/>
  <c r="E363" i="2"/>
  <c r="G363" i="2" s="1"/>
  <c r="D363" i="2"/>
  <c r="C363" i="2"/>
  <c r="F362" i="2"/>
  <c r="G362" i="2" s="1"/>
  <c r="E362" i="2"/>
  <c r="D362" i="2"/>
  <c r="C362" i="2"/>
  <c r="F633" i="2"/>
  <c r="E633" i="2"/>
  <c r="G633" i="2" s="1"/>
  <c r="D633" i="2"/>
  <c r="C633" i="2"/>
  <c r="F361" i="2"/>
  <c r="G361" i="2" s="1"/>
  <c r="E361" i="2"/>
  <c r="D361" i="2"/>
  <c r="C361" i="2"/>
  <c r="F360" i="2"/>
  <c r="E360" i="2"/>
  <c r="G360" i="2" s="1"/>
  <c r="D360" i="2"/>
  <c r="C360" i="2"/>
  <c r="F359" i="2"/>
  <c r="E359" i="2"/>
  <c r="D359" i="2"/>
  <c r="C359" i="2"/>
  <c r="F358" i="2"/>
  <c r="E358" i="2"/>
  <c r="G358" i="2" s="1"/>
  <c r="D358" i="2"/>
  <c r="C358" i="2"/>
  <c r="F632" i="2"/>
  <c r="E632" i="2"/>
  <c r="D632" i="2"/>
  <c r="C632" i="2"/>
  <c r="F357" i="2"/>
  <c r="E357" i="2"/>
  <c r="G357" i="2" s="1"/>
  <c r="D357" i="2"/>
  <c r="C357" i="2"/>
  <c r="F356" i="2"/>
  <c r="G356" i="2" s="1"/>
  <c r="E356" i="2"/>
  <c r="D356" i="2"/>
  <c r="C356" i="2"/>
  <c r="F355" i="2"/>
  <c r="E355" i="2"/>
  <c r="G355" i="2" s="1"/>
  <c r="D355" i="2"/>
  <c r="C355" i="2"/>
  <c r="F354" i="2"/>
  <c r="E354" i="2"/>
  <c r="D354" i="2"/>
  <c r="C354" i="2"/>
  <c r="F353" i="2"/>
  <c r="E353" i="2"/>
  <c r="G353" i="2" s="1"/>
  <c r="D353" i="2"/>
  <c r="C353" i="2"/>
  <c r="F352" i="2"/>
  <c r="E352" i="2"/>
  <c r="D352" i="2"/>
  <c r="C352" i="2"/>
  <c r="F351" i="2"/>
  <c r="E351" i="2"/>
  <c r="G351" i="2" s="1"/>
  <c r="D351" i="2"/>
  <c r="C351" i="2"/>
  <c r="F350" i="2"/>
  <c r="E350" i="2"/>
  <c r="G350" i="2" s="1"/>
  <c r="D350" i="2"/>
  <c r="C350" i="2"/>
  <c r="F631" i="2"/>
  <c r="E631" i="2"/>
  <c r="G631" i="2" s="1"/>
  <c r="D631" i="2"/>
  <c r="C631" i="2"/>
  <c r="F630" i="2"/>
  <c r="E630" i="2"/>
  <c r="D630" i="2"/>
  <c r="C630" i="2"/>
  <c r="F349" i="2"/>
  <c r="E349" i="2"/>
  <c r="G349" i="2" s="1"/>
  <c r="D349" i="2"/>
  <c r="C349" i="2"/>
  <c r="F348" i="2"/>
  <c r="E348" i="2"/>
  <c r="G348" i="2" s="1"/>
  <c r="D348" i="2"/>
  <c r="C348" i="2"/>
  <c r="F347" i="2"/>
  <c r="E347" i="2"/>
  <c r="G347" i="2" s="1"/>
  <c r="D347" i="2"/>
  <c r="C347" i="2"/>
  <c r="F346" i="2"/>
  <c r="E346" i="2"/>
  <c r="G346" i="2" s="1"/>
  <c r="D346" i="2"/>
  <c r="C346" i="2"/>
  <c r="F345" i="2"/>
  <c r="E345" i="2"/>
  <c r="G345" i="2" s="1"/>
  <c r="D345" i="2"/>
  <c r="C345" i="2"/>
  <c r="F344" i="2"/>
  <c r="E344" i="2"/>
  <c r="G344" i="2" s="1"/>
  <c r="D344" i="2"/>
  <c r="C344" i="2"/>
  <c r="F343" i="2"/>
  <c r="E343" i="2"/>
  <c r="G343" i="2" s="1"/>
  <c r="D343" i="2"/>
  <c r="C343" i="2"/>
  <c r="F629" i="2"/>
  <c r="E629" i="2"/>
  <c r="D629" i="2"/>
  <c r="C629" i="2"/>
  <c r="F342" i="2"/>
  <c r="G342" i="2" s="1"/>
  <c r="E342" i="2"/>
  <c r="D342" i="2"/>
  <c r="C342" i="2"/>
  <c r="F341" i="2"/>
  <c r="E341" i="2"/>
  <c r="G341" i="2" s="1"/>
  <c r="D341" i="2"/>
  <c r="C341" i="2"/>
  <c r="F340" i="2"/>
  <c r="E340" i="2"/>
  <c r="D340" i="2"/>
  <c r="C340" i="2"/>
  <c r="F628" i="2"/>
  <c r="E628" i="2"/>
  <c r="G628" i="2" s="1"/>
  <c r="D628" i="2"/>
  <c r="C628" i="2"/>
  <c r="G339" i="2"/>
  <c r="F339" i="2"/>
  <c r="E339" i="2"/>
  <c r="D339" i="2"/>
  <c r="C339" i="2"/>
  <c r="F338" i="2"/>
  <c r="E338" i="2"/>
  <c r="G338" i="2" s="1"/>
  <c r="D338" i="2"/>
  <c r="C338" i="2"/>
  <c r="F337" i="2"/>
  <c r="E337" i="2"/>
  <c r="G337" i="2" s="1"/>
  <c r="D337" i="2"/>
  <c r="C337" i="2"/>
  <c r="F336" i="2"/>
  <c r="E336" i="2"/>
  <c r="D336" i="2"/>
  <c r="C336" i="2"/>
  <c r="F335" i="2"/>
  <c r="E335" i="2"/>
  <c r="G335" i="2" s="1"/>
  <c r="D335" i="2"/>
  <c r="C335" i="2"/>
  <c r="F334" i="2"/>
  <c r="E334" i="2"/>
  <c r="G334" i="2" s="1"/>
  <c r="D334" i="2"/>
  <c r="C334" i="2"/>
  <c r="F333" i="2"/>
  <c r="E333" i="2"/>
  <c r="G333" i="2" s="1"/>
  <c r="D333" i="2"/>
  <c r="C333" i="2"/>
  <c r="F332" i="2"/>
  <c r="E332" i="2"/>
  <c r="G332" i="2" s="1"/>
  <c r="D332" i="2"/>
  <c r="C332" i="2"/>
  <c r="F331" i="2"/>
  <c r="E331" i="2"/>
  <c r="G331" i="2" s="1"/>
  <c r="D331" i="2"/>
  <c r="C331" i="2"/>
  <c r="F330" i="2"/>
  <c r="E330" i="2"/>
  <c r="G330" i="2" s="1"/>
  <c r="D330" i="2"/>
  <c r="C330" i="2"/>
  <c r="F329" i="2"/>
  <c r="E329" i="2"/>
  <c r="G329" i="2" s="1"/>
  <c r="D329" i="2"/>
  <c r="C329" i="2"/>
  <c r="F328" i="2"/>
  <c r="E328" i="2"/>
  <c r="D328" i="2"/>
  <c r="C328" i="2"/>
  <c r="F327" i="2"/>
  <c r="E327" i="2"/>
  <c r="D327" i="2"/>
  <c r="C327" i="2"/>
  <c r="F326" i="2"/>
  <c r="E326" i="2"/>
  <c r="D326" i="2"/>
  <c r="C326" i="2"/>
  <c r="F325" i="2"/>
  <c r="E325" i="2"/>
  <c r="D325" i="2"/>
  <c r="C325" i="2"/>
  <c r="F324" i="2"/>
  <c r="E324" i="2"/>
  <c r="D324" i="2"/>
  <c r="C324" i="2"/>
  <c r="F323" i="2"/>
  <c r="E323" i="2"/>
  <c r="G323" i="2" s="1"/>
  <c r="D323" i="2"/>
  <c r="C323" i="2"/>
  <c r="F627" i="2"/>
  <c r="E627" i="2"/>
  <c r="G627" i="2" s="1"/>
  <c r="D627" i="2"/>
  <c r="C627" i="2"/>
  <c r="F626" i="2"/>
  <c r="E626" i="2"/>
  <c r="G626" i="2" s="1"/>
  <c r="D626" i="2"/>
  <c r="C626" i="2"/>
  <c r="F322" i="2"/>
  <c r="E322" i="2"/>
  <c r="D322" i="2"/>
  <c r="C322" i="2"/>
  <c r="F625" i="2"/>
  <c r="E625" i="2"/>
  <c r="G625" i="2" s="1"/>
  <c r="D625" i="2"/>
  <c r="C625" i="2"/>
  <c r="F624" i="2"/>
  <c r="E624" i="2"/>
  <c r="G624" i="2" s="1"/>
  <c r="D624" i="2"/>
  <c r="C624" i="2"/>
  <c r="F623" i="2"/>
  <c r="E623" i="2"/>
  <c r="G623" i="2" s="1"/>
  <c r="D623" i="2"/>
  <c r="C623" i="2"/>
  <c r="F321" i="2"/>
  <c r="E321" i="2"/>
  <c r="G321" i="2" s="1"/>
  <c r="D321" i="2"/>
  <c r="C321" i="2"/>
  <c r="F320" i="2"/>
  <c r="E320" i="2"/>
  <c r="G320" i="2" s="1"/>
  <c r="D320" i="2"/>
  <c r="C320" i="2"/>
  <c r="F319" i="2"/>
  <c r="E319" i="2"/>
  <c r="G319" i="2" s="1"/>
  <c r="D319" i="2"/>
  <c r="C319" i="2"/>
  <c r="F318" i="2"/>
  <c r="E318" i="2"/>
  <c r="G318" i="2" s="1"/>
  <c r="D318" i="2"/>
  <c r="C318" i="2"/>
  <c r="F317" i="2"/>
  <c r="E317" i="2"/>
  <c r="D317" i="2"/>
  <c r="C317" i="2"/>
  <c r="F316" i="2"/>
  <c r="G316" i="2" s="1"/>
  <c r="E316" i="2"/>
  <c r="D316" i="2"/>
  <c r="C316" i="2"/>
  <c r="F315" i="2"/>
  <c r="E315" i="2"/>
  <c r="D315" i="2"/>
  <c r="C315" i="2"/>
  <c r="F622" i="2"/>
  <c r="E622" i="2"/>
  <c r="D622" i="2"/>
  <c r="C622" i="2"/>
  <c r="F314" i="2"/>
  <c r="E314" i="2"/>
  <c r="D314" i="2"/>
  <c r="C314" i="2"/>
  <c r="G621" i="2"/>
  <c r="F621" i="2"/>
  <c r="E621" i="2"/>
  <c r="D621" i="2"/>
  <c r="C621" i="2"/>
  <c r="F313" i="2"/>
  <c r="E313" i="2"/>
  <c r="G313" i="2" s="1"/>
  <c r="D313" i="2"/>
  <c r="C313" i="2"/>
  <c r="F312" i="2"/>
  <c r="E312" i="2"/>
  <c r="G312" i="2" s="1"/>
  <c r="D312" i="2"/>
  <c r="C312" i="2"/>
  <c r="F311" i="2"/>
  <c r="E311" i="2"/>
  <c r="D311" i="2"/>
  <c r="C311" i="2"/>
  <c r="F620" i="2"/>
  <c r="E620" i="2"/>
  <c r="G620" i="2" s="1"/>
  <c r="D620" i="2"/>
  <c r="C620" i="2"/>
  <c r="F310" i="2"/>
  <c r="E310" i="2"/>
  <c r="G310" i="2" s="1"/>
  <c r="D310" i="2"/>
  <c r="C310" i="2"/>
  <c r="F309" i="2"/>
  <c r="E309" i="2"/>
  <c r="G309" i="2" s="1"/>
  <c r="D309" i="2"/>
  <c r="C309" i="2"/>
  <c r="F619" i="2"/>
  <c r="E619" i="2"/>
  <c r="G619" i="2" s="1"/>
  <c r="D619" i="2"/>
  <c r="C619" i="2"/>
  <c r="F308" i="2"/>
  <c r="E308" i="2"/>
  <c r="G308" i="2" s="1"/>
  <c r="D308" i="2"/>
  <c r="C308" i="2"/>
  <c r="F618" i="2"/>
  <c r="E618" i="2"/>
  <c r="G618" i="2" s="1"/>
  <c r="D618" i="2"/>
  <c r="C618" i="2"/>
  <c r="F307" i="2"/>
  <c r="E307" i="2"/>
  <c r="G307" i="2" s="1"/>
  <c r="D307" i="2"/>
  <c r="C307" i="2"/>
  <c r="F306" i="2"/>
  <c r="E306" i="2"/>
  <c r="D306" i="2"/>
  <c r="C306" i="2"/>
  <c r="F617" i="2"/>
  <c r="E617" i="2"/>
  <c r="G617" i="2" s="1"/>
  <c r="D617" i="2"/>
  <c r="C617" i="2"/>
  <c r="F616" i="2"/>
  <c r="E616" i="2"/>
  <c r="D616" i="2"/>
  <c r="C616" i="2"/>
  <c r="F305" i="2"/>
  <c r="E305" i="2"/>
  <c r="G305" i="2" s="1"/>
  <c r="D305" i="2"/>
  <c r="C305" i="2"/>
  <c r="F615" i="2"/>
  <c r="E615" i="2"/>
  <c r="D615" i="2"/>
  <c r="C615" i="2"/>
  <c r="F304" i="2"/>
  <c r="E304" i="2"/>
  <c r="G304" i="2" s="1"/>
  <c r="D304" i="2"/>
  <c r="C304" i="2"/>
  <c r="F614" i="2"/>
  <c r="E614" i="2"/>
  <c r="G614" i="2" s="1"/>
  <c r="D614" i="2"/>
  <c r="C614" i="2"/>
  <c r="F303" i="2"/>
  <c r="E303" i="2"/>
  <c r="G303" i="2" s="1"/>
  <c r="D303" i="2"/>
  <c r="C303" i="2"/>
  <c r="F302" i="2"/>
  <c r="E302" i="2"/>
  <c r="D302" i="2"/>
  <c r="C302" i="2"/>
  <c r="F301" i="2"/>
  <c r="G301" i="2" s="1"/>
  <c r="E301" i="2"/>
  <c r="D301" i="2"/>
  <c r="C301" i="2"/>
  <c r="F613" i="2"/>
  <c r="E613" i="2"/>
  <c r="D613" i="2"/>
  <c r="C613" i="2"/>
  <c r="F612" i="2"/>
  <c r="E612" i="2"/>
  <c r="D612" i="2"/>
  <c r="C612" i="2"/>
  <c r="F300" i="2"/>
  <c r="E300" i="2"/>
  <c r="D300" i="2"/>
  <c r="C300" i="2"/>
  <c r="G299" i="2"/>
  <c r="F299" i="2"/>
  <c r="E299" i="2"/>
  <c r="D299" i="2"/>
  <c r="C299" i="2"/>
  <c r="F298" i="2"/>
  <c r="E298" i="2"/>
  <c r="G298" i="2" s="1"/>
  <c r="D298" i="2"/>
  <c r="C298" i="2"/>
  <c r="F611" i="2"/>
  <c r="E611" i="2"/>
  <c r="D611" i="2"/>
  <c r="C611" i="2"/>
  <c r="F297" i="2"/>
  <c r="E297" i="2"/>
  <c r="D297" i="2"/>
  <c r="C297" i="2"/>
  <c r="F296" i="2"/>
  <c r="G296" i="2" s="1"/>
  <c r="E296" i="2"/>
  <c r="D296" i="2"/>
  <c r="C296" i="2"/>
  <c r="F295" i="2"/>
  <c r="E295" i="2"/>
  <c r="G295" i="2" s="1"/>
  <c r="D295" i="2"/>
  <c r="C295" i="2"/>
  <c r="F610" i="2"/>
  <c r="E610" i="2"/>
  <c r="D610" i="2"/>
  <c r="C610" i="2"/>
  <c r="F294" i="2"/>
  <c r="E294" i="2"/>
  <c r="G294" i="2" s="1"/>
  <c r="D294" i="2"/>
  <c r="C294" i="2"/>
  <c r="G293" i="2"/>
  <c r="F293" i="2"/>
  <c r="E293" i="2"/>
  <c r="D293" i="2"/>
  <c r="C293" i="2"/>
  <c r="F292" i="2"/>
  <c r="E292" i="2"/>
  <c r="G292" i="2" s="1"/>
  <c r="D292" i="2"/>
  <c r="C292" i="2"/>
  <c r="F291" i="2"/>
  <c r="E291" i="2"/>
  <c r="G291" i="2" s="1"/>
  <c r="D291" i="2"/>
  <c r="C291" i="2"/>
  <c r="F609" i="2"/>
  <c r="E609" i="2"/>
  <c r="D609" i="2"/>
  <c r="C609" i="2"/>
  <c r="F290" i="2"/>
  <c r="E290" i="2"/>
  <c r="G290" i="2" s="1"/>
  <c r="D290" i="2"/>
  <c r="C290" i="2"/>
  <c r="F608" i="2"/>
  <c r="E608" i="2"/>
  <c r="G608" i="2" s="1"/>
  <c r="D608" i="2"/>
  <c r="C608" i="2"/>
  <c r="F289" i="2"/>
  <c r="E289" i="2"/>
  <c r="D289" i="2"/>
  <c r="C289" i="2"/>
  <c r="F607" i="2"/>
  <c r="E607" i="2"/>
  <c r="G607" i="2" s="1"/>
  <c r="D607" i="2"/>
  <c r="C607" i="2"/>
  <c r="F288" i="2"/>
  <c r="E288" i="2"/>
  <c r="G288" i="2" s="1"/>
  <c r="D288" i="2"/>
  <c r="C288" i="2"/>
  <c r="F606" i="2"/>
  <c r="E606" i="2"/>
  <c r="G606" i="2" s="1"/>
  <c r="D606" i="2"/>
  <c r="C606" i="2"/>
  <c r="F605" i="2"/>
  <c r="E605" i="2"/>
  <c r="G605" i="2" s="1"/>
  <c r="D605" i="2"/>
  <c r="C605" i="2"/>
  <c r="F287" i="2"/>
  <c r="E287" i="2"/>
  <c r="D287" i="2"/>
  <c r="C287" i="2"/>
  <c r="F286" i="2"/>
  <c r="E286" i="2"/>
  <c r="G286" i="2" s="1"/>
  <c r="D286" i="2"/>
  <c r="C286" i="2"/>
  <c r="F285" i="2"/>
  <c r="E285" i="2"/>
  <c r="D285" i="2"/>
  <c r="C285" i="2"/>
  <c r="F284" i="2"/>
  <c r="E284" i="2"/>
  <c r="G284" i="2" s="1"/>
  <c r="D284" i="2"/>
  <c r="C284" i="2"/>
  <c r="F604" i="2"/>
  <c r="E604" i="2"/>
  <c r="D604" i="2"/>
  <c r="C604" i="2"/>
  <c r="F603" i="2"/>
  <c r="E603" i="2"/>
  <c r="G603" i="2" s="1"/>
  <c r="D603" i="2"/>
  <c r="C603" i="2"/>
  <c r="F283" i="2"/>
  <c r="E283" i="2"/>
  <c r="G283" i="2" s="1"/>
  <c r="D283" i="2"/>
  <c r="C283" i="2"/>
  <c r="F602" i="2"/>
  <c r="E602" i="2"/>
  <c r="G602" i="2" s="1"/>
  <c r="D602" i="2"/>
  <c r="C602" i="2"/>
  <c r="F601" i="2"/>
  <c r="E601" i="2"/>
  <c r="D601" i="2"/>
  <c r="C601" i="2"/>
  <c r="F282" i="2"/>
  <c r="E282" i="2"/>
  <c r="G282" i="2" s="1"/>
  <c r="D282" i="2"/>
  <c r="C282" i="2"/>
  <c r="F281" i="2"/>
  <c r="E281" i="2"/>
  <c r="D281" i="2"/>
  <c r="C281" i="2"/>
  <c r="F280" i="2"/>
  <c r="E280" i="2"/>
  <c r="G280" i="2" s="1"/>
  <c r="D280" i="2"/>
  <c r="C280" i="2"/>
  <c r="F600" i="2"/>
  <c r="E600" i="2"/>
  <c r="D600" i="2"/>
  <c r="C600" i="2"/>
  <c r="F279" i="2"/>
  <c r="E279" i="2"/>
  <c r="G279" i="2" s="1"/>
  <c r="D279" i="2"/>
  <c r="C279" i="2"/>
  <c r="F278" i="2"/>
  <c r="E278" i="2"/>
  <c r="G278" i="2" s="1"/>
  <c r="D278" i="2"/>
  <c r="C278" i="2"/>
  <c r="F277" i="2"/>
  <c r="E277" i="2"/>
  <c r="G277" i="2" s="1"/>
  <c r="D277" i="2"/>
  <c r="C277" i="2"/>
  <c r="F276" i="2"/>
  <c r="E276" i="2"/>
  <c r="D276" i="2"/>
  <c r="C276" i="2"/>
  <c r="F599" i="2"/>
  <c r="G599" i="2" s="1"/>
  <c r="E599" i="2"/>
  <c r="D599" i="2"/>
  <c r="C599" i="2"/>
  <c r="F275" i="2"/>
  <c r="E275" i="2"/>
  <c r="G275" i="2" s="1"/>
  <c r="D275" i="2"/>
  <c r="C275" i="2"/>
  <c r="F274" i="2"/>
  <c r="E274" i="2"/>
  <c r="D274" i="2"/>
  <c r="C274" i="2"/>
  <c r="F273" i="2"/>
  <c r="E273" i="2"/>
  <c r="G273" i="2" s="1"/>
  <c r="D273" i="2"/>
  <c r="C273" i="2"/>
  <c r="G272" i="2"/>
  <c r="F272" i="2"/>
  <c r="E272" i="2"/>
  <c r="D272" i="2"/>
  <c r="C272" i="2"/>
  <c r="F271" i="2"/>
  <c r="E271" i="2"/>
  <c r="G271" i="2" s="1"/>
  <c r="D271" i="2"/>
  <c r="C271" i="2"/>
  <c r="F270" i="2"/>
  <c r="E270" i="2"/>
  <c r="G270" i="2" s="1"/>
  <c r="D270" i="2"/>
  <c r="C270" i="2"/>
  <c r="F269" i="2"/>
  <c r="E269" i="2"/>
  <c r="D269" i="2"/>
  <c r="C269" i="2"/>
  <c r="F268" i="2"/>
  <c r="E268" i="2"/>
  <c r="G268" i="2" s="1"/>
  <c r="D268" i="2"/>
  <c r="C268" i="2"/>
  <c r="F267" i="2"/>
  <c r="E267" i="2"/>
  <c r="G267" i="2" s="1"/>
  <c r="D267" i="2"/>
  <c r="C267" i="2"/>
  <c r="F598" i="2"/>
  <c r="E598" i="2"/>
  <c r="D598" i="2"/>
  <c r="C598" i="2"/>
  <c r="F266" i="2"/>
  <c r="E266" i="2"/>
  <c r="G266" i="2" s="1"/>
  <c r="D266" i="2"/>
  <c r="C266" i="2"/>
  <c r="F597" i="2"/>
  <c r="E597" i="2"/>
  <c r="G597" i="2" s="1"/>
  <c r="D597" i="2"/>
  <c r="C597" i="2"/>
  <c r="F265" i="2"/>
  <c r="E265" i="2"/>
  <c r="G265" i="2" s="1"/>
  <c r="D265" i="2"/>
  <c r="C265" i="2"/>
  <c r="F264" i="2"/>
  <c r="E264" i="2"/>
  <c r="G264" i="2" s="1"/>
  <c r="D264" i="2"/>
  <c r="C264" i="2"/>
  <c r="F596" i="2"/>
  <c r="E596" i="2"/>
  <c r="D596" i="2"/>
  <c r="C596" i="2"/>
  <c r="F263" i="2"/>
  <c r="E263" i="2"/>
  <c r="D263" i="2"/>
  <c r="C263" i="2"/>
  <c r="F262" i="2"/>
  <c r="E262" i="2"/>
  <c r="D262" i="2"/>
  <c r="C262" i="2"/>
  <c r="F595" i="2"/>
  <c r="E595" i="2"/>
  <c r="D595" i="2"/>
  <c r="C595" i="2"/>
  <c r="F261" i="2"/>
  <c r="E261" i="2"/>
  <c r="D261" i="2"/>
  <c r="C261" i="2"/>
  <c r="G260" i="2"/>
  <c r="F260" i="2"/>
  <c r="E260" i="2"/>
  <c r="D260" i="2"/>
  <c r="C260" i="2"/>
  <c r="F259" i="2"/>
  <c r="E259" i="2"/>
  <c r="G259" i="2" s="1"/>
  <c r="D259" i="2"/>
  <c r="C259" i="2"/>
  <c r="F258" i="2"/>
  <c r="E258" i="2"/>
  <c r="D258" i="2"/>
  <c r="C258" i="2"/>
  <c r="F257" i="2"/>
  <c r="E257" i="2"/>
  <c r="D257" i="2"/>
  <c r="C257" i="2"/>
  <c r="F256" i="2"/>
  <c r="E256" i="2"/>
  <c r="G256" i="2" s="1"/>
  <c r="D256" i="2"/>
  <c r="C256" i="2"/>
  <c r="F255" i="2"/>
  <c r="G255" i="2" s="1"/>
  <c r="E255" i="2"/>
  <c r="D255" i="2"/>
  <c r="C255" i="2"/>
  <c r="F254" i="2"/>
  <c r="E254" i="2"/>
  <c r="G254" i="2" s="1"/>
  <c r="D254" i="2"/>
  <c r="C254" i="2"/>
  <c r="F253" i="2"/>
  <c r="E253" i="2"/>
  <c r="D253" i="2"/>
  <c r="C253" i="2"/>
  <c r="F252" i="2"/>
  <c r="E252" i="2"/>
  <c r="G252" i="2" s="1"/>
  <c r="D252" i="2"/>
  <c r="C252" i="2"/>
  <c r="F251" i="2"/>
  <c r="E251" i="2"/>
  <c r="G251" i="2" s="1"/>
  <c r="D251" i="2"/>
  <c r="C251" i="2"/>
  <c r="F250" i="2"/>
  <c r="E250" i="2"/>
  <c r="G250" i="2" s="1"/>
  <c r="D250" i="2"/>
  <c r="C250" i="2"/>
  <c r="F249" i="2"/>
  <c r="E249" i="2"/>
  <c r="D249" i="2"/>
  <c r="C249" i="2"/>
  <c r="F248" i="2"/>
  <c r="G248" i="2" s="1"/>
  <c r="E248" i="2"/>
  <c r="D248" i="2"/>
  <c r="C248" i="2"/>
  <c r="F247" i="2"/>
  <c r="E247" i="2"/>
  <c r="D247" i="2"/>
  <c r="C247" i="2"/>
  <c r="F246" i="2"/>
  <c r="E246" i="2"/>
  <c r="D246" i="2"/>
  <c r="C246" i="2"/>
  <c r="F594" i="2"/>
  <c r="E594" i="2"/>
  <c r="D594" i="2"/>
  <c r="C594" i="2"/>
  <c r="G245" i="2"/>
  <c r="F245" i="2"/>
  <c r="E245" i="2"/>
  <c r="D245" i="2"/>
  <c r="C245" i="2"/>
  <c r="F593" i="2"/>
  <c r="E593" i="2"/>
  <c r="D593" i="2"/>
  <c r="C593" i="2"/>
  <c r="F244" i="2"/>
  <c r="E244" i="2"/>
  <c r="G244" i="2" s="1"/>
  <c r="D244" i="2"/>
  <c r="C244" i="2"/>
  <c r="F243" i="2"/>
  <c r="G243" i="2" s="1"/>
  <c r="E243" i="2"/>
  <c r="D243" i="2"/>
  <c r="C243" i="2"/>
  <c r="F242" i="2"/>
  <c r="E242" i="2"/>
  <c r="G242" i="2" s="1"/>
  <c r="D242" i="2"/>
  <c r="C242" i="2"/>
  <c r="F592" i="2"/>
  <c r="E592" i="2"/>
  <c r="D592" i="2"/>
  <c r="C592" i="2"/>
  <c r="F241" i="2"/>
  <c r="E241" i="2"/>
  <c r="D241" i="2"/>
  <c r="C241" i="2"/>
  <c r="F240" i="2"/>
  <c r="E240" i="2"/>
  <c r="G240" i="2" s="1"/>
  <c r="D240" i="2"/>
  <c r="C240" i="2"/>
  <c r="F239" i="2"/>
  <c r="E239" i="2"/>
  <c r="G239" i="2" s="1"/>
  <c r="D239" i="2"/>
  <c r="C239" i="2"/>
  <c r="F591" i="2"/>
  <c r="E591" i="2"/>
  <c r="G591" i="2" s="1"/>
  <c r="D591" i="2"/>
  <c r="C591" i="2"/>
  <c r="F238" i="2"/>
  <c r="E238" i="2"/>
  <c r="G238" i="2" s="1"/>
  <c r="D238" i="2"/>
  <c r="C238" i="2"/>
  <c r="F590" i="2"/>
  <c r="E590" i="2"/>
  <c r="D590" i="2"/>
  <c r="C590" i="2"/>
  <c r="F589" i="2"/>
  <c r="E589" i="2"/>
  <c r="G589" i="2" s="1"/>
  <c r="D589" i="2"/>
  <c r="C589" i="2"/>
  <c r="F237" i="2"/>
  <c r="E237" i="2"/>
  <c r="D237" i="2"/>
  <c r="C237" i="2"/>
  <c r="F236" i="2"/>
  <c r="E236" i="2"/>
  <c r="G236" i="2" s="1"/>
  <c r="D236" i="2"/>
  <c r="C236" i="2"/>
  <c r="F235" i="2"/>
  <c r="E235" i="2"/>
  <c r="D235" i="2"/>
  <c r="C235" i="2"/>
  <c r="F234" i="2"/>
  <c r="E234" i="2"/>
  <c r="G234" i="2" s="1"/>
  <c r="D234" i="2"/>
  <c r="C234" i="2"/>
  <c r="F233" i="2"/>
  <c r="E233" i="2"/>
  <c r="G233" i="2" s="1"/>
  <c r="D233" i="2"/>
  <c r="C233" i="2"/>
  <c r="F232" i="2"/>
  <c r="E232" i="2"/>
  <c r="G232" i="2" s="1"/>
  <c r="D232" i="2"/>
  <c r="C232" i="2"/>
  <c r="F588" i="2"/>
  <c r="E588" i="2"/>
  <c r="D588" i="2"/>
  <c r="C588" i="2"/>
  <c r="F231" i="2"/>
  <c r="E231" i="2"/>
  <c r="G231" i="2" s="1"/>
  <c r="D231" i="2"/>
  <c r="C231" i="2"/>
  <c r="F230" i="2"/>
  <c r="E230" i="2"/>
  <c r="D230" i="2"/>
  <c r="C230" i="2"/>
  <c r="F229" i="2"/>
  <c r="E229" i="2"/>
  <c r="G229" i="2" s="1"/>
  <c r="D229" i="2"/>
  <c r="C229" i="2"/>
  <c r="F228" i="2"/>
  <c r="E228" i="2"/>
  <c r="D228" i="2"/>
  <c r="C228" i="2"/>
  <c r="F227" i="2"/>
  <c r="G227" i="2" s="1"/>
  <c r="E227" i="2"/>
  <c r="D227" i="2"/>
  <c r="C227" i="2"/>
  <c r="F587" i="2"/>
  <c r="E587" i="2"/>
  <c r="G587" i="2" s="1"/>
  <c r="D587" i="2"/>
  <c r="C587" i="2"/>
  <c r="F586" i="2"/>
  <c r="E586" i="2"/>
  <c r="D586" i="2"/>
  <c r="C586" i="2"/>
  <c r="F585" i="2"/>
  <c r="E585" i="2"/>
  <c r="D585" i="2"/>
  <c r="C585" i="2"/>
  <c r="G226" i="2"/>
  <c r="F226" i="2"/>
  <c r="E226" i="2"/>
  <c r="D226" i="2"/>
  <c r="C226" i="2"/>
  <c r="F225" i="2"/>
  <c r="E225" i="2"/>
  <c r="G225" i="2" s="1"/>
  <c r="D225" i="2"/>
  <c r="C225" i="2"/>
  <c r="F224" i="2"/>
  <c r="E224" i="2"/>
  <c r="D224" i="2"/>
  <c r="C224" i="2"/>
  <c r="F584" i="2"/>
  <c r="E584" i="2"/>
  <c r="G584" i="2" s="1"/>
  <c r="D584" i="2"/>
  <c r="C584" i="2"/>
  <c r="G223" i="2"/>
  <c r="F223" i="2"/>
  <c r="E223" i="2"/>
  <c r="D223" i="2"/>
  <c r="C223" i="2"/>
  <c r="F222" i="2"/>
  <c r="E222" i="2"/>
  <c r="G222" i="2" s="1"/>
  <c r="D222" i="2"/>
  <c r="C222" i="2"/>
  <c r="F221" i="2"/>
  <c r="E221" i="2"/>
  <c r="G221" i="2" s="1"/>
  <c r="D221" i="2"/>
  <c r="C221" i="2"/>
  <c r="F220" i="2"/>
  <c r="E220" i="2"/>
  <c r="D220" i="2"/>
  <c r="C220" i="2"/>
  <c r="F219" i="2"/>
  <c r="E219" i="2"/>
  <c r="G219" i="2" s="1"/>
  <c r="D219" i="2"/>
  <c r="C219" i="2"/>
  <c r="F583" i="2"/>
  <c r="E583" i="2"/>
  <c r="G583" i="2" s="1"/>
  <c r="D583" i="2"/>
  <c r="C583" i="2"/>
  <c r="F218" i="2"/>
  <c r="E218" i="2"/>
  <c r="D218" i="2"/>
  <c r="C218" i="2"/>
  <c r="F217" i="2"/>
  <c r="E217" i="2"/>
  <c r="G217" i="2" s="1"/>
  <c r="D217" i="2"/>
  <c r="C217" i="2"/>
  <c r="F216" i="2"/>
  <c r="E216" i="2"/>
  <c r="G216" i="2" s="1"/>
  <c r="D216" i="2"/>
  <c r="C216" i="2"/>
  <c r="F215" i="2"/>
  <c r="E215" i="2"/>
  <c r="G215" i="2" s="1"/>
  <c r="D215" i="2"/>
  <c r="C215" i="2"/>
  <c r="F582" i="2"/>
  <c r="E582" i="2"/>
  <c r="G582" i="2" s="1"/>
  <c r="D582" i="2"/>
  <c r="C582" i="2"/>
  <c r="F214" i="2"/>
  <c r="E214" i="2"/>
  <c r="D214" i="2"/>
  <c r="C214" i="2"/>
  <c r="F213" i="2"/>
  <c r="E213" i="2"/>
  <c r="G213" i="2" s="1"/>
  <c r="D213" i="2"/>
  <c r="C213" i="2"/>
  <c r="F212" i="2"/>
  <c r="E212" i="2"/>
  <c r="D212" i="2"/>
  <c r="C212" i="2"/>
  <c r="F581" i="2"/>
  <c r="E581" i="2"/>
  <c r="G581" i="2" s="1"/>
  <c r="D581" i="2"/>
  <c r="C581" i="2"/>
  <c r="F580" i="2"/>
  <c r="E580" i="2"/>
  <c r="D580" i="2"/>
  <c r="C580" i="2"/>
  <c r="F579" i="2"/>
  <c r="E579" i="2"/>
  <c r="G579" i="2" s="1"/>
  <c r="D579" i="2"/>
  <c r="C579" i="2"/>
  <c r="F211" i="2"/>
  <c r="E211" i="2"/>
  <c r="G211" i="2" s="1"/>
  <c r="D211" i="2"/>
  <c r="C211" i="2"/>
  <c r="F578" i="2"/>
  <c r="E578" i="2"/>
  <c r="G578" i="2" s="1"/>
  <c r="D578" i="2"/>
  <c r="C578" i="2"/>
  <c r="F577" i="2"/>
  <c r="E577" i="2"/>
  <c r="D577" i="2"/>
  <c r="C577" i="2"/>
  <c r="F576" i="2"/>
  <c r="E576" i="2"/>
  <c r="G576" i="2" s="1"/>
  <c r="D576" i="2"/>
  <c r="C576" i="2"/>
  <c r="F575" i="2"/>
  <c r="E575" i="2"/>
  <c r="D575" i="2"/>
  <c r="C575" i="2"/>
  <c r="F210" i="2"/>
  <c r="E210" i="2"/>
  <c r="G210" i="2" s="1"/>
  <c r="D210" i="2"/>
  <c r="C210" i="2"/>
  <c r="F209" i="2"/>
  <c r="E209" i="2"/>
  <c r="D209" i="2"/>
  <c r="C209" i="2"/>
  <c r="F208" i="2"/>
  <c r="E208" i="2"/>
  <c r="G208" i="2" s="1"/>
  <c r="D208" i="2"/>
  <c r="C208" i="2"/>
  <c r="F207" i="2"/>
  <c r="E207" i="2"/>
  <c r="G207" i="2" s="1"/>
  <c r="D207" i="2"/>
  <c r="C207" i="2"/>
  <c r="F206" i="2"/>
  <c r="E206" i="2"/>
  <c r="G206" i="2" s="1"/>
  <c r="D206" i="2"/>
  <c r="C206" i="2"/>
  <c r="F574" i="2"/>
  <c r="E574" i="2"/>
  <c r="D574" i="2"/>
  <c r="C574" i="2"/>
  <c r="F205" i="2"/>
  <c r="G205" i="2" s="1"/>
  <c r="E205" i="2"/>
  <c r="D205" i="2"/>
  <c r="C205" i="2"/>
  <c r="F573" i="2"/>
  <c r="E573" i="2"/>
  <c r="G573" i="2" s="1"/>
  <c r="D573" i="2"/>
  <c r="C573" i="2"/>
  <c r="F204" i="2"/>
  <c r="E204" i="2"/>
  <c r="D204" i="2"/>
  <c r="C204" i="2"/>
  <c r="F203" i="2"/>
  <c r="E203" i="2"/>
  <c r="G203" i="2" s="1"/>
  <c r="D203" i="2"/>
  <c r="C203" i="2"/>
  <c r="G202" i="2"/>
  <c r="F202" i="2"/>
  <c r="E202" i="2"/>
  <c r="D202" i="2"/>
  <c r="C202" i="2"/>
  <c r="F201" i="2"/>
  <c r="E201" i="2"/>
  <c r="G201" i="2" s="1"/>
  <c r="D201" i="2"/>
  <c r="C201" i="2"/>
  <c r="F572" i="2"/>
  <c r="E572" i="2"/>
  <c r="G572" i="2" s="1"/>
  <c r="D572" i="2"/>
  <c r="C572" i="2"/>
  <c r="F200" i="2"/>
  <c r="E200" i="2"/>
  <c r="D200" i="2"/>
  <c r="C200" i="2"/>
  <c r="F199" i="2"/>
  <c r="E199" i="2"/>
  <c r="G199" i="2" s="1"/>
  <c r="D199" i="2"/>
  <c r="C199" i="2"/>
  <c r="F198" i="2"/>
  <c r="E198" i="2"/>
  <c r="G198" i="2" s="1"/>
  <c r="D198" i="2"/>
  <c r="C198" i="2"/>
  <c r="F197" i="2"/>
  <c r="E197" i="2"/>
  <c r="D197" i="2"/>
  <c r="C197" i="2"/>
  <c r="F196" i="2"/>
  <c r="E196" i="2"/>
  <c r="G196" i="2" s="1"/>
  <c r="D196" i="2"/>
  <c r="C196" i="2"/>
  <c r="F571" i="2"/>
  <c r="E571" i="2"/>
  <c r="G571" i="2" s="1"/>
  <c r="D571" i="2"/>
  <c r="C571" i="2"/>
  <c r="F195" i="2"/>
  <c r="E195" i="2"/>
  <c r="G195" i="2" s="1"/>
  <c r="D195" i="2"/>
  <c r="C195" i="2"/>
  <c r="F194" i="2"/>
  <c r="E194" i="2"/>
  <c r="G194" i="2" s="1"/>
  <c r="D194" i="2"/>
  <c r="C194" i="2"/>
  <c r="F570" i="2"/>
  <c r="E570" i="2"/>
  <c r="D570" i="2"/>
  <c r="C570" i="2"/>
  <c r="F193" i="2"/>
  <c r="E193" i="2"/>
  <c r="G193" i="2" s="1"/>
  <c r="D193" i="2"/>
  <c r="C193" i="2"/>
  <c r="F569" i="2"/>
  <c r="E569" i="2"/>
  <c r="D569" i="2"/>
  <c r="C569" i="2"/>
  <c r="F192" i="2"/>
  <c r="E192" i="2"/>
  <c r="G192" i="2" s="1"/>
  <c r="D192" i="2"/>
  <c r="C192" i="2"/>
  <c r="F191" i="2"/>
  <c r="E191" i="2"/>
  <c r="D191" i="2"/>
  <c r="C191" i="2"/>
  <c r="F190" i="2"/>
  <c r="G190" i="2" s="1"/>
  <c r="E190" i="2"/>
  <c r="D190" i="2"/>
  <c r="C190" i="2"/>
  <c r="F189" i="2"/>
  <c r="E189" i="2"/>
  <c r="G189" i="2" s="1"/>
  <c r="D189" i="2"/>
  <c r="C189" i="2"/>
  <c r="F188" i="2"/>
  <c r="E188" i="2"/>
  <c r="D188" i="2"/>
  <c r="C188" i="2"/>
  <c r="F187" i="2"/>
  <c r="E187" i="2"/>
  <c r="D187" i="2"/>
  <c r="C187" i="2"/>
  <c r="G568" i="2"/>
  <c r="F568" i="2"/>
  <c r="E568" i="2"/>
  <c r="D568" i="2"/>
  <c r="C568" i="2"/>
  <c r="F186" i="2"/>
  <c r="E186" i="2"/>
  <c r="D186" i="2"/>
  <c r="C186" i="2"/>
  <c r="F185" i="2"/>
  <c r="E185" i="2"/>
  <c r="G185" i="2" s="1"/>
  <c r="D185" i="2"/>
  <c r="C185" i="2"/>
  <c r="F184" i="2"/>
  <c r="E184" i="2"/>
  <c r="D184" i="2"/>
  <c r="C184" i="2"/>
  <c r="F183" i="2"/>
  <c r="E183" i="2"/>
  <c r="G183" i="2" s="1"/>
  <c r="D183" i="2"/>
  <c r="C183" i="2"/>
  <c r="F182" i="2"/>
  <c r="E182" i="2"/>
  <c r="G182" i="2" s="1"/>
  <c r="D182" i="2"/>
  <c r="C182" i="2"/>
  <c r="F181" i="2"/>
  <c r="E181" i="2"/>
  <c r="G181" i="2" s="1"/>
  <c r="D181" i="2"/>
  <c r="C181" i="2"/>
  <c r="F180" i="2"/>
  <c r="E180" i="2"/>
  <c r="D180" i="2"/>
  <c r="C180" i="2"/>
  <c r="F179" i="2"/>
  <c r="G179" i="2" s="1"/>
  <c r="E179" i="2"/>
  <c r="D179" i="2"/>
  <c r="C179" i="2"/>
  <c r="F178" i="2"/>
  <c r="E178" i="2"/>
  <c r="G178" i="2" s="1"/>
  <c r="D178" i="2"/>
  <c r="C178" i="2"/>
  <c r="F177" i="2"/>
  <c r="E177" i="2"/>
  <c r="D177" i="2"/>
  <c r="C177" i="2"/>
  <c r="F567" i="2"/>
  <c r="E567" i="2"/>
  <c r="G567" i="2" s="1"/>
  <c r="D567" i="2"/>
  <c r="C567" i="2"/>
  <c r="G176" i="2"/>
  <c r="F176" i="2"/>
  <c r="E176" i="2"/>
  <c r="D176" i="2"/>
  <c r="C176" i="2"/>
  <c r="F175" i="2"/>
  <c r="E175" i="2"/>
  <c r="D175" i="2"/>
  <c r="C175" i="2"/>
  <c r="F566" i="2"/>
  <c r="E566" i="2"/>
  <c r="G566" i="2" s="1"/>
  <c r="D566" i="2"/>
  <c r="C566" i="2"/>
  <c r="F174" i="2"/>
  <c r="G174" i="2" s="1"/>
  <c r="E174" i="2"/>
  <c r="D174" i="2"/>
  <c r="C174" i="2"/>
  <c r="F173" i="2"/>
  <c r="E173" i="2"/>
  <c r="G173" i="2" s="1"/>
  <c r="D173" i="2"/>
  <c r="C173" i="2"/>
  <c r="F565" i="2"/>
  <c r="E565" i="2"/>
  <c r="D565" i="2"/>
  <c r="C565" i="2"/>
  <c r="F172" i="2"/>
  <c r="E172" i="2"/>
  <c r="D172" i="2"/>
  <c r="C172" i="2"/>
  <c r="F564" i="2"/>
  <c r="E564" i="2"/>
  <c r="D564" i="2"/>
  <c r="C564" i="2"/>
  <c r="F171" i="2"/>
  <c r="E171" i="2"/>
  <c r="G171" i="2" s="1"/>
  <c r="D171" i="2"/>
  <c r="C171" i="2"/>
  <c r="F170" i="2"/>
  <c r="E170" i="2"/>
  <c r="D170" i="2"/>
  <c r="C170" i="2"/>
  <c r="F169" i="2"/>
  <c r="E169" i="2"/>
  <c r="G169" i="2" s="1"/>
  <c r="D169" i="2"/>
  <c r="C169" i="2"/>
  <c r="F168" i="2"/>
  <c r="G168" i="2" s="1"/>
  <c r="E168" i="2"/>
  <c r="D168" i="2"/>
  <c r="C168" i="2"/>
  <c r="F167" i="2"/>
  <c r="E167" i="2"/>
  <c r="G167" i="2" s="1"/>
  <c r="D167" i="2"/>
  <c r="C167" i="2"/>
  <c r="F166" i="2"/>
  <c r="E166" i="2"/>
  <c r="D166" i="2"/>
  <c r="C166" i="2"/>
  <c r="F165" i="2"/>
  <c r="E165" i="2"/>
  <c r="G165" i="2" s="1"/>
  <c r="D165" i="2"/>
  <c r="C165" i="2"/>
  <c r="F164" i="2"/>
  <c r="E164" i="2"/>
  <c r="D164" i="2"/>
  <c r="C164" i="2"/>
  <c r="F563" i="2"/>
  <c r="E563" i="2"/>
  <c r="G563" i="2" s="1"/>
  <c r="D563" i="2"/>
  <c r="C563" i="2"/>
  <c r="F562" i="2"/>
  <c r="E562" i="2"/>
  <c r="G562" i="2" s="1"/>
  <c r="D562" i="2"/>
  <c r="C562" i="2"/>
  <c r="F561" i="2"/>
  <c r="E561" i="2"/>
  <c r="G561" i="2" s="1"/>
  <c r="D561" i="2"/>
  <c r="C561" i="2"/>
  <c r="F163" i="2"/>
  <c r="E163" i="2"/>
  <c r="D163" i="2"/>
  <c r="C163" i="2"/>
  <c r="F162" i="2"/>
  <c r="E162" i="2"/>
  <c r="G162" i="2" s="1"/>
  <c r="D162" i="2"/>
  <c r="C162" i="2"/>
  <c r="F161" i="2"/>
  <c r="G161" i="2" s="1"/>
  <c r="E161" i="2"/>
  <c r="D161" i="2"/>
  <c r="C161" i="2"/>
  <c r="F560" i="2"/>
  <c r="E560" i="2"/>
  <c r="G560" i="2" s="1"/>
  <c r="D560" i="2"/>
  <c r="C560" i="2"/>
  <c r="F160" i="2"/>
  <c r="E160" i="2"/>
  <c r="D160" i="2"/>
  <c r="C160" i="2"/>
  <c r="F559" i="2"/>
  <c r="E559" i="2"/>
  <c r="G559" i="2" s="1"/>
  <c r="D559" i="2"/>
  <c r="C559" i="2"/>
  <c r="F558" i="2"/>
  <c r="E558" i="2"/>
  <c r="G558" i="2" s="1"/>
  <c r="D558" i="2"/>
  <c r="C558" i="2"/>
  <c r="F557" i="2"/>
  <c r="E557" i="2"/>
  <c r="G557" i="2" s="1"/>
  <c r="D557" i="2"/>
  <c r="C557" i="2"/>
  <c r="F159" i="2"/>
  <c r="E159" i="2"/>
  <c r="D159" i="2"/>
  <c r="C159" i="2"/>
  <c r="F556" i="2"/>
  <c r="G556" i="2" s="1"/>
  <c r="E556" i="2"/>
  <c r="D556" i="2"/>
  <c r="C556" i="2"/>
  <c r="F158" i="2"/>
  <c r="E158" i="2"/>
  <c r="G158" i="2" s="1"/>
  <c r="D158" i="2"/>
  <c r="C158" i="2"/>
  <c r="F157" i="2"/>
  <c r="E157" i="2"/>
  <c r="D157" i="2"/>
  <c r="C157" i="2"/>
  <c r="F156" i="2"/>
  <c r="E156" i="2"/>
  <c r="G156" i="2" s="1"/>
  <c r="D156" i="2"/>
  <c r="C156" i="2"/>
  <c r="G155" i="2"/>
  <c r="F155" i="2"/>
  <c r="E155" i="2"/>
  <c r="D155" i="2"/>
  <c r="C155" i="2"/>
  <c r="F555" i="2"/>
  <c r="E555" i="2"/>
  <c r="G555" i="2" s="1"/>
  <c r="D555" i="2"/>
  <c r="C555" i="2"/>
  <c r="F154" i="2"/>
  <c r="E154" i="2"/>
  <c r="G154" i="2" s="1"/>
  <c r="D154" i="2"/>
  <c r="C154" i="2"/>
  <c r="F153" i="2"/>
  <c r="E153" i="2"/>
  <c r="D153" i="2"/>
  <c r="C153" i="2"/>
  <c r="F554" i="2"/>
  <c r="E554" i="2"/>
  <c r="G554" i="2" s="1"/>
  <c r="D554" i="2"/>
  <c r="C554" i="2"/>
  <c r="F553" i="2"/>
  <c r="E553" i="2"/>
  <c r="G553" i="2" s="1"/>
  <c r="D553" i="2"/>
  <c r="C553" i="2"/>
  <c r="F152" i="2"/>
  <c r="E152" i="2"/>
  <c r="G152" i="2" s="1"/>
  <c r="D152" i="2"/>
  <c r="C152" i="2"/>
  <c r="F151" i="2"/>
  <c r="E151" i="2"/>
  <c r="G151" i="2" s="1"/>
  <c r="D151" i="2"/>
  <c r="C151" i="2"/>
  <c r="F150" i="2"/>
  <c r="E150" i="2"/>
  <c r="G150" i="2" s="1"/>
  <c r="D150" i="2"/>
  <c r="C150" i="2"/>
  <c r="F149" i="2"/>
  <c r="E149" i="2"/>
  <c r="G149" i="2" s="1"/>
  <c r="D149" i="2"/>
  <c r="C149" i="2"/>
  <c r="F148" i="2"/>
  <c r="E148" i="2"/>
  <c r="G148" i="2" s="1"/>
  <c r="D148" i="2"/>
  <c r="C148" i="2"/>
  <c r="F147" i="2"/>
  <c r="E147" i="2"/>
  <c r="D147" i="2"/>
  <c r="C147" i="2"/>
  <c r="F552" i="2"/>
  <c r="E552" i="2"/>
  <c r="G552" i="2" s="1"/>
  <c r="D552" i="2"/>
  <c r="C552" i="2"/>
  <c r="F551" i="2"/>
  <c r="E551" i="2"/>
  <c r="D551" i="2"/>
  <c r="C551" i="2"/>
  <c r="F146" i="2"/>
  <c r="E146" i="2"/>
  <c r="G146" i="2" s="1"/>
  <c r="D146" i="2"/>
  <c r="C146" i="2"/>
  <c r="F550" i="2"/>
  <c r="E550" i="2"/>
  <c r="D550" i="2"/>
  <c r="C550" i="2"/>
  <c r="F549" i="2"/>
  <c r="E549" i="2"/>
  <c r="G549" i="2" s="1"/>
  <c r="D549" i="2"/>
  <c r="C549" i="2"/>
  <c r="F145" i="2"/>
  <c r="E145" i="2"/>
  <c r="G145" i="2" s="1"/>
  <c r="D145" i="2"/>
  <c r="C145" i="2"/>
  <c r="F548" i="2"/>
  <c r="E548" i="2"/>
  <c r="G548" i="2" s="1"/>
  <c r="D548" i="2"/>
  <c r="C548" i="2"/>
  <c r="F144" i="2"/>
  <c r="E144" i="2"/>
  <c r="D144" i="2"/>
  <c r="C144" i="2"/>
  <c r="F547" i="2"/>
  <c r="E547" i="2"/>
  <c r="G547" i="2" s="1"/>
  <c r="D547" i="2"/>
  <c r="C547" i="2"/>
  <c r="F143" i="2"/>
  <c r="E143" i="2"/>
  <c r="G143" i="2" s="1"/>
  <c r="D143" i="2"/>
  <c r="C143" i="2"/>
  <c r="F546" i="2"/>
  <c r="E546" i="2"/>
  <c r="G546" i="2" s="1"/>
  <c r="D546" i="2"/>
  <c r="C546" i="2"/>
  <c r="F142" i="2"/>
  <c r="E142" i="2"/>
  <c r="G142" i="2" s="1"/>
  <c r="D142" i="2"/>
  <c r="C142" i="2"/>
  <c r="F141" i="2"/>
  <c r="E141" i="2"/>
  <c r="G141" i="2" s="1"/>
  <c r="D141" i="2"/>
  <c r="C141" i="2"/>
  <c r="F545" i="2"/>
  <c r="E545" i="2"/>
  <c r="G545" i="2" s="1"/>
  <c r="D545" i="2"/>
  <c r="C545" i="2"/>
  <c r="F544" i="2"/>
  <c r="E544" i="2"/>
  <c r="G544" i="2" s="1"/>
  <c r="D544" i="2"/>
  <c r="C544" i="2"/>
  <c r="F140" i="2"/>
  <c r="E140" i="2"/>
  <c r="D140" i="2"/>
  <c r="C140" i="2"/>
  <c r="F543" i="2"/>
  <c r="G543" i="2" s="1"/>
  <c r="E543" i="2"/>
  <c r="D543" i="2"/>
  <c r="C543" i="2"/>
  <c r="F139" i="2"/>
  <c r="E139" i="2"/>
  <c r="G139" i="2" s="1"/>
  <c r="D139" i="2"/>
  <c r="C139" i="2"/>
  <c r="F542" i="2"/>
  <c r="E542" i="2"/>
  <c r="D542" i="2"/>
  <c r="C542" i="2"/>
  <c r="F138" i="2"/>
  <c r="E138" i="2"/>
  <c r="G138" i="2" s="1"/>
  <c r="D138" i="2"/>
  <c r="C138" i="2"/>
  <c r="G137" i="2"/>
  <c r="F137" i="2"/>
  <c r="E137" i="2"/>
  <c r="D137" i="2"/>
  <c r="C137" i="2"/>
  <c r="F541" i="2"/>
  <c r="E541" i="2"/>
  <c r="G541" i="2" s="1"/>
  <c r="D541" i="2"/>
  <c r="C541" i="2"/>
  <c r="F136" i="2"/>
  <c r="E136" i="2"/>
  <c r="G136" i="2" s="1"/>
  <c r="D136" i="2"/>
  <c r="C136" i="2"/>
  <c r="F540" i="2"/>
  <c r="E540" i="2"/>
  <c r="D540" i="2"/>
  <c r="C540" i="2"/>
  <c r="F135" i="2"/>
  <c r="E135" i="2"/>
  <c r="D135" i="2"/>
  <c r="C135" i="2"/>
  <c r="F134" i="2"/>
  <c r="E134" i="2"/>
  <c r="G134" i="2" s="1"/>
  <c r="D134" i="2"/>
  <c r="C134" i="2"/>
  <c r="F539" i="2"/>
  <c r="E539" i="2"/>
  <c r="D539" i="2"/>
  <c r="C539" i="2"/>
  <c r="F133" i="2"/>
  <c r="E133" i="2"/>
  <c r="G133" i="2" s="1"/>
  <c r="D133" i="2"/>
  <c r="C133" i="2"/>
  <c r="G132" i="2"/>
  <c r="F132" i="2"/>
  <c r="E132" i="2"/>
  <c r="D132" i="2"/>
  <c r="C132" i="2"/>
  <c r="F131" i="2"/>
  <c r="E131" i="2"/>
  <c r="G131" i="2" s="1"/>
  <c r="D131" i="2"/>
  <c r="C131" i="2"/>
  <c r="F130" i="2"/>
  <c r="E130" i="2"/>
  <c r="G130" i="2" s="1"/>
  <c r="D130" i="2"/>
  <c r="C130" i="2"/>
  <c r="F538" i="2"/>
  <c r="E538" i="2"/>
  <c r="D538" i="2"/>
  <c r="C538" i="2"/>
  <c r="F129" i="2"/>
  <c r="E129" i="2"/>
  <c r="G129" i="2" s="1"/>
  <c r="D129" i="2"/>
  <c r="C129" i="2"/>
  <c r="F537" i="2"/>
  <c r="E537" i="2"/>
  <c r="D537" i="2"/>
  <c r="C537" i="2"/>
  <c r="F536" i="2"/>
  <c r="E536" i="2"/>
  <c r="G536" i="2" s="1"/>
  <c r="D536" i="2"/>
  <c r="C536" i="2"/>
  <c r="F128" i="2"/>
  <c r="E128" i="2"/>
  <c r="D128" i="2"/>
  <c r="C128" i="2"/>
  <c r="F127" i="2"/>
  <c r="E127" i="2"/>
  <c r="G127" i="2" s="1"/>
  <c r="D127" i="2"/>
  <c r="C127" i="2"/>
  <c r="F535" i="2"/>
  <c r="E535" i="2"/>
  <c r="G535" i="2" s="1"/>
  <c r="D535" i="2"/>
  <c r="C535" i="2"/>
  <c r="F126" i="2"/>
  <c r="E126" i="2"/>
  <c r="G126" i="2" s="1"/>
  <c r="D126" i="2"/>
  <c r="C126" i="2"/>
  <c r="F534" i="2"/>
  <c r="E534" i="2"/>
  <c r="D534" i="2"/>
  <c r="C534" i="2"/>
  <c r="F125" i="2"/>
  <c r="E125" i="2"/>
  <c r="G125" i="2" s="1"/>
  <c r="D125" i="2"/>
  <c r="C125" i="2"/>
  <c r="F533" i="2"/>
  <c r="E533" i="2"/>
  <c r="D533" i="2"/>
  <c r="C533" i="2"/>
  <c r="F532" i="2"/>
  <c r="E532" i="2"/>
  <c r="G532" i="2" s="1"/>
  <c r="D532" i="2"/>
  <c r="C532" i="2"/>
  <c r="F124" i="2"/>
  <c r="E124" i="2"/>
  <c r="D124" i="2"/>
  <c r="C124" i="2"/>
  <c r="F123" i="2"/>
  <c r="E123" i="2"/>
  <c r="G123" i="2" s="1"/>
  <c r="D123" i="2"/>
  <c r="C123" i="2"/>
  <c r="F122" i="2"/>
  <c r="E122" i="2"/>
  <c r="G122" i="2" s="1"/>
  <c r="D122" i="2"/>
  <c r="C122" i="2"/>
  <c r="F121" i="2"/>
  <c r="E121" i="2"/>
  <c r="G121" i="2" s="1"/>
  <c r="D121" i="2"/>
  <c r="C121" i="2"/>
  <c r="F120" i="2"/>
  <c r="E120" i="2"/>
  <c r="D120" i="2"/>
  <c r="C120" i="2"/>
  <c r="F531" i="2"/>
  <c r="G531" i="2" s="1"/>
  <c r="E531" i="2"/>
  <c r="D531" i="2"/>
  <c r="C531" i="2"/>
  <c r="F530" i="2"/>
  <c r="E530" i="2"/>
  <c r="G530" i="2" s="1"/>
  <c r="D530" i="2"/>
  <c r="C530" i="2"/>
  <c r="F529" i="2"/>
  <c r="E529" i="2"/>
  <c r="D529" i="2"/>
  <c r="C529" i="2"/>
  <c r="F528" i="2"/>
  <c r="E528" i="2"/>
  <c r="G528" i="2" s="1"/>
  <c r="D528" i="2"/>
  <c r="C528" i="2"/>
  <c r="F119" i="2"/>
  <c r="E119" i="2"/>
  <c r="G119" i="2" s="1"/>
  <c r="D119" i="2"/>
  <c r="C119" i="2"/>
  <c r="F118" i="2"/>
  <c r="E118" i="2"/>
  <c r="G118" i="2" s="1"/>
  <c r="D118" i="2"/>
  <c r="C118" i="2"/>
  <c r="F117" i="2"/>
  <c r="E117" i="2"/>
  <c r="G117" i="2" s="1"/>
  <c r="D117" i="2"/>
  <c r="C117" i="2"/>
  <c r="F527" i="2"/>
  <c r="E527" i="2"/>
  <c r="D527" i="2"/>
  <c r="C527" i="2"/>
  <c r="F526" i="2"/>
  <c r="E526" i="2"/>
  <c r="G526" i="2" s="1"/>
  <c r="D526" i="2"/>
  <c r="C526" i="2"/>
  <c r="F116" i="2"/>
  <c r="E116" i="2"/>
  <c r="G116" i="2" s="1"/>
  <c r="D116" i="2"/>
  <c r="C116" i="2"/>
  <c r="F115" i="2"/>
  <c r="E115" i="2"/>
  <c r="G115" i="2" s="1"/>
  <c r="D115" i="2"/>
  <c r="C115" i="2"/>
  <c r="F525" i="2"/>
  <c r="E525" i="2"/>
  <c r="G525" i="2" s="1"/>
  <c r="D525" i="2"/>
  <c r="C525" i="2"/>
  <c r="F114" i="2"/>
  <c r="G114" i="2" s="1"/>
  <c r="E114" i="2"/>
  <c r="D114" i="2"/>
  <c r="C114" i="2"/>
  <c r="F524" i="2"/>
  <c r="E524" i="2"/>
  <c r="G524" i="2" s="1"/>
  <c r="D524" i="2"/>
  <c r="C524" i="2"/>
  <c r="F113" i="2"/>
  <c r="E113" i="2"/>
  <c r="D113" i="2"/>
  <c r="C113" i="2"/>
  <c r="F112" i="2"/>
  <c r="E112" i="2"/>
  <c r="D112" i="2"/>
  <c r="C112" i="2"/>
  <c r="G523" i="2"/>
  <c r="F523" i="2"/>
  <c r="E523" i="2"/>
  <c r="D523" i="2"/>
  <c r="C523" i="2"/>
  <c r="F522" i="2"/>
  <c r="E522" i="2"/>
  <c r="D522" i="2"/>
  <c r="C522" i="2"/>
  <c r="F521" i="2"/>
  <c r="E521" i="2"/>
  <c r="G521" i="2" s="1"/>
  <c r="D521" i="2"/>
  <c r="C521" i="2"/>
  <c r="F111" i="2"/>
  <c r="E111" i="2"/>
  <c r="D111" i="2"/>
  <c r="C111" i="2"/>
  <c r="F110" i="2"/>
  <c r="E110" i="2"/>
  <c r="G110" i="2" s="1"/>
  <c r="D110" i="2"/>
  <c r="C110" i="2"/>
  <c r="F109" i="2"/>
  <c r="E109" i="2"/>
  <c r="G109" i="2" s="1"/>
  <c r="D109" i="2"/>
  <c r="C109" i="2"/>
  <c r="F520" i="2"/>
  <c r="E520" i="2"/>
  <c r="G520" i="2" s="1"/>
  <c r="D520" i="2"/>
  <c r="C520" i="2"/>
  <c r="F108" i="2"/>
  <c r="E108" i="2"/>
  <c r="D108" i="2"/>
  <c r="C108" i="2"/>
  <c r="F107" i="2"/>
  <c r="E107" i="2"/>
  <c r="G107" i="2" s="1"/>
  <c r="D107" i="2"/>
  <c r="C107" i="2"/>
  <c r="F106" i="2"/>
  <c r="E106" i="2"/>
  <c r="G106" i="2" s="1"/>
  <c r="D106" i="2"/>
  <c r="C106" i="2"/>
  <c r="F105" i="2"/>
  <c r="E105" i="2"/>
  <c r="G105" i="2" s="1"/>
  <c r="D105" i="2"/>
  <c r="C105" i="2"/>
  <c r="F104" i="2"/>
  <c r="E104" i="2"/>
  <c r="G104" i="2" s="1"/>
  <c r="D104" i="2"/>
  <c r="C104" i="2"/>
  <c r="F103" i="2"/>
  <c r="E103" i="2"/>
  <c r="G103" i="2" s="1"/>
  <c r="D103" i="2"/>
  <c r="C103" i="2"/>
  <c r="F102" i="2"/>
  <c r="E102" i="2"/>
  <c r="D102" i="2"/>
  <c r="C102" i="2"/>
  <c r="F101" i="2"/>
  <c r="E101" i="2"/>
  <c r="G101" i="2" s="1"/>
  <c r="D101" i="2"/>
  <c r="C101" i="2"/>
  <c r="F519" i="2"/>
  <c r="G519" i="2" s="1"/>
  <c r="E519" i="2"/>
  <c r="D519" i="2"/>
  <c r="C519" i="2"/>
  <c r="F100" i="2"/>
  <c r="G100" i="2" s="1"/>
  <c r="E100" i="2"/>
  <c r="D100" i="2"/>
  <c r="C100" i="2"/>
  <c r="F99" i="2"/>
  <c r="E99" i="2"/>
  <c r="G99" i="2" s="1"/>
  <c r="D99" i="2"/>
  <c r="C99" i="2"/>
  <c r="F98" i="2"/>
  <c r="E98" i="2"/>
  <c r="D98" i="2"/>
  <c r="C98" i="2"/>
  <c r="F518" i="2"/>
  <c r="E518" i="2"/>
  <c r="G518" i="2" s="1"/>
  <c r="D518" i="2"/>
  <c r="C518" i="2"/>
  <c r="F517" i="2"/>
  <c r="E517" i="2"/>
  <c r="G517" i="2" s="1"/>
  <c r="D517" i="2"/>
  <c r="C517" i="2"/>
  <c r="F97" i="2"/>
  <c r="E97" i="2"/>
  <c r="G97" i="2" s="1"/>
  <c r="D97" i="2"/>
  <c r="C97" i="2"/>
  <c r="F516" i="2"/>
  <c r="E516" i="2"/>
  <c r="G516" i="2" s="1"/>
  <c r="D516" i="2"/>
  <c r="C516" i="2"/>
  <c r="F96" i="2"/>
  <c r="E96" i="2"/>
  <c r="D96" i="2"/>
  <c r="C96" i="2"/>
  <c r="F515" i="2"/>
  <c r="E515" i="2"/>
  <c r="G515" i="2" s="1"/>
  <c r="D515" i="2"/>
  <c r="C515" i="2"/>
  <c r="F95" i="2"/>
  <c r="E95" i="2"/>
  <c r="G95" i="2" s="1"/>
  <c r="D95" i="2"/>
  <c r="C95" i="2"/>
  <c r="F94" i="2"/>
  <c r="E94" i="2"/>
  <c r="G94" i="2" s="1"/>
  <c r="D94" i="2"/>
  <c r="C94" i="2"/>
  <c r="F93" i="2"/>
  <c r="E93" i="2"/>
  <c r="G93" i="2" s="1"/>
  <c r="D93" i="2"/>
  <c r="C93" i="2"/>
  <c r="F92" i="2"/>
  <c r="E92" i="2"/>
  <c r="G92" i="2" s="1"/>
  <c r="D92" i="2"/>
  <c r="C92" i="2"/>
  <c r="F514" i="2"/>
  <c r="E514" i="2"/>
  <c r="G514" i="2" s="1"/>
  <c r="D514" i="2"/>
  <c r="C514" i="2"/>
  <c r="F91" i="2"/>
  <c r="E91" i="2"/>
  <c r="G91" i="2" s="1"/>
  <c r="D91" i="2"/>
  <c r="C91" i="2"/>
  <c r="F90" i="2"/>
  <c r="E90" i="2"/>
  <c r="D90" i="2"/>
  <c r="C90" i="2"/>
  <c r="F513" i="2"/>
  <c r="G513" i="2" s="1"/>
  <c r="E513" i="2"/>
  <c r="D513" i="2"/>
  <c r="C513" i="2"/>
  <c r="F512" i="2"/>
  <c r="E512" i="2"/>
  <c r="D512" i="2"/>
  <c r="C512" i="2"/>
  <c r="F89" i="2"/>
  <c r="E89" i="2"/>
  <c r="D89" i="2"/>
  <c r="C89" i="2"/>
  <c r="F88" i="2"/>
  <c r="E88" i="2"/>
  <c r="D88" i="2"/>
  <c r="C88" i="2"/>
  <c r="G511" i="2"/>
  <c r="F511" i="2"/>
  <c r="E511" i="2"/>
  <c r="D511" i="2"/>
  <c r="C511" i="2"/>
  <c r="F87" i="2"/>
  <c r="E87" i="2"/>
  <c r="G87" i="2" s="1"/>
  <c r="D87" i="2"/>
  <c r="C87" i="2"/>
  <c r="F510" i="2"/>
  <c r="E510" i="2"/>
  <c r="G510" i="2" s="1"/>
  <c r="D510" i="2"/>
  <c r="C510" i="2"/>
  <c r="F509" i="2"/>
  <c r="E509" i="2"/>
  <c r="D509" i="2"/>
  <c r="C509" i="2"/>
  <c r="F86" i="2"/>
  <c r="E86" i="2"/>
  <c r="G86" i="2" s="1"/>
  <c r="D86" i="2"/>
  <c r="C86" i="2"/>
  <c r="F85" i="2"/>
  <c r="E85" i="2"/>
  <c r="G85" i="2" s="1"/>
  <c r="D85" i="2"/>
  <c r="C85" i="2"/>
  <c r="F508" i="2"/>
  <c r="E508" i="2"/>
  <c r="G508" i="2" s="1"/>
  <c r="D508" i="2"/>
  <c r="C508" i="2"/>
  <c r="F507" i="2"/>
  <c r="E507" i="2"/>
  <c r="G507" i="2" s="1"/>
  <c r="D507" i="2"/>
  <c r="C507" i="2"/>
  <c r="F84" i="2"/>
  <c r="E84" i="2"/>
  <c r="G84" i="2" s="1"/>
  <c r="D84" i="2"/>
  <c r="C84" i="2"/>
  <c r="F83" i="2"/>
  <c r="E83" i="2"/>
  <c r="G83" i="2" s="1"/>
  <c r="D83" i="2"/>
  <c r="C83" i="2"/>
  <c r="F82" i="2"/>
  <c r="E82" i="2"/>
  <c r="G82" i="2" s="1"/>
  <c r="D82" i="2"/>
  <c r="C82" i="2"/>
  <c r="F506" i="2"/>
  <c r="E506" i="2"/>
  <c r="D506" i="2"/>
  <c r="C506" i="2"/>
  <c r="F81" i="2"/>
  <c r="G81" i="2" s="1"/>
  <c r="E81" i="2"/>
  <c r="D81" i="2"/>
  <c r="C81" i="2"/>
  <c r="F505" i="2"/>
  <c r="E505" i="2"/>
  <c r="D505" i="2"/>
  <c r="C505" i="2"/>
  <c r="F80" i="2"/>
  <c r="E80" i="2"/>
  <c r="D80" i="2"/>
  <c r="C80" i="2"/>
  <c r="F504" i="2"/>
  <c r="E504" i="2"/>
  <c r="D504" i="2"/>
  <c r="C504" i="2"/>
  <c r="F79" i="2"/>
  <c r="E79" i="2"/>
  <c r="G79" i="2" s="1"/>
  <c r="D79" i="2"/>
  <c r="C79" i="2"/>
  <c r="F78" i="2"/>
  <c r="E78" i="2"/>
  <c r="G78" i="2" s="1"/>
  <c r="D78" i="2"/>
  <c r="C78" i="2"/>
  <c r="F77" i="2"/>
  <c r="E77" i="2"/>
  <c r="G77" i="2" s="1"/>
  <c r="D77" i="2"/>
  <c r="C77" i="2"/>
  <c r="F76" i="2"/>
  <c r="E76" i="2"/>
  <c r="D76" i="2"/>
  <c r="C76" i="2"/>
  <c r="F75" i="2"/>
  <c r="E75" i="2"/>
  <c r="G75" i="2" s="1"/>
  <c r="D75" i="2"/>
  <c r="C75" i="2"/>
  <c r="F74" i="2"/>
  <c r="E74" i="2"/>
  <c r="G74" i="2" s="1"/>
  <c r="D74" i="2"/>
  <c r="C74" i="2"/>
  <c r="F73" i="2"/>
  <c r="E73" i="2"/>
  <c r="G73" i="2" s="1"/>
  <c r="D73" i="2"/>
  <c r="C73" i="2"/>
  <c r="F503" i="2"/>
  <c r="E503" i="2"/>
  <c r="G503" i="2" s="1"/>
  <c r="D503" i="2"/>
  <c r="C503" i="2"/>
  <c r="F72" i="2"/>
  <c r="E72" i="2"/>
  <c r="G72" i="2" s="1"/>
  <c r="D72" i="2"/>
  <c r="C72" i="2"/>
  <c r="F71" i="2"/>
  <c r="E71" i="2"/>
  <c r="G71" i="2" s="1"/>
  <c r="D71" i="2"/>
  <c r="C71" i="2"/>
  <c r="F70" i="2"/>
  <c r="E70" i="2"/>
  <c r="G70" i="2" s="1"/>
  <c r="D70" i="2"/>
  <c r="C70" i="2"/>
  <c r="F69" i="2"/>
  <c r="E69" i="2"/>
  <c r="D69" i="2"/>
  <c r="C69" i="2"/>
  <c r="F68" i="2"/>
  <c r="E68" i="2"/>
  <c r="G68" i="2" s="1"/>
  <c r="D68" i="2"/>
  <c r="C68" i="2"/>
  <c r="F502" i="2"/>
  <c r="E502" i="2"/>
  <c r="G502" i="2" s="1"/>
  <c r="D502" i="2"/>
  <c r="C502" i="2"/>
  <c r="F501" i="2"/>
  <c r="E501" i="2"/>
  <c r="G501" i="2" s="1"/>
  <c r="D501" i="2"/>
  <c r="C501" i="2"/>
  <c r="F500" i="2"/>
  <c r="E500" i="2"/>
  <c r="G500" i="2" s="1"/>
  <c r="D500" i="2"/>
  <c r="C500" i="2"/>
  <c r="F67" i="2"/>
  <c r="G67" i="2" s="1"/>
  <c r="E67" i="2"/>
  <c r="D67" i="2"/>
  <c r="C67" i="2"/>
  <c r="F66" i="2"/>
  <c r="E66" i="2"/>
  <c r="G66" i="2" s="1"/>
  <c r="D66" i="2"/>
  <c r="C66" i="2"/>
  <c r="F65" i="2"/>
  <c r="E65" i="2"/>
  <c r="D65" i="2"/>
  <c r="C65" i="2"/>
  <c r="F64" i="2"/>
  <c r="E64" i="2"/>
  <c r="D64" i="2"/>
  <c r="C64" i="2"/>
  <c r="G63" i="2"/>
  <c r="F63" i="2"/>
  <c r="E63" i="2"/>
  <c r="D63" i="2"/>
  <c r="C63" i="2"/>
  <c r="F62" i="2"/>
  <c r="E62" i="2"/>
  <c r="G62" i="2" s="1"/>
  <c r="D62" i="2"/>
  <c r="C62" i="2"/>
  <c r="F61" i="2"/>
  <c r="E61" i="2"/>
  <c r="G61" i="2" s="1"/>
  <c r="D61" i="2"/>
  <c r="C61" i="2"/>
  <c r="F60" i="2"/>
  <c r="E60" i="2"/>
  <c r="G60" i="2" s="1"/>
  <c r="D60" i="2"/>
  <c r="C60" i="2"/>
  <c r="F59" i="2"/>
  <c r="E59" i="2"/>
  <c r="G59" i="2" s="1"/>
  <c r="D59" i="2"/>
  <c r="C59" i="2"/>
  <c r="F58" i="2"/>
  <c r="E58" i="2"/>
  <c r="G58" i="2" s="1"/>
  <c r="D58" i="2"/>
  <c r="C58" i="2"/>
  <c r="F57" i="2"/>
  <c r="E57" i="2"/>
  <c r="G57" i="2" s="1"/>
  <c r="D57" i="2"/>
  <c r="C57" i="2"/>
  <c r="F499" i="2"/>
  <c r="E499" i="2"/>
  <c r="D499" i="2"/>
  <c r="C499" i="2"/>
  <c r="F56" i="2"/>
  <c r="E56" i="2"/>
  <c r="G56" i="2" s="1"/>
  <c r="D56" i="2"/>
  <c r="C56" i="2"/>
  <c r="F498" i="2"/>
  <c r="E498" i="2"/>
  <c r="G498" i="2" s="1"/>
  <c r="D498" i="2"/>
  <c r="C498" i="2"/>
  <c r="F497" i="2"/>
  <c r="E497" i="2"/>
  <c r="G497" i="2" s="1"/>
  <c r="D497" i="2"/>
  <c r="C497" i="2"/>
  <c r="F55" i="2"/>
  <c r="E55" i="2"/>
  <c r="G55" i="2" s="1"/>
  <c r="D55" i="2"/>
  <c r="C55" i="2"/>
  <c r="F54" i="2"/>
  <c r="E54" i="2"/>
  <c r="G54" i="2" s="1"/>
  <c r="D54" i="2"/>
  <c r="C54" i="2"/>
  <c r="F53" i="2"/>
  <c r="E53" i="2"/>
  <c r="D53" i="2"/>
  <c r="C53" i="2"/>
  <c r="F496" i="2"/>
  <c r="E496" i="2"/>
  <c r="G496" i="2" s="1"/>
  <c r="D496" i="2"/>
  <c r="C496" i="2"/>
  <c r="F495" i="2"/>
  <c r="G495" i="2" s="1"/>
  <c r="E495" i="2"/>
  <c r="D495" i="2"/>
  <c r="C495" i="2"/>
  <c r="F52" i="2"/>
  <c r="E52" i="2"/>
  <c r="G52" i="2" s="1"/>
  <c r="D52" i="2"/>
  <c r="C52" i="2"/>
  <c r="F494" i="2"/>
  <c r="E494" i="2"/>
  <c r="G494" i="2" s="1"/>
  <c r="D494" i="2"/>
  <c r="C494" i="2"/>
  <c r="F51" i="2"/>
  <c r="E51" i="2"/>
  <c r="G51" i="2" s="1"/>
  <c r="D51" i="2"/>
  <c r="C51" i="2"/>
  <c r="F50" i="2"/>
  <c r="E50" i="2"/>
  <c r="G50" i="2" s="1"/>
  <c r="D50" i="2"/>
  <c r="C50" i="2"/>
  <c r="F493" i="2"/>
  <c r="E493" i="2"/>
  <c r="G493" i="2" s="1"/>
  <c r="D493" i="2"/>
  <c r="C493" i="2"/>
  <c r="F49" i="2"/>
  <c r="E49" i="2"/>
  <c r="G49" i="2" s="1"/>
  <c r="D49" i="2"/>
  <c r="C49" i="2"/>
  <c r="F48" i="2"/>
  <c r="E48" i="2"/>
  <c r="G48" i="2" s="1"/>
  <c r="D48" i="2"/>
  <c r="C48" i="2"/>
  <c r="F47" i="2"/>
  <c r="E47" i="2"/>
  <c r="D47" i="2"/>
  <c r="C47" i="2"/>
  <c r="F46" i="2"/>
  <c r="E46" i="2"/>
  <c r="G46" i="2" s="1"/>
  <c r="D46" i="2"/>
  <c r="C46" i="2"/>
  <c r="F45" i="2"/>
  <c r="E45" i="2"/>
  <c r="G45" i="2" s="1"/>
  <c r="D45" i="2"/>
  <c r="C45" i="2"/>
  <c r="F492" i="2"/>
  <c r="E492" i="2"/>
  <c r="G492" i="2" s="1"/>
  <c r="D492" i="2"/>
  <c r="C492" i="2"/>
  <c r="F44" i="2"/>
  <c r="E44" i="2"/>
  <c r="G44" i="2" s="1"/>
  <c r="D44" i="2"/>
  <c r="C44" i="2"/>
  <c r="F43" i="2"/>
  <c r="G43" i="2" s="1"/>
  <c r="E43" i="2"/>
  <c r="D43" i="2"/>
  <c r="C43" i="2"/>
  <c r="F42" i="2"/>
  <c r="E42" i="2"/>
  <c r="G42" i="2" s="1"/>
  <c r="D42" i="2"/>
  <c r="C42" i="2"/>
  <c r="F41" i="2"/>
  <c r="E41" i="2"/>
  <c r="D41" i="2"/>
  <c r="C41" i="2"/>
  <c r="F40" i="2"/>
  <c r="E40" i="2"/>
  <c r="D40" i="2"/>
  <c r="C40" i="2"/>
  <c r="G39" i="2"/>
  <c r="F39" i="2"/>
  <c r="E39" i="2"/>
  <c r="D39" i="2"/>
  <c r="C39" i="2"/>
  <c r="F38" i="2"/>
  <c r="E38" i="2"/>
  <c r="G38" i="2" s="1"/>
  <c r="D38" i="2"/>
  <c r="C38" i="2"/>
  <c r="F37" i="2"/>
  <c r="E37" i="2"/>
  <c r="G37" i="2" s="1"/>
  <c r="D37" i="2"/>
  <c r="C37" i="2"/>
  <c r="F36" i="2"/>
  <c r="E36" i="2"/>
  <c r="G36" i="2" s="1"/>
  <c r="D36" i="2"/>
  <c r="C36" i="2"/>
  <c r="F491" i="2"/>
  <c r="E491" i="2"/>
  <c r="G491" i="2" s="1"/>
  <c r="D491" i="2"/>
  <c r="C491" i="2"/>
  <c r="F35" i="2"/>
  <c r="E35" i="2"/>
  <c r="G35" i="2" s="1"/>
  <c r="D35" i="2"/>
  <c r="C35" i="2"/>
  <c r="F34" i="2"/>
  <c r="E34" i="2"/>
  <c r="G34" i="2" s="1"/>
  <c r="D34" i="2"/>
  <c r="C34" i="2"/>
  <c r="F33" i="2"/>
  <c r="E33" i="2"/>
  <c r="D33" i="2"/>
  <c r="C33" i="2"/>
  <c r="F32" i="2"/>
  <c r="E32" i="2"/>
  <c r="G32" i="2" s="1"/>
  <c r="D32" i="2"/>
  <c r="C32" i="2"/>
  <c r="F31" i="2"/>
  <c r="E31" i="2"/>
  <c r="G31" i="2" s="1"/>
  <c r="D31" i="2"/>
  <c r="C31" i="2"/>
  <c r="F490" i="2"/>
  <c r="E490" i="2"/>
  <c r="G490" i="2" s="1"/>
  <c r="D490" i="2"/>
  <c r="C490" i="2"/>
  <c r="F30" i="2"/>
  <c r="E30" i="2"/>
  <c r="G30" i="2" s="1"/>
  <c r="D30" i="2"/>
  <c r="C30" i="2"/>
  <c r="F29" i="2"/>
  <c r="E29" i="2"/>
  <c r="G29" i="2" s="1"/>
  <c r="D29" i="2"/>
  <c r="C29" i="2"/>
  <c r="F28" i="2"/>
  <c r="E28" i="2"/>
  <c r="D28" i="2"/>
  <c r="C28" i="2"/>
  <c r="F27" i="2"/>
  <c r="E27" i="2"/>
  <c r="G27" i="2" s="1"/>
  <c r="D27" i="2"/>
  <c r="C27" i="2"/>
  <c r="F26" i="2"/>
  <c r="G26" i="2" s="1"/>
  <c r="E26" i="2"/>
  <c r="D26" i="2"/>
  <c r="C26" i="2"/>
  <c r="F489" i="2"/>
  <c r="E489" i="2"/>
  <c r="G489" i="2" s="1"/>
  <c r="D489" i="2"/>
  <c r="C489" i="2"/>
  <c r="F488" i="2"/>
  <c r="E488" i="2"/>
  <c r="G488" i="2" s="1"/>
  <c r="D488" i="2"/>
  <c r="C488" i="2"/>
  <c r="F25" i="2"/>
  <c r="E25" i="2"/>
  <c r="G25" i="2" s="1"/>
  <c r="D25" i="2"/>
  <c r="C25" i="2"/>
  <c r="F487" i="2"/>
  <c r="E487" i="2"/>
  <c r="G487" i="2" s="1"/>
  <c r="D487" i="2"/>
  <c r="C487" i="2"/>
  <c r="F24" i="2"/>
  <c r="E24" i="2"/>
  <c r="G24" i="2" s="1"/>
  <c r="D24" i="2"/>
  <c r="C24" i="2"/>
  <c r="F486" i="2"/>
  <c r="E486" i="2"/>
  <c r="G486" i="2" s="1"/>
  <c r="D486" i="2"/>
  <c r="C486" i="2"/>
  <c r="F23" i="2"/>
  <c r="E23" i="2"/>
  <c r="G23" i="2" s="1"/>
  <c r="D23" i="2"/>
  <c r="C23" i="2"/>
  <c r="F485" i="2"/>
  <c r="E485" i="2"/>
  <c r="D485" i="2"/>
  <c r="C485" i="2"/>
  <c r="F22" i="2"/>
  <c r="E22" i="2"/>
  <c r="G22" i="2" s="1"/>
  <c r="D22" i="2"/>
  <c r="C22" i="2"/>
  <c r="F21" i="2"/>
  <c r="E21" i="2"/>
  <c r="G21" i="2" s="1"/>
  <c r="D21" i="2"/>
  <c r="C21" i="2"/>
  <c r="F484" i="2"/>
  <c r="E484" i="2"/>
  <c r="G484" i="2" s="1"/>
  <c r="D484" i="2"/>
  <c r="C484" i="2"/>
  <c r="F483" i="2"/>
  <c r="E483" i="2"/>
  <c r="G483" i="2" s="1"/>
  <c r="D483" i="2"/>
  <c r="C483" i="2"/>
  <c r="F20" i="2"/>
  <c r="G20" i="2" s="1"/>
  <c r="E20" i="2"/>
  <c r="D20" i="2"/>
  <c r="C20" i="2"/>
  <c r="F482" i="2"/>
  <c r="E482" i="2"/>
  <c r="G482" i="2" s="1"/>
  <c r="D482" i="2"/>
  <c r="C482" i="2"/>
  <c r="F481" i="2"/>
  <c r="E481" i="2"/>
  <c r="D481" i="2"/>
  <c r="C481" i="2"/>
  <c r="F19" i="2"/>
  <c r="E19" i="2"/>
  <c r="G19" i="2" s="1"/>
  <c r="D19" i="2"/>
  <c r="C19" i="2"/>
  <c r="G18" i="2"/>
  <c r="F18" i="2"/>
  <c r="E18" i="2"/>
  <c r="D18" i="2"/>
  <c r="C18" i="2"/>
  <c r="F17" i="2"/>
  <c r="E17" i="2"/>
  <c r="G17" i="2" s="1"/>
  <c r="D17" i="2"/>
  <c r="C17" i="2"/>
  <c r="F16" i="2"/>
  <c r="E16" i="2"/>
  <c r="G16" i="2" s="1"/>
  <c r="D16" i="2"/>
  <c r="C16" i="2"/>
  <c r="F15" i="2"/>
  <c r="E15" i="2"/>
  <c r="G15" i="2" s="1"/>
  <c r="D15" i="2"/>
  <c r="C15" i="2"/>
  <c r="F480" i="2"/>
  <c r="E480" i="2"/>
  <c r="G480" i="2" s="1"/>
  <c r="D480" i="2"/>
  <c r="C480" i="2"/>
  <c r="F14" i="2"/>
  <c r="E14" i="2"/>
  <c r="G14" i="2" s="1"/>
  <c r="D14" i="2"/>
  <c r="C14" i="2"/>
  <c r="F13" i="2"/>
  <c r="E13" i="2"/>
  <c r="G13" i="2" s="1"/>
  <c r="D13" i="2"/>
  <c r="C13" i="2"/>
  <c r="F12" i="2"/>
  <c r="E12" i="2"/>
  <c r="D12" i="2"/>
  <c r="C12" i="2"/>
  <c r="F11" i="2"/>
  <c r="E11" i="2"/>
  <c r="G11" i="2" s="1"/>
  <c r="D11" i="2"/>
  <c r="C11" i="2"/>
  <c r="F479" i="2"/>
  <c r="E479" i="2"/>
  <c r="G479" i="2" s="1"/>
  <c r="D479" i="2"/>
  <c r="C479" i="2"/>
  <c r="F10" i="2"/>
  <c r="E10" i="2"/>
  <c r="G10" i="2" s="1"/>
  <c r="D10" i="2"/>
  <c r="C10" i="2"/>
  <c r="F9" i="2"/>
  <c r="E9" i="2"/>
  <c r="G9" i="2" s="1"/>
  <c r="D9" i="2"/>
  <c r="C9" i="2"/>
  <c r="F8" i="2"/>
  <c r="E8" i="2"/>
  <c r="G8" i="2" s="1"/>
  <c r="D8" i="2"/>
  <c r="C8" i="2"/>
  <c r="F7" i="2"/>
  <c r="E7" i="2"/>
  <c r="D7" i="2"/>
  <c r="C7" i="2"/>
  <c r="F6" i="2"/>
  <c r="E6" i="2"/>
  <c r="G6" i="2" s="1"/>
  <c r="D6" i="2"/>
  <c r="C6" i="2"/>
  <c r="F5" i="2"/>
  <c r="G5" i="2" s="1"/>
  <c r="E5" i="2"/>
  <c r="D5" i="2"/>
  <c r="C5" i="2"/>
  <c r="F478" i="2"/>
  <c r="E478" i="2"/>
  <c r="G478" i="2" s="1"/>
  <c r="D478" i="2"/>
  <c r="C478" i="2"/>
  <c r="F4" i="2"/>
  <c r="E4" i="2"/>
  <c r="G4" i="2" s="1"/>
  <c r="D4" i="2"/>
  <c r="C4" i="2"/>
  <c r="F3" i="2"/>
  <c r="E3" i="2"/>
  <c r="G3" i="2" s="1"/>
  <c r="D3" i="2"/>
  <c r="C3" i="2"/>
  <c r="F477" i="2"/>
  <c r="E477" i="2"/>
  <c r="G477" i="2" s="1"/>
  <c r="D477" i="2"/>
  <c r="C477" i="2"/>
  <c r="F2" i="2"/>
  <c r="E2" i="2"/>
  <c r="G2" i="2" s="1"/>
  <c r="D2" i="2"/>
  <c r="C2" i="2"/>
  <c r="F476" i="2"/>
  <c r="E476" i="2"/>
  <c r="G476" i="2" s="1"/>
  <c r="D476" i="2"/>
  <c r="C476" i="2"/>
  <c r="F475" i="2"/>
  <c r="E475" i="2"/>
  <c r="G475" i="2" s="1"/>
  <c r="D475" i="2"/>
  <c r="C475" i="2"/>
  <c r="G214" i="2" l="1"/>
  <c r="G220" i="2"/>
  <c r="G328" i="2"/>
  <c r="G540" i="2"/>
  <c r="G661" i="2"/>
  <c r="G462" i="2"/>
  <c r="G90" i="2"/>
  <c r="G527" i="2"/>
  <c r="G570" i="2"/>
  <c r="G200" i="2"/>
  <c r="G379" i="2"/>
  <c r="G385" i="2"/>
  <c r="G386" i="2"/>
  <c r="G506" i="2"/>
  <c r="G368" i="2"/>
  <c r="G499" i="2"/>
  <c r="G405" i="2"/>
  <c r="G40" i="2"/>
  <c r="G112" i="2"/>
  <c r="G596" i="2"/>
  <c r="G485" i="2"/>
  <c r="G69" i="2"/>
  <c r="G96" i="2"/>
  <c r="G140" i="2"/>
  <c r="G592" i="2"/>
  <c r="G593" i="2"/>
  <c r="G258" i="2"/>
  <c r="G611" i="2"/>
  <c r="G306" i="2"/>
  <c r="G311" i="2"/>
  <c r="G314" i="2"/>
  <c r="G315" i="2"/>
  <c r="G325" i="2"/>
  <c r="G327" i="2"/>
  <c r="G635" i="2"/>
  <c r="G652" i="2"/>
  <c r="G435" i="2"/>
  <c r="G654" i="2"/>
  <c r="G437" i="2"/>
  <c r="G449" i="2"/>
  <c r="G287" i="2"/>
  <c r="G609" i="2"/>
  <c r="G12" i="2"/>
  <c r="G33" i="2"/>
  <c r="G147" i="2"/>
  <c r="G412" i="2"/>
  <c r="G538" i="2"/>
  <c r="G153" i="2"/>
  <c r="G336" i="2"/>
  <c r="G64" i="2"/>
  <c r="G269" i="2"/>
  <c r="G47" i="2"/>
  <c r="G7" i="2"/>
  <c r="G481" i="2"/>
  <c r="G28" i="2"/>
  <c r="G41" i="2"/>
  <c r="G53" i="2"/>
  <c r="G65" i="2"/>
  <c r="G76" i="2"/>
  <c r="G504" i="2"/>
  <c r="G505" i="2"/>
  <c r="G89" i="2"/>
  <c r="G102" i="2"/>
  <c r="G113" i="2"/>
  <c r="G120" i="2"/>
  <c r="G124" i="2"/>
  <c r="G533" i="2"/>
  <c r="G539" i="2"/>
  <c r="G135" i="2"/>
  <c r="G170" i="2"/>
  <c r="G564" i="2"/>
  <c r="G565" i="2"/>
  <c r="G175" i="2"/>
  <c r="G188" i="2"/>
  <c r="G586" i="2"/>
  <c r="G590" i="2"/>
  <c r="G594" i="2"/>
  <c r="G247" i="2"/>
  <c r="G595" i="2"/>
  <c r="G263" i="2"/>
  <c r="G612" i="2"/>
  <c r="G632" i="2"/>
  <c r="G359" i="2"/>
  <c r="G364" i="2"/>
  <c r="G637" i="2"/>
  <c r="G649" i="2"/>
  <c r="G439" i="2"/>
  <c r="G441" i="2"/>
  <c r="G453" i="2"/>
  <c r="G454" i="2"/>
  <c r="G159" i="2"/>
  <c r="G160" i="2"/>
  <c r="G172" i="2"/>
  <c r="G180" i="2"/>
  <c r="G184" i="2"/>
  <c r="G186" i="2"/>
  <c r="G197" i="2"/>
  <c r="G574" i="2"/>
  <c r="G209" i="2"/>
  <c r="G575" i="2"/>
  <c r="G218" i="2"/>
  <c r="G585" i="2"/>
  <c r="G228" i="2"/>
  <c r="G230" i="2"/>
  <c r="G241" i="2"/>
  <c r="G249" i="2"/>
  <c r="G253" i="2"/>
  <c r="G598" i="2"/>
  <c r="G276" i="2"/>
  <c r="G600" i="2"/>
  <c r="G281" i="2"/>
  <c r="G289" i="2"/>
  <c r="G297" i="2"/>
  <c r="G300" i="2"/>
  <c r="G613" i="2"/>
  <c r="G317" i="2"/>
  <c r="G629" i="2"/>
  <c r="G370" i="2"/>
  <c r="G393" i="2"/>
  <c r="G419" i="2"/>
  <c r="G657" i="2"/>
  <c r="G469" i="2"/>
  <c r="G636" i="2"/>
  <c r="G376" i="2"/>
  <c r="G642" i="2"/>
  <c r="G397" i="2"/>
  <c r="G645" i="2"/>
  <c r="G648" i="2"/>
  <c r="G427" i="2"/>
  <c r="G656" i="2"/>
  <c r="G450" i="2"/>
  <c r="G463" i="2"/>
  <c r="G80" i="2"/>
  <c r="G509" i="2"/>
  <c r="G88" i="2"/>
  <c r="G512" i="2"/>
  <c r="G98" i="2"/>
  <c r="G108" i="2"/>
  <c r="G111" i="2"/>
  <c r="G522" i="2"/>
  <c r="G529" i="2"/>
  <c r="G534" i="2"/>
  <c r="G128" i="2"/>
  <c r="G537" i="2"/>
  <c r="G542" i="2"/>
  <c r="G144" i="2"/>
  <c r="G550" i="2"/>
  <c r="G551" i="2"/>
  <c r="G157" i="2"/>
  <c r="G163" i="2"/>
  <c r="G164" i="2"/>
  <c r="G166" i="2"/>
  <c r="G177" i="2"/>
  <c r="G187" i="2"/>
  <c r="G191" i="2"/>
  <c r="G569" i="2"/>
  <c r="G204" i="2"/>
  <c r="G577" i="2"/>
  <c r="G580" i="2"/>
  <c r="G212" i="2"/>
  <c r="G224" i="2"/>
  <c r="G588" i="2"/>
  <c r="G235" i="2"/>
  <c r="G237" i="2"/>
  <c r="G246" i="2"/>
  <c r="G257" i="2"/>
  <c r="G261" i="2"/>
  <c r="G262" i="2"/>
  <c r="G274" i="2"/>
  <c r="G601" i="2"/>
  <c r="G604" i="2"/>
  <c r="G285" i="2"/>
  <c r="G610" i="2"/>
  <c r="G302" i="2"/>
  <c r="G615" i="2"/>
  <c r="G616" i="2"/>
  <c r="G622" i="2"/>
  <c r="G322" i="2"/>
  <c r="G324" i="2"/>
  <c r="G326" i="2"/>
  <c r="G340" i="2"/>
  <c r="G630" i="2"/>
  <c r="G352" i="2"/>
  <c r="G354" i="2"/>
  <c r="G367" i="2"/>
  <c r="G375" i="2"/>
  <c r="G377" i="2"/>
  <c r="G640" i="2"/>
  <c r="G390" i="2"/>
  <c r="G401" i="2"/>
  <c r="G403" i="2"/>
  <c r="G416" i="2"/>
  <c r="G429" i="2"/>
  <c r="G431" i="2"/>
  <c r="G440" i="2"/>
  <c r="G452" i="2"/>
  <c r="G660" i="2"/>
  <c r="G467" i="2"/>
  <c r="F104" i="1"/>
  <c r="E104" i="1"/>
  <c r="G104" i="1" s="1"/>
  <c r="D104" i="1"/>
  <c r="C104" i="1"/>
  <c r="F103" i="1"/>
  <c r="E103" i="1"/>
  <c r="G103" i="1" s="1"/>
  <c r="D103" i="1"/>
  <c r="C103" i="1"/>
  <c r="F31" i="1"/>
  <c r="E31" i="1"/>
  <c r="D31" i="1"/>
  <c r="C31" i="1"/>
  <c r="F30" i="1"/>
  <c r="E30" i="1"/>
  <c r="D30" i="1"/>
  <c r="C30" i="1"/>
  <c r="F29" i="1"/>
  <c r="E29" i="1"/>
  <c r="D29" i="1"/>
  <c r="C29" i="1"/>
  <c r="F28" i="1"/>
  <c r="E28" i="1"/>
  <c r="G28" i="1" s="1"/>
  <c r="D28" i="1"/>
  <c r="C28" i="1"/>
  <c r="F27" i="1"/>
  <c r="E27" i="1"/>
  <c r="G27" i="1" s="1"/>
  <c r="D27" i="1"/>
  <c r="C27" i="1"/>
  <c r="F102" i="1"/>
  <c r="E102" i="1"/>
  <c r="D102" i="1"/>
  <c r="C102" i="1"/>
  <c r="F101" i="1"/>
  <c r="G101" i="1" s="1"/>
  <c r="E101" i="1"/>
  <c r="D101" i="1"/>
  <c r="C101" i="1"/>
  <c r="F100" i="1"/>
  <c r="E100" i="1"/>
  <c r="G100" i="1" s="1"/>
  <c r="D100" i="1"/>
  <c r="C100" i="1"/>
  <c r="F99" i="1"/>
  <c r="E99" i="1"/>
  <c r="D99" i="1"/>
  <c r="C99" i="1"/>
  <c r="F26" i="1"/>
  <c r="E26" i="1"/>
  <c r="D26" i="1"/>
  <c r="C26" i="1"/>
  <c r="G98" i="1"/>
  <c r="F98" i="1"/>
  <c r="E98" i="1"/>
  <c r="D98" i="1"/>
  <c r="C98" i="1"/>
  <c r="F25" i="1"/>
  <c r="E25" i="1"/>
  <c r="G25" i="1" s="1"/>
  <c r="D25" i="1"/>
  <c r="C25" i="1"/>
  <c r="F97" i="1"/>
  <c r="E97" i="1"/>
  <c r="D97" i="1"/>
  <c r="C97" i="1"/>
  <c r="F96" i="1"/>
  <c r="E96" i="1"/>
  <c r="D96" i="1"/>
  <c r="C96" i="1"/>
  <c r="F95" i="1"/>
  <c r="E95" i="1"/>
  <c r="G95" i="1" s="1"/>
  <c r="D95" i="1"/>
  <c r="C95" i="1"/>
  <c r="F24" i="1"/>
  <c r="E24" i="1"/>
  <c r="G24" i="1" s="1"/>
  <c r="D24" i="1"/>
  <c r="C24" i="1"/>
  <c r="F94" i="1"/>
  <c r="E94" i="1"/>
  <c r="G94" i="1" s="1"/>
  <c r="D94" i="1"/>
  <c r="C94" i="1"/>
  <c r="F93" i="1"/>
  <c r="E93" i="1"/>
  <c r="D93" i="1"/>
  <c r="C93" i="1"/>
  <c r="F92" i="1"/>
  <c r="E92" i="1"/>
  <c r="G92" i="1" s="1"/>
  <c r="D92" i="1"/>
  <c r="C92" i="1"/>
  <c r="F91" i="1"/>
  <c r="E91" i="1"/>
  <c r="G91" i="1" s="1"/>
  <c r="D91" i="1"/>
  <c r="C91" i="1"/>
  <c r="F23" i="1"/>
  <c r="E23" i="1"/>
  <c r="G23" i="1" s="1"/>
  <c r="D23" i="1"/>
  <c r="C23" i="1"/>
  <c r="F90" i="1"/>
  <c r="E90" i="1"/>
  <c r="D90" i="1"/>
  <c r="C90" i="1"/>
  <c r="F89" i="1"/>
  <c r="E89" i="1"/>
  <c r="G89" i="1" s="1"/>
  <c r="D89" i="1"/>
  <c r="C89" i="1"/>
  <c r="F22" i="1"/>
  <c r="E22" i="1"/>
  <c r="D22" i="1"/>
  <c r="C22" i="1"/>
  <c r="F21" i="1"/>
  <c r="E21" i="1"/>
  <c r="G21" i="1" s="1"/>
  <c r="D21" i="1"/>
  <c r="C21" i="1"/>
  <c r="F88" i="1"/>
  <c r="G88" i="1" s="1"/>
  <c r="E88" i="1"/>
  <c r="D88" i="1"/>
  <c r="C88" i="1"/>
  <c r="F87" i="1"/>
  <c r="E87" i="1"/>
  <c r="G87" i="1" s="1"/>
  <c r="D87" i="1"/>
  <c r="C87" i="1"/>
  <c r="F20" i="1"/>
  <c r="E20" i="1"/>
  <c r="D20" i="1"/>
  <c r="C20" i="1"/>
  <c r="F19" i="1"/>
  <c r="E19" i="1"/>
  <c r="G19" i="1" s="1"/>
  <c r="D19" i="1"/>
  <c r="C19" i="1"/>
  <c r="F86" i="1"/>
  <c r="G86" i="1" s="1"/>
  <c r="E86" i="1"/>
  <c r="D86" i="1"/>
  <c r="C86" i="1"/>
  <c r="F85" i="1"/>
  <c r="E85" i="1"/>
  <c r="G85" i="1" s="1"/>
  <c r="D85" i="1"/>
  <c r="C85" i="1"/>
  <c r="F84" i="1"/>
  <c r="E84" i="1"/>
  <c r="G84" i="1" s="1"/>
  <c r="D84" i="1"/>
  <c r="C84" i="1"/>
  <c r="F83" i="1"/>
  <c r="E83" i="1"/>
  <c r="G83" i="1" s="1"/>
  <c r="D83" i="1"/>
  <c r="C83" i="1"/>
  <c r="F82" i="1"/>
  <c r="E82" i="1"/>
  <c r="D82" i="1"/>
  <c r="C82" i="1"/>
  <c r="F81" i="1"/>
  <c r="E81" i="1"/>
  <c r="G81" i="1" s="1"/>
  <c r="D81" i="1"/>
  <c r="C81" i="1"/>
  <c r="F80" i="1"/>
  <c r="E80" i="1"/>
  <c r="G80" i="1" s="1"/>
  <c r="D80" i="1"/>
  <c r="C80" i="1"/>
  <c r="F79" i="1"/>
  <c r="E79" i="1"/>
  <c r="G79" i="1" s="1"/>
  <c r="D79" i="1"/>
  <c r="C79" i="1"/>
  <c r="F78" i="1"/>
  <c r="E78" i="1"/>
  <c r="D78" i="1"/>
  <c r="C78" i="1"/>
  <c r="F77" i="1"/>
  <c r="G77" i="1" s="1"/>
  <c r="E77" i="1"/>
  <c r="D77" i="1"/>
  <c r="C77" i="1"/>
  <c r="F76" i="1"/>
  <c r="E76" i="1"/>
  <c r="G76" i="1" s="1"/>
  <c r="D76" i="1"/>
  <c r="C76" i="1"/>
  <c r="F75" i="1"/>
  <c r="E75" i="1"/>
  <c r="D75" i="1"/>
  <c r="C75" i="1"/>
  <c r="F74" i="1"/>
  <c r="E74" i="1"/>
  <c r="D74" i="1"/>
  <c r="C74" i="1"/>
  <c r="G73" i="1"/>
  <c r="F73" i="1"/>
  <c r="E73" i="1"/>
  <c r="D73" i="1"/>
  <c r="C73" i="1"/>
  <c r="F18" i="1"/>
  <c r="E18" i="1"/>
  <c r="G18" i="1" s="1"/>
  <c r="D18" i="1"/>
  <c r="C18" i="1"/>
  <c r="F72" i="1"/>
  <c r="E72" i="1"/>
  <c r="D72" i="1"/>
  <c r="C72" i="1"/>
  <c r="F71" i="1"/>
  <c r="E71" i="1"/>
  <c r="D71" i="1"/>
  <c r="C71" i="1"/>
  <c r="F70" i="1"/>
  <c r="E70" i="1"/>
  <c r="G70" i="1" s="1"/>
  <c r="D70" i="1"/>
  <c r="C70" i="1"/>
  <c r="F69" i="1"/>
  <c r="E69" i="1"/>
  <c r="G69" i="1" s="1"/>
  <c r="D69" i="1"/>
  <c r="C69" i="1"/>
  <c r="F68" i="1"/>
  <c r="E68" i="1"/>
  <c r="G68" i="1" s="1"/>
  <c r="D68" i="1"/>
  <c r="C68" i="1"/>
  <c r="F67" i="1"/>
  <c r="E67" i="1"/>
  <c r="D67" i="1"/>
  <c r="C67" i="1"/>
  <c r="F17" i="1"/>
  <c r="E17" i="1"/>
  <c r="G17" i="1" s="1"/>
  <c r="D17" i="1"/>
  <c r="C17" i="1"/>
  <c r="F16" i="1"/>
  <c r="E16" i="1"/>
  <c r="G16" i="1" s="1"/>
  <c r="D16" i="1"/>
  <c r="C16" i="1"/>
  <c r="F66" i="1"/>
  <c r="E66" i="1"/>
  <c r="G66" i="1" s="1"/>
  <c r="D66" i="1"/>
  <c r="C66" i="1"/>
  <c r="F15" i="1"/>
  <c r="E15" i="1"/>
  <c r="D15" i="1"/>
  <c r="C15" i="1"/>
  <c r="F14" i="1"/>
  <c r="E14" i="1"/>
  <c r="G14" i="1" s="1"/>
  <c r="D14" i="1"/>
  <c r="C14" i="1"/>
  <c r="F65" i="1"/>
  <c r="E65" i="1"/>
  <c r="D65" i="1"/>
  <c r="C65" i="1"/>
  <c r="F64" i="1"/>
  <c r="E64" i="1"/>
  <c r="G64" i="1" s="1"/>
  <c r="D64" i="1"/>
  <c r="C64" i="1"/>
  <c r="F63" i="1"/>
  <c r="G63" i="1" s="1"/>
  <c r="E63" i="1"/>
  <c r="D63" i="1"/>
  <c r="C63" i="1"/>
  <c r="F62" i="1"/>
  <c r="E62" i="1"/>
  <c r="G62" i="1" s="1"/>
  <c r="D62" i="1"/>
  <c r="C62" i="1"/>
  <c r="F61" i="1"/>
  <c r="E61" i="1"/>
  <c r="D61" i="1"/>
  <c r="C61" i="1"/>
  <c r="F60" i="1"/>
  <c r="E60" i="1"/>
  <c r="G60" i="1" s="1"/>
  <c r="D60" i="1"/>
  <c r="C60" i="1"/>
  <c r="F13" i="1"/>
  <c r="G13" i="1" s="1"/>
  <c r="E13" i="1"/>
  <c r="D13" i="1"/>
  <c r="C13" i="1"/>
  <c r="F12" i="1"/>
  <c r="E12" i="1"/>
  <c r="G12" i="1" s="1"/>
  <c r="D12" i="1"/>
  <c r="C12" i="1"/>
  <c r="F59" i="1"/>
  <c r="E59" i="1"/>
  <c r="G59" i="1" s="1"/>
  <c r="D59" i="1"/>
  <c r="C59" i="1"/>
  <c r="F58" i="1"/>
  <c r="E58" i="1"/>
  <c r="G58" i="1" s="1"/>
  <c r="D58" i="1"/>
  <c r="C58" i="1"/>
  <c r="F57" i="1"/>
  <c r="E57" i="1"/>
  <c r="D57" i="1"/>
  <c r="C57" i="1"/>
  <c r="F56" i="1"/>
  <c r="E56" i="1"/>
  <c r="G56" i="1" s="1"/>
  <c r="D56" i="1"/>
  <c r="C56" i="1"/>
  <c r="F11" i="1"/>
  <c r="E11" i="1"/>
  <c r="G11" i="1" s="1"/>
  <c r="D11" i="1"/>
  <c r="C11" i="1"/>
  <c r="F55" i="1"/>
  <c r="E55" i="1"/>
  <c r="G55" i="1" s="1"/>
  <c r="D55" i="1"/>
  <c r="C55" i="1"/>
  <c r="F54" i="1"/>
  <c r="E54" i="1"/>
  <c r="D54" i="1"/>
  <c r="C54" i="1"/>
  <c r="F53" i="1"/>
  <c r="G53" i="1" s="1"/>
  <c r="E53" i="1"/>
  <c r="D53" i="1"/>
  <c r="C53" i="1"/>
  <c r="F10" i="1"/>
  <c r="E10" i="1"/>
  <c r="G10" i="1" s="1"/>
  <c r="D10" i="1"/>
  <c r="C10" i="1"/>
  <c r="F52" i="1"/>
  <c r="E52" i="1"/>
  <c r="D52" i="1"/>
  <c r="C52" i="1"/>
  <c r="F51" i="1"/>
  <c r="E51" i="1"/>
  <c r="D51" i="1"/>
  <c r="C51" i="1"/>
  <c r="G50" i="1"/>
  <c r="F50" i="1"/>
  <c r="E50" i="1"/>
  <c r="D50" i="1"/>
  <c r="C50" i="1"/>
  <c r="F49" i="1"/>
  <c r="E49" i="1"/>
  <c r="G49" i="1" s="1"/>
  <c r="D49" i="1"/>
  <c r="C49" i="1"/>
  <c r="F48" i="1"/>
  <c r="E48" i="1"/>
  <c r="G48" i="1" s="1"/>
  <c r="D48" i="1"/>
  <c r="C48" i="1"/>
  <c r="F9" i="1"/>
  <c r="E9" i="1"/>
  <c r="D9" i="1"/>
  <c r="C9" i="1"/>
  <c r="F8" i="1"/>
  <c r="E8" i="1"/>
  <c r="G8" i="1" s="1"/>
  <c r="D8" i="1"/>
  <c r="C8" i="1"/>
  <c r="F47" i="1"/>
  <c r="E47" i="1"/>
  <c r="G47" i="1" s="1"/>
  <c r="D47" i="1"/>
  <c r="C47" i="1"/>
  <c r="F46" i="1"/>
  <c r="E46" i="1"/>
  <c r="G46" i="1" s="1"/>
  <c r="D46" i="1"/>
  <c r="C46" i="1"/>
  <c r="F45" i="1"/>
  <c r="E45" i="1"/>
  <c r="D45" i="1"/>
  <c r="C45" i="1"/>
  <c r="F7" i="1"/>
  <c r="E7" i="1"/>
  <c r="G7" i="1" s="1"/>
  <c r="D7" i="1"/>
  <c r="C7" i="1"/>
  <c r="F44" i="1"/>
  <c r="E44" i="1"/>
  <c r="G44" i="1" s="1"/>
  <c r="D44" i="1"/>
  <c r="C44" i="1"/>
  <c r="F43" i="1"/>
  <c r="E43" i="1"/>
  <c r="G43" i="1" s="1"/>
  <c r="D43" i="1"/>
  <c r="C43" i="1"/>
  <c r="F42" i="1"/>
  <c r="E42" i="1"/>
  <c r="D42" i="1"/>
  <c r="C42" i="1"/>
  <c r="F41" i="1"/>
  <c r="E41" i="1"/>
  <c r="G41" i="1" s="1"/>
  <c r="D41" i="1"/>
  <c r="C41" i="1"/>
  <c r="F6" i="1"/>
  <c r="E6" i="1"/>
  <c r="D6" i="1"/>
  <c r="C6" i="1"/>
  <c r="F40" i="1"/>
  <c r="E40" i="1"/>
  <c r="G40" i="1" s="1"/>
  <c r="D40" i="1"/>
  <c r="C40" i="1"/>
  <c r="F39" i="1"/>
  <c r="G39" i="1" s="1"/>
  <c r="E39" i="1"/>
  <c r="D39" i="1"/>
  <c r="C39" i="1"/>
  <c r="F38" i="1"/>
  <c r="E38" i="1"/>
  <c r="G38" i="1" s="1"/>
  <c r="D38" i="1"/>
  <c r="C38" i="1"/>
  <c r="F37" i="1"/>
  <c r="E37" i="1"/>
  <c r="G37" i="1" s="1"/>
  <c r="D37" i="1"/>
  <c r="C37" i="1"/>
  <c r="F5" i="1"/>
  <c r="E5" i="1"/>
  <c r="G5" i="1" s="1"/>
  <c r="D5" i="1"/>
  <c r="C5" i="1"/>
  <c r="F36" i="1"/>
  <c r="E36" i="1"/>
  <c r="D36" i="1"/>
  <c r="C36" i="1"/>
  <c r="F4" i="1"/>
  <c r="E4" i="1"/>
  <c r="G4" i="1" s="1"/>
  <c r="D4" i="1"/>
  <c r="C4" i="1"/>
  <c r="F35" i="1"/>
  <c r="E35" i="1"/>
  <c r="G35" i="1" s="1"/>
  <c r="D35" i="1"/>
  <c r="C35" i="1"/>
  <c r="F34" i="1"/>
  <c r="E34" i="1"/>
  <c r="G34" i="1" s="1"/>
  <c r="D34" i="1"/>
  <c r="C34" i="1"/>
  <c r="F3" i="1"/>
  <c r="E3" i="1"/>
  <c r="D3" i="1"/>
  <c r="C3" i="1"/>
  <c r="F33" i="1"/>
  <c r="E33" i="1"/>
  <c r="G33" i="1" s="1"/>
  <c r="D33" i="1"/>
  <c r="C33" i="1"/>
  <c r="F32" i="1"/>
  <c r="E32" i="1"/>
  <c r="G32" i="1" s="1"/>
  <c r="D32" i="1"/>
  <c r="C32" i="1"/>
  <c r="F2" i="1"/>
  <c r="E2" i="1"/>
  <c r="G2" i="1" s="1"/>
  <c r="D2" i="1"/>
  <c r="C2" i="1"/>
  <c r="G31" i="1" l="1"/>
  <c r="G26" i="1"/>
  <c r="G54" i="1"/>
  <c r="G78" i="1"/>
  <c r="G102" i="1"/>
  <c r="G30" i="1"/>
  <c r="G93" i="1"/>
  <c r="G57" i="1"/>
  <c r="G61" i="1"/>
  <c r="G72" i="1"/>
  <c r="G82" i="1"/>
  <c r="G20" i="1"/>
  <c r="G97" i="1"/>
  <c r="G42" i="1"/>
  <c r="G15" i="1"/>
  <c r="G90" i="1"/>
  <c r="G29" i="1"/>
  <c r="G45" i="1"/>
  <c r="G67" i="1"/>
  <c r="G9" i="1"/>
  <c r="G71" i="1"/>
  <c r="G96" i="1"/>
  <c r="G51" i="1"/>
  <c r="G74" i="1"/>
  <c r="G3" i="1"/>
  <c r="G36" i="1"/>
  <c r="G6" i="1"/>
  <c r="G52" i="1"/>
  <c r="G65" i="1"/>
  <c r="G75" i="1"/>
  <c r="G22" i="1"/>
  <c r="G99" i="1"/>
</calcChain>
</file>

<file path=xl/sharedStrings.xml><?xml version="1.0" encoding="utf-8"?>
<sst xmlns="http://schemas.openxmlformats.org/spreadsheetml/2006/main" count="11747" uniqueCount="4745">
  <si>
    <t>Geneid</t>
  </si>
  <si>
    <t>Length</t>
  </si>
  <si>
    <t>Regulated</t>
  </si>
  <si>
    <t>Significant?</t>
  </si>
  <si>
    <t>Control_Expressed</t>
  </si>
  <si>
    <t>Urea_Expressed</t>
  </si>
  <si>
    <t>Y in at least 1 category</t>
  </si>
  <si>
    <t>2023_v10_control_5_rep1</t>
  </si>
  <si>
    <t>2023_v10_control_5_rep1_FPKM</t>
  </si>
  <si>
    <t>2023_v10_control_5_rep2</t>
  </si>
  <si>
    <t>2023_v10_control_5_rep2_FPKM</t>
  </si>
  <si>
    <t>2023_v10_control_5_rep3</t>
  </si>
  <si>
    <t>2023_v10_control_5_rep3_FPKM</t>
  </si>
  <si>
    <t>2023_v10_control_5_rep4</t>
  </si>
  <si>
    <t>2023_v10_control_5_rep4_FPKM</t>
  </si>
  <si>
    <t>2023_v10_urea_8_rep1</t>
  </si>
  <si>
    <t>2023_v10_urea_8_rep1_FPKM</t>
  </si>
  <si>
    <t>2023_v10_urea_8_rep2</t>
  </si>
  <si>
    <t>2023_v10_urea_8_rep2_FPKM</t>
  </si>
  <si>
    <t>2023_v10_urea_8_rep3</t>
  </si>
  <si>
    <t>2023_v10_urea_8_rep3_FPKM</t>
  </si>
  <si>
    <t>2023_v10_urea_8_rep4</t>
  </si>
  <si>
    <t>2023_v10_urea_8_rep4_FPKM</t>
  </si>
  <si>
    <t>baseMean</t>
  </si>
  <si>
    <t>log2FoldChange</t>
  </si>
  <si>
    <t>lfcSE</t>
  </si>
  <si>
    <t>stat</t>
  </si>
  <si>
    <t>pvalue</t>
  </si>
  <si>
    <t>padj</t>
  </si>
  <si>
    <t>target_id</t>
  </si>
  <si>
    <t>description.x</t>
  </si>
  <si>
    <t>description</t>
  </si>
  <si>
    <t>AGI</t>
  </si>
  <si>
    <t>hormone</t>
  </si>
  <si>
    <t>hormone.enzyme</t>
  </si>
  <si>
    <t>hormone.action</t>
  </si>
  <si>
    <t>hormone.role</t>
  </si>
  <si>
    <t>hormone.ref</t>
  </si>
  <si>
    <t>function.</t>
  </si>
  <si>
    <t>Family</t>
  </si>
  <si>
    <t>Zm00001eb005550</t>
  </si>
  <si>
    <t>Zm00001eb005550_T001</t>
  </si>
  <si>
    <t>Zm00001e000539</t>
  </si>
  <si>
    <t>NA</t>
  </si>
  <si>
    <t>AT4G39660</t>
  </si>
  <si>
    <t>alanine:glyoxylate aminotransferase 2</t>
  </si>
  <si>
    <t>Zm00001eb008160</t>
  </si>
  <si>
    <t>Zm00001eb008160_T004</t>
  </si>
  <si>
    <t>Zm00001e000795</t>
  </si>
  <si>
    <t>sulfate permease1</t>
  </si>
  <si>
    <t>AT1G22150</t>
  </si>
  <si>
    <t>sulfate transporter 1;3</t>
  </si>
  <si>
    <t>Zm00001eb008170</t>
  </si>
  <si>
    <t>Zm00001eb008170_T004</t>
  </si>
  <si>
    <t>Zm00001e000796</t>
  </si>
  <si>
    <t>Putative uncharacterized protein</t>
  </si>
  <si>
    <t>AT5G10180</t>
  </si>
  <si>
    <t>slufate transporter 2;1</t>
  </si>
  <si>
    <t>Zm00001eb013060</t>
  </si>
  <si>
    <t>Zm00001eb013060_T001</t>
  </si>
  <si>
    <t>Zm00001e001288</t>
  </si>
  <si>
    <t>hypothetical protein LOC100278698</t>
  </si>
  <si>
    <t>AT3G53470</t>
  </si>
  <si>
    <t>unknown protein; FUNCTIONS IN: molecular_function unknown; INVOLVED IN: biological_process unknown; LOCATED IN: chloroplast thylakoid membrane, chloroplast; EXPRESSED IN: 22 plant structures; EXPRESSED DURING: 13 growth stages; Has 35 Blast hits to 35 proteins in 13 species: Archae - 0; Bacteria - 0; Metazoa - 0; Fungi - 0; Plants - 35; Viruses - 0; Other Eukaryotes - 0 (source: NCBI BLink).</t>
  </si>
  <si>
    <t>Zm00001eb015960</t>
  </si>
  <si>
    <t>Zm00001eb015960_T003</t>
  </si>
  <si>
    <t>Zm00001e001573</t>
  </si>
  <si>
    <t>LOC100281573</t>
  </si>
  <si>
    <t>AT3G08720</t>
  </si>
  <si>
    <t>serine/threonine protein kinase 2</t>
  </si>
  <si>
    <t>Zm00001eb021720</t>
  </si>
  <si>
    <t>Zm00001eb021720_T001</t>
  </si>
  <si>
    <t>Zm00001e002179</t>
  </si>
  <si>
    <t>glutathione transferase30</t>
  </si>
  <si>
    <t>AT1G10370</t>
  </si>
  <si>
    <t>Glutathione S-transferase family protein</t>
  </si>
  <si>
    <t>Zm00001eb025550</t>
  </si>
  <si>
    <t>Zm00001eb025550_T001</t>
  </si>
  <si>
    <t>Zm00001e002532</t>
  </si>
  <si>
    <t>hypothetical protein LOC100191502</t>
  </si>
  <si>
    <t>AT1G73270</t>
  </si>
  <si>
    <t>serine carboxypeptidase-like 6</t>
  </si>
  <si>
    <t>Zm00001eb032640</t>
  </si>
  <si>
    <t>Zm00001eb032640_T005</t>
  </si>
  <si>
    <t>Zm00001e003309</t>
  </si>
  <si>
    <t>hypothetical protein LOC100272877</t>
  </si>
  <si>
    <t>AT5G45170</t>
  </si>
  <si>
    <t>Haloacid dehalogenase-like hydrolase (HAD) superfamily protein</t>
  </si>
  <si>
    <t>Zm00001eb034320</t>
  </si>
  <si>
    <t>Zm00001eb034320_T001</t>
  </si>
  <si>
    <t>Zm00001e003478</t>
  </si>
  <si>
    <t>AT2G13360</t>
  </si>
  <si>
    <t>alanine:glyoxylate aminotransferase</t>
  </si>
  <si>
    <t>Zm00001eb035600</t>
  </si>
  <si>
    <t>Zm00001eb035600_T001</t>
  </si>
  <si>
    <t>Zm00001e003588</t>
  </si>
  <si>
    <t>Zm00001eb036940</t>
  </si>
  <si>
    <t>Zm00001eb036940_T004</t>
  </si>
  <si>
    <t>Zm00001e003696</t>
  </si>
  <si>
    <t>pyruvate dehydrogenase2</t>
  </si>
  <si>
    <t>AT5G50850</t>
  </si>
  <si>
    <t>Transketolase family protein</t>
  </si>
  <si>
    <t>Zm00001eb040890</t>
  </si>
  <si>
    <t>Zm00001eb040890_T001</t>
  </si>
  <si>
    <t>Zm00001e004069</t>
  </si>
  <si>
    <t>hypothetical protein LOC100383999</t>
  </si>
  <si>
    <t>AT1G17745</t>
  </si>
  <si>
    <t>D-3-phosphoglycerate dehydrogenase</t>
  </si>
  <si>
    <t>Zm00001eb041770</t>
  </si>
  <si>
    <t>Zm00001eb041770_T001</t>
  </si>
  <si>
    <t>Zm00001e004158</t>
  </si>
  <si>
    <t>LOC542156</t>
  </si>
  <si>
    <t>AT5G23960</t>
  </si>
  <si>
    <t>terpene synthase 21</t>
  </si>
  <si>
    <t>Zm00001eb042320</t>
  </si>
  <si>
    <t>Zm00001eb042320_T001</t>
  </si>
  <si>
    <t>Zm00001e004220</t>
  </si>
  <si>
    <t>Zm00001eb043810</t>
  </si>
  <si>
    <t>Zm00001eb043810_T001</t>
  </si>
  <si>
    <t>Zm00001e004387</t>
  </si>
  <si>
    <t>hypothetical protein LOC100274353</t>
  </si>
  <si>
    <t>Zm00001eb050470</t>
  </si>
  <si>
    <t>Zm00001eb050470_T001</t>
  </si>
  <si>
    <t>Zm00001e005017</t>
  </si>
  <si>
    <t>Zm00001eb053360</t>
  </si>
  <si>
    <t>Zm00001eb055430</t>
  </si>
  <si>
    <t>Zm00001eb055430_T001</t>
  </si>
  <si>
    <t>Zm00001e005497</t>
  </si>
  <si>
    <t>hypothetical protein LOC100272277</t>
  </si>
  <si>
    <t>AT1G73480</t>
  </si>
  <si>
    <t>alpha/beta-Hydrolases superfamily protein</t>
  </si>
  <si>
    <t>Zm00001eb068280</t>
  </si>
  <si>
    <t>Zm00001eb068280_T002</t>
  </si>
  <si>
    <t>Zm00001e006730</t>
  </si>
  <si>
    <t>AT3G16150</t>
  </si>
  <si>
    <t>N-terminal nucleophile aminohydrolases (Ntn hydrolases) superfamily protein</t>
  </si>
  <si>
    <t>Zm00001eb068980</t>
  </si>
  <si>
    <t>Zm00001eb068980_T006</t>
  </si>
  <si>
    <t>Zm00001e006794</t>
  </si>
  <si>
    <t>hypothetical protein LOC100383251 (LOC100383251), mRNA</t>
  </si>
  <si>
    <t>AT5G64550</t>
  </si>
  <si>
    <t>loricrin-related</t>
  </si>
  <si>
    <t>Zm00001eb071800</t>
  </si>
  <si>
    <t>Zm00001eb071800_T003</t>
  </si>
  <si>
    <t>Zm00001e007046</t>
  </si>
  <si>
    <t>hypothetical protein LOC100272974</t>
  </si>
  <si>
    <t>AT4G09010</t>
  </si>
  <si>
    <t>ascorbate peroxidase 4</t>
  </si>
  <si>
    <t>Zm00001eb073810</t>
  </si>
  <si>
    <t>Zm00001eb073810_T003</t>
  </si>
  <si>
    <t>Zm00001e007233</t>
  </si>
  <si>
    <t>hypothetical protein LOC100304327</t>
  </si>
  <si>
    <t>AT1G48410</t>
  </si>
  <si>
    <t>Stabilizer of iron transporter SufD / Polynucleotidyl transferase</t>
  </si>
  <si>
    <t>Zm00001eb075630</t>
  </si>
  <si>
    <t>Zm00001eb075630_T001</t>
  </si>
  <si>
    <t>Zm00001e007421</t>
  </si>
  <si>
    <t>remorin</t>
  </si>
  <si>
    <t>AT5G23750</t>
  </si>
  <si>
    <t>Remorin family protein</t>
  </si>
  <si>
    <t>Zm00001eb077640</t>
  </si>
  <si>
    <t>Zm00001eb077640_T003</t>
  </si>
  <si>
    <t>Zm00001e007607</t>
  </si>
  <si>
    <t>hypothetical protein LOC100274124</t>
  </si>
  <si>
    <t>AT1G08630</t>
  </si>
  <si>
    <t>threonine aldolase 1</t>
  </si>
  <si>
    <t>Zm00001eb079610</t>
  </si>
  <si>
    <t>Zm00001eb079610_T001</t>
  </si>
  <si>
    <t>Zm00001e007806</t>
  </si>
  <si>
    <t>hypothetical protein LOC100383596</t>
  </si>
  <si>
    <t>AT3G27540</t>
  </si>
  <si>
    <t>beta-1,4-N-acetylglucosaminyltransferase family protein</t>
  </si>
  <si>
    <t>Zm00001eb081570</t>
  </si>
  <si>
    <t>Zm00001eb081570_T002</t>
  </si>
  <si>
    <t>Zm00001e007982</t>
  </si>
  <si>
    <t>hypothetical protein LOC100274507</t>
  </si>
  <si>
    <t>AT1G59960</t>
  </si>
  <si>
    <t>NAD(P)-linked oxidoreductase superfamily protein</t>
  </si>
  <si>
    <t>Zm00001eb087960</t>
  </si>
  <si>
    <t>Zm00001eb087960_T001</t>
  </si>
  <si>
    <t>Zm00001e008659</t>
  </si>
  <si>
    <t>hypothetical protein LOC100275466</t>
  </si>
  <si>
    <t>Zm00001eb087980</t>
  </si>
  <si>
    <t>Zm00001eb087980_T001</t>
  </si>
  <si>
    <t>Zm00001e008663</t>
  </si>
  <si>
    <t>hypothetical protein LOC100194135</t>
  </si>
  <si>
    <t>Zm00001eb088020</t>
  </si>
  <si>
    <t>Zm00001eb096940</t>
  </si>
  <si>
    <t>Zm00001eb096940_T001</t>
  </si>
  <si>
    <t>Zm00001e009576</t>
  </si>
  <si>
    <t>hypothetical protein LOC100194073</t>
  </si>
  <si>
    <t>AT3G11340</t>
  </si>
  <si>
    <t>UDP-Glycosyltransferase superfamily protein</t>
  </si>
  <si>
    <t>Zm00001eb104040</t>
  </si>
  <si>
    <t>Zm00001eb104040_T001</t>
  </si>
  <si>
    <t>Zm00001e010282</t>
  </si>
  <si>
    <t>hypothetical protein LOC100382522</t>
  </si>
  <si>
    <t>AT4G38470</t>
  </si>
  <si>
    <t>ACT-like protein tyrosine kinase family protein</t>
  </si>
  <si>
    <t>Zm00001eb107890</t>
  </si>
  <si>
    <t>Zm00001eb107890_T001</t>
  </si>
  <si>
    <t>Zm00001e120909</t>
  </si>
  <si>
    <t>Zm00001eb110240</t>
  </si>
  <si>
    <t>Zm00001eb110240_T001</t>
  </si>
  <si>
    <t>Zm00001e010857</t>
  </si>
  <si>
    <t>ubiquitin-protein ligase CIP8</t>
  </si>
  <si>
    <t>AT1G26800</t>
  </si>
  <si>
    <t>RING/U-box superfamily protein</t>
  </si>
  <si>
    <t>Zm00001eb121240</t>
  </si>
  <si>
    <t>Zm00001eb121240_T002</t>
  </si>
  <si>
    <t>Zm00001e016578</t>
  </si>
  <si>
    <t>hypothetical protein LOC100278356</t>
  </si>
  <si>
    <t>AT5G47390</t>
  </si>
  <si>
    <t>myb-like transcription factor family protein</t>
  </si>
  <si>
    <t>MYB_related</t>
  </si>
  <si>
    <t>Zm00001eb121900</t>
  </si>
  <si>
    <t>Zm00001eb121900_T001</t>
  </si>
  <si>
    <t>Zm00001e016652</t>
  </si>
  <si>
    <t>17.5 kDa class II heat shock protein</t>
  </si>
  <si>
    <t>AT5G12020</t>
  </si>
  <si>
    <t>17.6 kDa class II heat shock protein</t>
  </si>
  <si>
    <t>Zm00001eb126780</t>
  </si>
  <si>
    <t>Zm00001eb126780_T001</t>
  </si>
  <si>
    <t>Zm00001e017154</t>
  </si>
  <si>
    <t>Isoflavone reductase homolog IRL (EC 1.3.1.-)</t>
  </si>
  <si>
    <t>AT1G75280</t>
  </si>
  <si>
    <t>NmrA-like negative transcriptional regulator family protein</t>
  </si>
  <si>
    <t>Zm00001eb132660</t>
  </si>
  <si>
    <t>Zm00001eb132660_T001</t>
  </si>
  <si>
    <t>Zm00001e017761</t>
  </si>
  <si>
    <t>hypothetical protein LOC100193803</t>
  </si>
  <si>
    <t>AT1G73920</t>
  </si>
  <si>
    <t>Zm00001eb135800</t>
  </si>
  <si>
    <t>Zm00001eb135800_T002</t>
  </si>
  <si>
    <t>Zm00001e018083</t>
  </si>
  <si>
    <t>Homocysteine S-methyltransferase 3 (EC 2.1.1.10)(S-methylmethionine:homocysteine methyltransferase 3)(SMM:Hcy S-methyltransferase 3)(ZmHMT-3)</t>
  </si>
  <si>
    <t>AT3G63250</t>
  </si>
  <si>
    <t>homocysteine methyltransferase 2</t>
  </si>
  <si>
    <t>Zm00001eb135910</t>
  </si>
  <si>
    <t>Zm00001eb135910_T001</t>
  </si>
  <si>
    <t>Zm00001e018103</t>
  </si>
  <si>
    <t>AT1G56010</t>
  </si>
  <si>
    <t>NAC domain containing protein 1</t>
  </si>
  <si>
    <t>NAC</t>
  </si>
  <si>
    <t>Zm00001eb141890</t>
  </si>
  <si>
    <t>Zm00001eb141890_T002</t>
  </si>
  <si>
    <t>Zm00001e018705</t>
  </si>
  <si>
    <t>hypothetical protein LOC100217097</t>
  </si>
  <si>
    <t>AT1G08820</t>
  </si>
  <si>
    <t>vamp/synaptobrevin-associated protein 27-2</t>
  </si>
  <si>
    <t>Zm00001eb143460</t>
  </si>
  <si>
    <t>Zm00001eb143460_T002</t>
  </si>
  <si>
    <t>Zm00001e018852</t>
  </si>
  <si>
    <t>hypothetical protein LOC100192654</t>
  </si>
  <si>
    <t>AT4G14040</t>
  </si>
  <si>
    <t>selenium-binding protein 2</t>
  </si>
  <si>
    <t>Zm00001eb145720</t>
  </si>
  <si>
    <t>Zm00001eb145730</t>
  </si>
  <si>
    <t>Zm00001eb145730_T001</t>
  </si>
  <si>
    <t>Zm00001e019063</t>
  </si>
  <si>
    <t>hypothetical protein LOC100274332</t>
  </si>
  <si>
    <t>AT1G21410</t>
  </si>
  <si>
    <t>F-box/RNI-like superfamily protein</t>
  </si>
  <si>
    <t>Zm00001eb145890</t>
  </si>
  <si>
    <t>Zm00001eb145890_T001</t>
  </si>
  <si>
    <t>Zm00001e019077</t>
  </si>
  <si>
    <t>AT1G72180</t>
  </si>
  <si>
    <t>Leucine-rich receptor-like protein kinase family protein</t>
  </si>
  <si>
    <t>Zm00001eb146190</t>
  </si>
  <si>
    <t>Zm00001eb146190_T002</t>
  </si>
  <si>
    <t>Zm00001e019106</t>
  </si>
  <si>
    <t>hypothetical protein LOC100280411</t>
  </si>
  <si>
    <t>AT1G34380</t>
  </si>
  <si>
    <t>5'-3' exonuclease family protein</t>
  </si>
  <si>
    <t>Zm00001eb150500</t>
  </si>
  <si>
    <t>Zm00001eb150500_T001</t>
  </si>
  <si>
    <t>Zm00001e019532</t>
  </si>
  <si>
    <t>hypothetical protein LOC100278794</t>
  </si>
  <si>
    <t>AT3G56650</t>
  </si>
  <si>
    <t>Mog1/PsbP/DUF1795-like photosystem II reaction center PsbP family protein</t>
  </si>
  <si>
    <t>Zm00001eb153710</t>
  </si>
  <si>
    <t>Zm00001eb153710_T001</t>
  </si>
  <si>
    <t>Zm00001e019862</t>
  </si>
  <si>
    <t>glutamate carboxypeptidase 2</t>
  </si>
  <si>
    <t>AT5G19740</t>
  </si>
  <si>
    <t>Peptidase M28 family protein</t>
  </si>
  <si>
    <t>Zm00001eb154790</t>
  </si>
  <si>
    <t>Zm00001eb154790_T001</t>
  </si>
  <si>
    <t>Zm00001e019964</t>
  </si>
  <si>
    <t>hypothetical protein LOC100273094</t>
  </si>
  <si>
    <t>AT1G34060</t>
  </si>
  <si>
    <t>Pyridoxal phosphate (PLP)-dependent transferases superfamily protein</t>
  </si>
  <si>
    <t>Zm00001eb159560</t>
  </si>
  <si>
    <t>Zm00001eb159560_T005</t>
  </si>
  <si>
    <t>Zm00001e020435</t>
  </si>
  <si>
    <t>hypothetical protein LOC100217230 (LOC100217230), mRNA</t>
  </si>
  <si>
    <t>AT1G64140</t>
  </si>
  <si>
    <t>BEST Arabidopsis thaliana protein match is: loricrin-related (TAIR:AT5G64550.1); Has 3596 Blast hits to 2004 proteins in 150 species: Archae - 0; Bacteria - 54; Metazoa - 1597; Fungi - 38; Plants - 513; Viruses - 9; Other Eukaryotes - 1385 (source: NCBI BLink).</t>
  </si>
  <si>
    <t>Zm00001eb161660</t>
  </si>
  <si>
    <t>Zm00001eb161660_T004</t>
  </si>
  <si>
    <t>Zm00001e020655</t>
  </si>
  <si>
    <t>hypothetical protein LOC100193963</t>
  </si>
  <si>
    <t>AT2G01170</t>
  </si>
  <si>
    <t>bidirectional amino acid transporter 1</t>
  </si>
  <si>
    <t>Zm00001eb162210</t>
  </si>
  <si>
    <t>Zm00001eb162210_T001</t>
  </si>
  <si>
    <t>Zm00001e020709</t>
  </si>
  <si>
    <t>LOC542609</t>
  </si>
  <si>
    <t>AT4G32940</t>
  </si>
  <si>
    <t>gamma vacuolar processing enzyme</t>
  </si>
  <si>
    <t>Zm00001eb166390</t>
  </si>
  <si>
    <t>Zm00001eb166390_T001</t>
  </si>
  <si>
    <t>Zm00001e021128</t>
  </si>
  <si>
    <t>hypothetical protein LOC100193315</t>
  </si>
  <si>
    <t>AT3G03900</t>
  </si>
  <si>
    <t>adenosine-5'-phosphosulfate (APS) kinase 3</t>
  </si>
  <si>
    <t>Zm00001eb170920</t>
  </si>
  <si>
    <t>Zm00001eb170920_T001</t>
  </si>
  <si>
    <t>Zm00001e021565</t>
  </si>
  <si>
    <t>hypothetical protein LOC100383826</t>
  </si>
  <si>
    <t>AT5G57660</t>
  </si>
  <si>
    <t>CONSTANS-like 5</t>
  </si>
  <si>
    <t>CO-like</t>
  </si>
  <si>
    <t>Zm00001eb189220</t>
  </si>
  <si>
    <t>Zm00001eb189220_T002</t>
  </si>
  <si>
    <t>Zm00001e023410</t>
  </si>
  <si>
    <t>neutral/alkaline invertase</t>
  </si>
  <si>
    <t>AT4G09510</t>
  </si>
  <si>
    <t>cytosolic invertase 2</t>
  </si>
  <si>
    <t>Zm00001eb195230</t>
  </si>
  <si>
    <t>Zm00001eb197810</t>
  </si>
  <si>
    <t>Zm00001eb197810_T001</t>
  </si>
  <si>
    <t>Zm00001e024199</t>
  </si>
  <si>
    <t>AT3G12920</t>
  </si>
  <si>
    <t>SBP (S-ribonuclease binding protein) family protein</t>
  </si>
  <si>
    <t>Zm00001eb199240</t>
  </si>
  <si>
    <t>Zm00001eb199240_T001</t>
  </si>
  <si>
    <t>Zm00001e024328</t>
  </si>
  <si>
    <t>esterase/lipase/thioesterase</t>
  </si>
  <si>
    <t>AT3G01690</t>
  </si>
  <si>
    <t>Zm00001eb199360</t>
  </si>
  <si>
    <t>Zm00001eb199360_T001</t>
  </si>
  <si>
    <t>Zm00001e024337</t>
  </si>
  <si>
    <t>hypothetical protein LOC100273465</t>
  </si>
  <si>
    <t>AT4G36470</t>
  </si>
  <si>
    <t>S-adenosyl-L-methionine-dependent methyltransferases superfamily protein</t>
  </si>
  <si>
    <t>Zm00001eb217010</t>
  </si>
  <si>
    <t>Zm00001eb217010_T001</t>
  </si>
  <si>
    <t>Zm00001e012247</t>
  </si>
  <si>
    <t>AT5G49910</t>
  </si>
  <si>
    <t>chloroplast heat shock protein 70-2</t>
  </si>
  <si>
    <t>Zm00001eb218400</t>
  </si>
  <si>
    <t>Zm00001eb218400_T002</t>
  </si>
  <si>
    <t>Zm00001e012375</t>
  </si>
  <si>
    <t>high-affinity cationic amino acid transporter 1</t>
  </si>
  <si>
    <t>AT1G58030</t>
  </si>
  <si>
    <t>cationic amino acid transporter 2</t>
  </si>
  <si>
    <t>Zm00001eb219040</t>
  </si>
  <si>
    <t>Zm00001eb219040_T003</t>
  </si>
  <si>
    <t>Zm00001e012438</t>
  </si>
  <si>
    <t>LOC100283169</t>
  </si>
  <si>
    <t>AT3G19000</t>
  </si>
  <si>
    <t>2-oxoglutarate (2OG) and Fe(II)-dependent oxygenase superfamily protein</t>
  </si>
  <si>
    <t>Zm00001eb220550</t>
  </si>
  <si>
    <t>Zm00001eb220550_T001</t>
  </si>
  <si>
    <t>Zm00001e012566</t>
  </si>
  <si>
    <t>Zm00001eb220820</t>
  </si>
  <si>
    <t>Zm00001eb220820_T001</t>
  </si>
  <si>
    <t>Zm00001e012591</t>
  </si>
  <si>
    <t>hypothetical protein LOC100194054</t>
  </si>
  <si>
    <t>AT5G53490</t>
  </si>
  <si>
    <t>Tetratricopeptide repeat (TPR)-like superfamily protein</t>
  </si>
  <si>
    <t>Zm00001eb241500</t>
  </si>
  <si>
    <t>Zm00001eb241500_T002</t>
  </si>
  <si>
    <t>Zm00001e014603</t>
  </si>
  <si>
    <t>LOC100282665</t>
  </si>
  <si>
    <t>AT1G15140</t>
  </si>
  <si>
    <t>FAD/NAD(P)-binding oxidoreductase</t>
  </si>
  <si>
    <t>Zm00001eb243190</t>
  </si>
  <si>
    <t>Zm00001eb243190_T001</t>
  </si>
  <si>
    <t>Zm00001e014766</t>
  </si>
  <si>
    <t>U-box domain containing protein</t>
  </si>
  <si>
    <t>AT3G18710</t>
  </si>
  <si>
    <t>plant U-box 29</t>
  </si>
  <si>
    <t>Zm00001eb247510</t>
  </si>
  <si>
    <t>Zm00001eb247510_T002</t>
  </si>
  <si>
    <t>Zm00001e015141</t>
  </si>
  <si>
    <t>hypothetical protein LOC100217181</t>
  </si>
  <si>
    <t>AT4G14340</t>
  </si>
  <si>
    <t>casein kinase I</t>
  </si>
  <si>
    <t>Zm00001eb247580</t>
  </si>
  <si>
    <t>Zm00001eb247580_T001</t>
  </si>
  <si>
    <t>Zm00001e015147</t>
  </si>
  <si>
    <t>phosphoenolpyruvate carboxylase kinase 3</t>
  </si>
  <si>
    <t>AT3G04530</t>
  </si>
  <si>
    <t>phosphoenolpyruvate carboxylase kinase 2</t>
  </si>
  <si>
    <t>Zm00001eb250600</t>
  </si>
  <si>
    <t>Zm00001eb255240</t>
  </si>
  <si>
    <t>Zm00001eb255240_T001</t>
  </si>
  <si>
    <t>Zm00001e015879</t>
  </si>
  <si>
    <t>annexin2</t>
  </si>
  <si>
    <t>AT5G10230</t>
  </si>
  <si>
    <t>annexin 7</t>
  </si>
  <si>
    <t>Zm00001eb256970</t>
  </si>
  <si>
    <t>Zm00001eb256970_T001</t>
  </si>
  <si>
    <t>Zm00001e016048</t>
  </si>
  <si>
    <t>hypothetical protein LOC100279566</t>
  </si>
  <si>
    <t>AT3G14067</t>
  </si>
  <si>
    <t>Subtilase family protein</t>
  </si>
  <si>
    <t>Zm00001eb278120</t>
  </si>
  <si>
    <t>Zm00001eb278120_T001</t>
  </si>
  <si>
    <t>Zm00001e030719</t>
  </si>
  <si>
    <t>amino acid permease</t>
  </si>
  <si>
    <t>AT2G39130</t>
  </si>
  <si>
    <t>Transmembrane amino acid transporter family protein</t>
  </si>
  <si>
    <t>Zm00001eb287790</t>
  </si>
  <si>
    <t>Zm00001eb287790_T001</t>
  </si>
  <si>
    <t>Zm00001e031645</t>
  </si>
  <si>
    <t>Zm00001eb289430</t>
  </si>
  <si>
    <t>Zm00001eb289430_T001</t>
  </si>
  <si>
    <t>Zm00001e031807</t>
  </si>
  <si>
    <t>AT5G59050</t>
  </si>
  <si>
    <t>unknown protein; Has 35333 Blast hits to 34131 proteins in 2444 species: Archae - 798; Bacteria - 22429; Metazoa - 974; Fungi - 991; Plants - 531; Viruses - 0; Other Eukaryotes - 9610 (source: NCBI BLink).</t>
  </si>
  <si>
    <t>Zm00001eb290370</t>
  </si>
  <si>
    <t>Zm00001eb290370_T001</t>
  </si>
  <si>
    <t>Zm00001e031903</t>
  </si>
  <si>
    <t>AT3G08860</t>
  </si>
  <si>
    <t>PYRIMIDINE 4</t>
  </si>
  <si>
    <t>Zm00001eb292230</t>
  </si>
  <si>
    <t>Zm00001eb292230_T001</t>
  </si>
  <si>
    <t>Zm00001e032076</t>
  </si>
  <si>
    <t>hypothetical protein LOC100274072</t>
  </si>
  <si>
    <t>AT1G04770</t>
  </si>
  <si>
    <t>Zm00001eb293010</t>
  </si>
  <si>
    <t>Zm00001eb293010_T001</t>
  </si>
  <si>
    <t>Zm00001e032151</t>
  </si>
  <si>
    <t>hemoglobin 2</t>
  </si>
  <si>
    <t>AT2G16060</t>
  </si>
  <si>
    <t>hemoglobin 1</t>
  </si>
  <si>
    <t>Zm00001eb296170</t>
  </si>
  <si>
    <t>Zm00001eb296170_T001</t>
  </si>
  <si>
    <t>Zm00001e032457</t>
  </si>
  <si>
    <t>LOC100286266</t>
  </si>
  <si>
    <t>AT4G39250</t>
  </si>
  <si>
    <t>RAD-like 1</t>
  </si>
  <si>
    <t>Zm00001eb304250</t>
  </si>
  <si>
    <t>Zm00001eb304250_T001</t>
  </si>
  <si>
    <t>Zm00001e033204</t>
  </si>
  <si>
    <t>putative cytidine deaminase</t>
  </si>
  <si>
    <t>AT5G28050</t>
  </si>
  <si>
    <t>Cytidine/deoxycytidylate deaminase family protein</t>
  </si>
  <si>
    <t>Zm00001eb305200</t>
  </si>
  <si>
    <t>Zm00001eb305200_T001</t>
  </si>
  <si>
    <t>Zm00001e033299</t>
  </si>
  <si>
    <t>PVR3-like protein</t>
  </si>
  <si>
    <t>Zm00001eb310330</t>
  </si>
  <si>
    <t>Zm00001eb313460</t>
  </si>
  <si>
    <t>Zm00001eb313460_T001</t>
  </si>
  <si>
    <t>Zm00001e034206</t>
  </si>
  <si>
    <t>senescence-associated protein DH</t>
  </si>
  <si>
    <t>AT2G23810</t>
  </si>
  <si>
    <t>tetraspanin8</t>
  </si>
  <si>
    <t>Zm00001eb318610</t>
  </si>
  <si>
    <t>Zm00001eb332050</t>
  </si>
  <si>
    <t>Zm00001eb332050_T001</t>
  </si>
  <si>
    <t>Zm00001e035997</t>
  </si>
  <si>
    <t>knotted1 induced1</t>
  </si>
  <si>
    <t>AT1G14220</t>
  </si>
  <si>
    <t>Ribonuclease T2 family protein</t>
  </si>
  <si>
    <t>Zm00001eb333100</t>
  </si>
  <si>
    <t>Zm00001eb333100_T001</t>
  </si>
  <si>
    <t>Zm00001e025525</t>
  </si>
  <si>
    <t>hypothetical protein LOC100217114</t>
  </si>
  <si>
    <t>AT3G43810</t>
  </si>
  <si>
    <t>calmodulin 7</t>
  </si>
  <si>
    <t>Zm00001eb335070</t>
  </si>
  <si>
    <t>Zm00001eb335070_T001</t>
  </si>
  <si>
    <t>Zm00001e025725</t>
  </si>
  <si>
    <t>putative bifunctional nuclease</t>
  </si>
  <si>
    <t>AT4G21585</t>
  </si>
  <si>
    <t>endonuclease 4</t>
  </si>
  <si>
    <t>Zm00001eb344000</t>
  </si>
  <si>
    <t>Zm00001eb344000_T001</t>
  </si>
  <si>
    <t>Zm00001e026558</t>
  </si>
  <si>
    <t>SANT/MYB protein</t>
  </si>
  <si>
    <t>Zm00001eb344910</t>
  </si>
  <si>
    <t>Zm00001eb344910_T002</t>
  </si>
  <si>
    <t>Zm00001e026637</t>
  </si>
  <si>
    <t>hypothetical protein LOC100279944 (LOC100279944), mRNA</t>
  </si>
  <si>
    <t>Zm00001eb366310</t>
  </si>
  <si>
    <t>Zm00001eb366310_T003</t>
  </si>
  <si>
    <t>Zm00001e028629</t>
  </si>
  <si>
    <t>hypothetical protein LOC100383984</t>
  </si>
  <si>
    <t>AT1G10010</t>
  </si>
  <si>
    <t>amino acid permease 8</t>
  </si>
  <si>
    <t>Zm00001eb367740</t>
  </si>
  <si>
    <t>Zm00001eb367740_T001</t>
  </si>
  <si>
    <t>Zm00001e028751</t>
  </si>
  <si>
    <t>LOC100280719</t>
  </si>
  <si>
    <t>AT3G55610</t>
  </si>
  <si>
    <t>delta 1-pyrroline-5-carboxylate synthase 2</t>
  </si>
  <si>
    <t>Zm00001eb378700</t>
  </si>
  <si>
    <t>Zm00001eb378700_T001</t>
  </si>
  <si>
    <t>Zm00001e036646</t>
  </si>
  <si>
    <t>hypothetical protein LOC100272915</t>
  </si>
  <si>
    <t>AT3G63530</t>
  </si>
  <si>
    <t>Zm00001eb382240</t>
  </si>
  <si>
    <t>Zm00001eb382240_T001</t>
  </si>
  <si>
    <t>Zm00001e036982</t>
  </si>
  <si>
    <t>AT5G14780</t>
  </si>
  <si>
    <t>formate dehydrogenase</t>
  </si>
  <si>
    <t>Zm00001eb386000</t>
  </si>
  <si>
    <t>Zm00001eb386000_T001</t>
  </si>
  <si>
    <t>Zm00001e037369</t>
  </si>
  <si>
    <t>hypothetical protein LOC100274286</t>
  </si>
  <si>
    <t>AT4G15550</t>
  </si>
  <si>
    <t>indole-3-acetate beta-D-glucosyltransferase</t>
  </si>
  <si>
    <t>Zm00001eb389440</t>
  </si>
  <si>
    <t>Zm00001eb389440_T004</t>
  </si>
  <si>
    <t>Zm00001e037701</t>
  </si>
  <si>
    <t>Chloride channel protein</t>
  </si>
  <si>
    <t>AT3G27170</t>
  </si>
  <si>
    <t>chloride channel B</t>
  </si>
  <si>
    <t>Zm00001eb389630</t>
  </si>
  <si>
    <t>Zm00001eb399940</t>
  </si>
  <si>
    <t>Zm00001eb399940_T001</t>
  </si>
  <si>
    <t>Zm00001e038698</t>
  </si>
  <si>
    <t>Homocysteine S-methyltransferase 1 (EC 2.1.1.10)(S-methylmethionine:homocysteine methyltransferase 1)(SMM:Hcy S-methyltransferase 1)(ZmHMT-1)</t>
  </si>
  <si>
    <t>AT3G25900</t>
  </si>
  <si>
    <t>Homocysteine S-methyltransferase family protein</t>
  </si>
  <si>
    <t>Zm00001eb408630</t>
  </si>
  <si>
    <t>Zm00001eb408630_T002</t>
  </si>
  <si>
    <t>Zm00001e039536</t>
  </si>
  <si>
    <t>cystinosin (LOC100283468), mRNA</t>
  </si>
  <si>
    <t>AT5G40670</t>
  </si>
  <si>
    <t>PQ-loop repeat family protein / transmembrane family protein</t>
  </si>
  <si>
    <t>Zm00001eb412510</t>
  </si>
  <si>
    <t>Zm00001eb412510_T005</t>
  </si>
  <si>
    <t>Zm00001e039891</t>
  </si>
  <si>
    <t>hypothetical protein LOC100192658</t>
  </si>
  <si>
    <t>AT1G77920</t>
  </si>
  <si>
    <t>bZIP transcription factor family protein</t>
  </si>
  <si>
    <t>bZIP</t>
  </si>
  <si>
    <t>Zm00001eb417750</t>
  </si>
  <si>
    <t>Zm00001eb417750_T001</t>
  </si>
  <si>
    <t>Zm00001e156944</t>
  </si>
  <si>
    <t>Zm00001eb417760</t>
  </si>
  <si>
    <t>Zm00001eb417760_T001</t>
  </si>
  <si>
    <t>Zm00001e040393</t>
  </si>
  <si>
    <t>hypothetical protein LOC100276833</t>
  </si>
  <si>
    <t>Zm00001eb422010</t>
  </si>
  <si>
    <t>Zm00001eb422010_T002</t>
  </si>
  <si>
    <t>Zm00001e040841</t>
  </si>
  <si>
    <t>pathogenicity protein PATH531-like protein</t>
  </si>
  <si>
    <t>AT5G42560</t>
  </si>
  <si>
    <t>Abscisic acid-responsive (TB2/DP1, HVA22) family protein</t>
  </si>
  <si>
    <t>Zm00001eb433900</t>
  </si>
  <si>
    <t>Zm00001eb433900_T001</t>
  </si>
  <si>
    <t>Zm00001e041950</t>
  </si>
  <si>
    <t>LOC100283985</t>
  </si>
  <si>
    <t>AT4G04955</t>
  </si>
  <si>
    <t>allantoinase</t>
  </si>
  <si>
    <t>Zm00001eb436750</t>
  </si>
  <si>
    <t>Zm00001eb436750_T001</t>
  </si>
  <si>
    <t>Zm00001e160168</t>
  </si>
  <si>
    <t>Zm00001eb438360</t>
  </si>
  <si>
    <t>Zm00001eb438360_T001</t>
  </si>
  <si>
    <t>Zm00001e042237</t>
  </si>
  <si>
    <t>ATP synthase subunit beta, chloroplastic (EC 3.6.3.14)(F-ATPase subunit beta)(ATP synthase F1 sector subunit beta)</t>
  </si>
  <si>
    <t>ATCG00490</t>
  </si>
  <si>
    <t>ribulose-bisphosphate carboxylases</t>
  </si>
  <si>
    <t>2022_v10_control_5_rep1_FPKM</t>
  </si>
  <si>
    <t>2022_v10_control_5_rep1</t>
  </si>
  <si>
    <t>2022_v10_control_5_rep2_FPKM</t>
  </si>
  <si>
    <t>2022_v10_control_5_rep2</t>
  </si>
  <si>
    <t>2022_v10_control_5_rep3_FPKM</t>
  </si>
  <si>
    <t>2022_v10_control_5_rep3</t>
  </si>
  <si>
    <t>2022_v10_control_5_rep4_FPKM</t>
  </si>
  <si>
    <t>2022_v10_control_5_rep4</t>
  </si>
  <si>
    <t>2022_v10_urea_8_rep1_FPKM</t>
  </si>
  <si>
    <t>2022_v10_urea_8_rep1</t>
  </si>
  <si>
    <t>2022_v10_urea_8_rep2_FPKM</t>
  </si>
  <si>
    <t>2022_v10_urea_8_rep2</t>
  </si>
  <si>
    <t>2022_v10_urea_8_rep3_FPKM</t>
  </si>
  <si>
    <t>2022_v10_urea_8_rep3</t>
  </si>
  <si>
    <t>2022_v10_urea_8_rep4_FPKM</t>
  </si>
  <si>
    <t>2022_v10_urea_8_rep4</t>
  </si>
  <si>
    <t>Zm00001eb028030</t>
  </si>
  <si>
    <t>Zm00001eb028030_T002</t>
  </si>
  <si>
    <t>Zm00001e002825</t>
  </si>
  <si>
    <t>AT1G72330</t>
  </si>
  <si>
    <t>alanine aminotransferase 2</t>
  </si>
  <si>
    <t>Zm00001eb191420</t>
  </si>
  <si>
    <t>Zm00001eb191420_T001</t>
  </si>
  <si>
    <t>Zm00001e023605</t>
  </si>
  <si>
    <t>hypothetical protein LOC100304404</t>
  </si>
  <si>
    <t>AT3G24190</t>
  </si>
  <si>
    <t>Protein kinase superfamily protein</t>
  </si>
  <si>
    <t>Zm00001eb159910</t>
  </si>
  <si>
    <t>Zm00001eb159910_T001</t>
  </si>
  <si>
    <t>Zm00001e020475</t>
  </si>
  <si>
    <t>Zm00001eb237960</t>
  </si>
  <si>
    <t>Zm00001eb237960_T005</t>
  </si>
  <si>
    <t>Zm00001e014256</t>
  </si>
  <si>
    <t>AT2G46240</t>
  </si>
  <si>
    <t>BCL-2-associated athanogene 6</t>
  </si>
  <si>
    <t>Zm00001eb224180</t>
  </si>
  <si>
    <t>Zm00001eb224180_T001</t>
  </si>
  <si>
    <t>Zm00001e129278</t>
  </si>
  <si>
    <t>Zm00001eb234390</t>
  </si>
  <si>
    <t>Zm00001eb234390_T001</t>
  </si>
  <si>
    <t>Zm00001e013873</t>
  </si>
  <si>
    <t>vacuolar proton pump homolog1</t>
  </si>
  <si>
    <t>AT1G15690</t>
  </si>
  <si>
    <t>Inorganic H pyrophosphatase family protein</t>
  </si>
  <si>
    <t>Zm00001eb063710</t>
  </si>
  <si>
    <t>Zm00001eb063710_T001</t>
  </si>
  <si>
    <t>Zm00001e006281</t>
  </si>
  <si>
    <t>Ferredoxin-3, chloroplastic Precursor (Ferredoxin III)(Fd III)</t>
  </si>
  <si>
    <t>AT2G27510</t>
  </si>
  <si>
    <t>ferredoxin 3</t>
  </si>
  <si>
    <t>Zm00001eb356000</t>
  </si>
  <si>
    <t>Zm00001eb356000_T001</t>
  </si>
  <si>
    <t>Zm00001e027656</t>
  </si>
  <si>
    <t>Cytochrome b5Putative uncharacterized protein ;</t>
  </si>
  <si>
    <t>AT2G32720</t>
  </si>
  <si>
    <t>cytochrome B5 isoform B</t>
  </si>
  <si>
    <t>Zm00001eb354140</t>
  </si>
  <si>
    <t>Zm00001eb354140_T003</t>
  </si>
  <si>
    <t>Zm00001e027499</t>
  </si>
  <si>
    <t>LOC100283461</t>
  </si>
  <si>
    <t>AT3G05500</t>
  </si>
  <si>
    <t>Rubber elongation factor protein (REF)</t>
  </si>
  <si>
    <t>Zm00001eb306380</t>
  </si>
  <si>
    <t>Zm00001eb306380_T001</t>
  </si>
  <si>
    <t>Zm00001e033411</t>
  </si>
  <si>
    <t>Aquaporin PIP2-1 (Plasma membrane intrinsic protein 2-1)(ZmPIP2-1)(ZmPIP2;1)</t>
  </si>
  <si>
    <t>AT2G37170</t>
  </si>
  <si>
    <t>plasma membrane intrinsic protein 2</t>
  </si>
  <si>
    <t>Zm00001eb417550</t>
  </si>
  <si>
    <t>Zm00001eb417550_T001</t>
  </si>
  <si>
    <t>Zm00001e156910</t>
  </si>
  <si>
    <t>Zm00001eb417370</t>
  </si>
  <si>
    <t>Zm00001eb417370_T001</t>
  </si>
  <si>
    <t>Zm00001e040353</t>
  </si>
  <si>
    <t>hypothetical protein LOC100279822</t>
  </si>
  <si>
    <t>AT1G02500</t>
  </si>
  <si>
    <t>S-adenosylmethionine synthetase 1</t>
  </si>
  <si>
    <t>Zm00001eb103370</t>
  </si>
  <si>
    <t>Zm00001eb103370_T001</t>
  </si>
  <si>
    <t>Zm00001e010221</t>
  </si>
  <si>
    <t>hypothetical protein LOC100193329</t>
  </si>
  <si>
    <t>AT4G38960</t>
  </si>
  <si>
    <t>B-box type zinc finger family protein</t>
  </si>
  <si>
    <t>DBB</t>
  </si>
  <si>
    <t>Zm00001eb354640</t>
  </si>
  <si>
    <t>Zm00001eb354640_T001</t>
  </si>
  <si>
    <t>Zm00001e027541</t>
  </si>
  <si>
    <t>hypothetical protein LOC100191838</t>
  </si>
  <si>
    <t>AT3G17390</t>
  </si>
  <si>
    <t>S-adenosylmethionine synthetase family protein</t>
  </si>
  <si>
    <t>Zm00001eb074350</t>
  </si>
  <si>
    <t>Zm00001eb074350_T001</t>
  </si>
  <si>
    <t>Zm00001e007285</t>
  </si>
  <si>
    <t>hypothetical protein LOC100273297</t>
  </si>
  <si>
    <t>AT4G11600</t>
  </si>
  <si>
    <t>glutathione peroxidase 6</t>
  </si>
  <si>
    <t>Zm00001eb190340</t>
  </si>
  <si>
    <t>Zm00001eb190340_T004</t>
  </si>
  <si>
    <t>Zm00001e023496</t>
  </si>
  <si>
    <t>Glutamine synthetase root isozyme 4 (EC 6.3.1.2)(GS107)(Glutamate--ammonia ligase)</t>
  </si>
  <si>
    <t>AT5G37600</t>
  </si>
  <si>
    <t>glutamine synthase clone R1</t>
  </si>
  <si>
    <t>Zm00001eb389590</t>
  </si>
  <si>
    <t>Zm00001eb389590_T001</t>
  </si>
  <si>
    <t>Zm00001e153170</t>
  </si>
  <si>
    <t>Zm00001eb355820</t>
  </si>
  <si>
    <t>Zm00001eb355820_T001</t>
  </si>
  <si>
    <t>Zm00001e027643</t>
  </si>
  <si>
    <t>AT5G59400</t>
  </si>
  <si>
    <t>FUNCTIONS IN: molecular_function unknown; INVOLVED IN: biological_process unknown; LOCATED IN: chloroplast; EXPRESSED IN: 23 plant structures; EXPRESSED DURING: 13 growth stages; BEST Arabidopsis thaliana protein match is: PGR5-like B (TAIR:AT4G11960.1); Has 30201 Blast hits to 17322 proteins in 780 species: Archae - 12; Bacteria - 1396; Metazoa - 17338; Fungi - 3422; Plants - 5037; Viruses - 0; Other Eukaryotes - 2996 (source: NCBI BLink).</t>
  </si>
  <si>
    <t>Zm00001eb259280</t>
  </si>
  <si>
    <t>Zm00001eb259280_T001</t>
  </si>
  <si>
    <t>Zm00001e134196</t>
  </si>
  <si>
    <t>Zm00001eb363330</t>
  </si>
  <si>
    <t>Zm00001eb363330_T001</t>
  </si>
  <si>
    <t>Zm00001e028355</t>
  </si>
  <si>
    <t>AT4G19220</t>
  </si>
  <si>
    <t>Zm00001eb318150</t>
  </si>
  <si>
    <t>Zm00001eb318150_T001</t>
  </si>
  <si>
    <t>Zm00001e034671</t>
  </si>
  <si>
    <t>AT1G02850</t>
  </si>
  <si>
    <t>beta glucosidase 11</t>
  </si>
  <si>
    <t>Zm00001eb410170</t>
  </si>
  <si>
    <t>Zm00001eb410170_T001</t>
  </si>
  <si>
    <t>Zm00001e039685</t>
  </si>
  <si>
    <t>fiber protein Fb19</t>
  </si>
  <si>
    <t>AT2G47710</t>
  </si>
  <si>
    <t>Adenine nucleotide alpha hydrolases-like superfamily protein</t>
  </si>
  <si>
    <t>Zm00001eb362380</t>
  </si>
  <si>
    <t>Zm00001eb362380_T001</t>
  </si>
  <si>
    <t>Zm00001e028272</t>
  </si>
  <si>
    <t>hypothetical protein LOC100275228</t>
  </si>
  <si>
    <t>AT5G04830</t>
  </si>
  <si>
    <t>Nuclear transport factor 2 (NTF2) family protein</t>
  </si>
  <si>
    <t>Zm00001eb324100</t>
  </si>
  <si>
    <t>Zm00001eb324100_T001</t>
  </si>
  <si>
    <t>Zm00001e035236</t>
  </si>
  <si>
    <t>hypothetical protein LOC100193314</t>
  </si>
  <si>
    <t>AT2G20890</t>
  </si>
  <si>
    <t>photosystem II reaction center PSB29 protein</t>
  </si>
  <si>
    <t>Zm00001eb042710</t>
  </si>
  <si>
    <t>Zm00001eb042710_T003</t>
  </si>
  <si>
    <t>Zm00001e004261</t>
  </si>
  <si>
    <t>phototropin-1</t>
  </si>
  <si>
    <t>AT5G58140</t>
  </si>
  <si>
    <t>phototropin 2</t>
  </si>
  <si>
    <t>Zm00001eb316240</t>
  </si>
  <si>
    <t>Zm00001eb316240_T001</t>
  </si>
  <si>
    <t>Zm00001e137751</t>
  </si>
  <si>
    <t>Zm00001eb124300</t>
  </si>
  <si>
    <t>Zm00001eb124300_T001</t>
  </si>
  <si>
    <t>Zm00001e016906</t>
  </si>
  <si>
    <t>inner membrane protein ALBINO3</t>
  </si>
  <si>
    <t>AT2G28800</t>
  </si>
  <si>
    <t>63 kDa inner membrane family protein</t>
  </si>
  <si>
    <t>Zm00001eb379250</t>
  </si>
  <si>
    <t>Zm00001eb379250_T002</t>
  </si>
  <si>
    <t>Zm00001e036697</t>
  </si>
  <si>
    <t>hypothetical protein LOC100273575</t>
  </si>
  <si>
    <t>AT5G63060</t>
  </si>
  <si>
    <t>Sec14p-like phosphatidylinositol transfer family protein</t>
  </si>
  <si>
    <t>Zm00001eb253820</t>
  </si>
  <si>
    <t>Zm00001eb253820_T001</t>
  </si>
  <si>
    <t>Zm00001e015749</t>
  </si>
  <si>
    <t>Glutamine synthetase root isozyme 3 (EC 6.3.1.2)(GS112)(Glutamate--ammonia ligase)</t>
  </si>
  <si>
    <t>AT1G66200</t>
  </si>
  <si>
    <t>glutamine synthase clone F11</t>
  </si>
  <si>
    <t>Zm00001eb172420</t>
  </si>
  <si>
    <t>Zm00001eb172420_T001</t>
  </si>
  <si>
    <t>Zm00001e021722</t>
  </si>
  <si>
    <t>Caffeic acid 3-O-methyltransferase (EC 2.1.1.68)(S-adenosysl-L-methionine:caffeic acid 3-O-methyltransferase)(CAOMT)(COMT)</t>
  </si>
  <si>
    <t>AT5G54160</t>
  </si>
  <si>
    <t>O-methyltransferase 1</t>
  </si>
  <si>
    <t>Zm00001eb259130</t>
  </si>
  <si>
    <t>Zm00001eb259130_T002</t>
  </si>
  <si>
    <t>Zm00001e016250</t>
  </si>
  <si>
    <t>LOC100283013</t>
  </si>
  <si>
    <t>AT2G39840</t>
  </si>
  <si>
    <t>type one serine/threonine protein phosphatase 4</t>
  </si>
  <si>
    <t>Zm00001eb369750</t>
  </si>
  <si>
    <t>Zm00001eb369750_T001</t>
  </si>
  <si>
    <t>Zm00001e028939</t>
  </si>
  <si>
    <t>LOC100285365</t>
  </si>
  <si>
    <t>AT5G54500</t>
  </si>
  <si>
    <t>flavodoxin-like quinone reductase 1</t>
  </si>
  <si>
    <t>Zm00001eb148400</t>
  </si>
  <si>
    <t>Zm00001eb148400_T001</t>
  </si>
  <si>
    <t>Zm00001e019331</t>
  </si>
  <si>
    <t>SLT1 protein</t>
  </si>
  <si>
    <t>AT2G37570</t>
  </si>
  <si>
    <t>HSP20-like chaperones superfamily protein</t>
  </si>
  <si>
    <t>Zm00001eb147290</t>
  </si>
  <si>
    <t>Zm00001eb147290_T001</t>
  </si>
  <si>
    <t>Zm00001e019212</t>
  </si>
  <si>
    <t>sialyltransferase-like protein</t>
  </si>
  <si>
    <t>AT1G08280</t>
  </si>
  <si>
    <t>Glycosyltransferase family 29 (sialyltransferase) family protein</t>
  </si>
  <si>
    <t>Zm00001eb085510</t>
  </si>
  <si>
    <t>Zm00001eb085510_T004</t>
  </si>
  <si>
    <t>Zm00001e008379</t>
  </si>
  <si>
    <t>hypothetical protein LOC100191815</t>
  </si>
  <si>
    <t>AT1G27385</t>
  </si>
  <si>
    <t>unknown protein; FUNCTIONS IN: molecular_function unknown; INVOLVED IN: biological_process unknown; LOCATED IN: chloroplast; EXPRESSED IN: 24 plant structures; EXPRESSED DURING: 13 growth stages; CONTAINS InterPro DOMAIN/s: Protein of unknown function DUF493 (InterPro:IPR007454); Has 77 Blast hits to 77 proteins in 22 species: Archae - 0; Bacteria - 4; Metazoa - 0; Fungi - 0; Plants - 72; Viruses - 0; Other Eukaryotes - 1 (source: NCBI BLink).</t>
  </si>
  <si>
    <t>Zm00001eb258670</t>
  </si>
  <si>
    <t>Zm00001eb258670_T001</t>
  </si>
  <si>
    <t>Zm00001e016203</t>
  </si>
  <si>
    <t>LOC100283457</t>
  </si>
  <si>
    <t>AT3G07090</t>
  </si>
  <si>
    <t>PPPDE putative thiol peptidase family protein</t>
  </si>
  <si>
    <t>Zm00001eb119780</t>
  </si>
  <si>
    <t>Zm00001eb119780_T005</t>
  </si>
  <si>
    <t>Zm00001e016445</t>
  </si>
  <si>
    <t>hypothetical protein LOC100193003</t>
  </si>
  <si>
    <t>AT3G61700</t>
  </si>
  <si>
    <t>Plant protein 1589 of unknown function</t>
  </si>
  <si>
    <t>Zm00001eb184420</t>
  </si>
  <si>
    <t>Zm00001eb184420_T003</t>
  </si>
  <si>
    <t>Zm00001e022945</t>
  </si>
  <si>
    <t>hypothetical protein LOC100193062</t>
  </si>
  <si>
    <t>AT4G28025</t>
  </si>
  <si>
    <t>unknown protein; FUNCTIONS IN: molecular_function unknown; INVOLVED IN: biological_process unknown; LOCATED IN: chloroplast thylakoid membrane; EXPRESSED IN: 23 plant structures; EXPRESSED DURING: 13 growth stages; Has 30201 Blast hits to 17322 proteins in 780 species: Archae - 12; Bacteria - 1396; Metazoa - 17338; Fungi - 3422; Plants - 5037; Viruses - 0; Other Eukaryotes - 2996 (source: NCBI BLink).</t>
  </si>
  <si>
    <t>Zm00001eb084590</t>
  </si>
  <si>
    <t>Zm00001eb084590_T001</t>
  </si>
  <si>
    <t>Zm00001e008284</t>
  </si>
  <si>
    <t>calnexin</t>
  </si>
  <si>
    <t>AT5G61790</t>
  </si>
  <si>
    <t>calnexin 1</t>
  </si>
  <si>
    <t>Zm00001eb418060</t>
  </si>
  <si>
    <t>Zm00001eb418060_T001</t>
  </si>
  <si>
    <t>Zm00001e040423</t>
  </si>
  <si>
    <t>Glutathione S-transferase 4 (EC 2.5.1.18)(GST-IV)(GST-27)(GST class-phi member 4)</t>
  </si>
  <si>
    <t>AT3G62760</t>
  </si>
  <si>
    <t>Zm00001eb058110</t>
  </si>
  <si>
    <t>Zm00001eb058110_T001</t>
  </si>
  <si>
    <t>Zm00001e005755</t>
  </si>
  <si>
    <t>AT4G37320</t>
  </si>
  <si>
    <t>cytochrome P450, family 81, subfamily D, polypeptide 5</t>
  </si>
  <si>
    <t>Zm00001eb272290</t>
  </si>
  <si>
    <t>Zm00001eb272290_T005</t>
  </si>
  <si>
    <t>Zm00001e030170</t>
  </si>
  <si>
    <t>endoplasmin</t>
  </si>
  <si>
    <t>AT4G24190</t>
  </si>
  <si>
    <t>Chaperone protein htpG family protein</t>
  </si>
  <si>
    <t>Zm00001eb394280</t>
  </si>
  <si>
    <t>Zm00001eb394280_T001</t>
  </si>
  <si>
    <t>Zm00001e038158</t>
  </si>
  <si>
    <t>AT5G40010</t>
  </si>
  <si>
    <t>AAA-ATPase 1</t>
  </si>
  <si>
    <t>Zm00001eb254940</t>
  </si>
  <si>
    <t>Zm00001eb254940_T001</t>
  </si>
  <si>
    <t>Zm00001e015852</t>
  </si>
  <si>
    <t>shikimate kinase</t>
  </si>
  <si>
    <t>AT2G21940</t>
  </si>
  <si>
    <t>shikimate kinase 1</t>
  </si>
  <si>
    <t>Zm00001eb019470</t>
  </si>
  <si>
    <t>Zm00001eb019470_T001</t>
  </si>
  <si>
    <t>Zm00001e001934</t>
  </si>
  <si>
    <t>hypothetical protein LOC100276585 (LOC100276585), mRNA</t>
  </si>
  <si>
    <t>AT1G19180</t>
  </si>
  <si>
    <t>JA</t>
  </si>
  <si>
    <t>JAZ1</t>
  </si>
  <si>
    <t>targets of COI1 degredation - JAZ sequesters other TFs needed for JA responses</t>
  </si>
  <si>
    <t>Signaling neg</t>
  </si>
  <si>
    <t>Wasternack S and Hause B 2013</t>
  </si>
  <si>
    <t xml:space="preserve">jasmonate-zim-domain protein 1: maizeGDB:regulation of jasmonic acid mediated signaling pathway </t>
  </si>
  <si>
    <t>Zm00001eb000770</t>
  </si>
  <si>
    <t>Zm00001eb000770_T001</t>
  </si>
  <si>
    <t>Zm00001e000081</t>
  </si>
  <si>
    <t>hypothetical protein LOC100276353</t>
  </si>
  <si>
    <t>AT1G65720</t>
  </si>
  <si>
    <t>unknown protein; FUNCTIONS IN: molecular_function unknown; INVOLVED IN: biological_process unknown; LOCATED IN: endomembrane system; EXPRESSED IN: 24 plant structures; EXPRESSED DURING: 15 growth stages; Has 44 Blast hits to 44 proteins in 14 species: Archae - 0; Bacteria - 0; Metazoa - 0; Fungi - 0; Plants - 44; Viruses - 0; Other Eukaryotes - 0 (source: NCBI BLink).</t>
  </si>
  <si>
    <t>Zm00001eb233830</t>
  </si>
  <si>
    <t>Zm00001eb233830_T001</t>
  </si>
  <si>
    <t>Zm00001e130605</t>
  </si>
  <si>
    <t>Zm00001eb394150</t>
  </si>
  <si>
    <t>Zm00001eb394150_T003</t>
  </si>
  <si>
    <t>Zm00001e038141</t>
  </si>
  <si>
    <t>hypothetical protein LOC100381744</t>
  </si>
  <si>
    <t>AT2G46950</t>
  </si>
  <si>
    <t>cytochrome P450, family 709, subfamily B, polypeptide 2</t>
  </si>
  <si>
    <t>Zm00001eb331200</t>
  </si>
  <si>
    <t>Zm00001eb331200_T002</t>
  </si>
  <si>
    <t>Zm00001e035910</t>
  </si>
  <si>
    <t>Zm00001eb413170</t>
  </si>
  <si>
    <t>Zm00001eb413170_T001</t>
  </si>
  <si>
    <t>Zm00001e039951</t>
  </si>
  <si>
    <t>AT4G27030</t>
  </si>
  <si>
    <t>fatty acid desaturase A</t>
  </si>
  <si>
    <t>Zm00001eb165310</t>
  </si>
  <si>
    <t>Zm00001eb165310_T001</t>
  </si>
  <si>
    <t>Zm00001e021032</t>
  </si>
  <si>
    <t>hypothetical protein LOC100279975</t>
  </si>
  <si>
    <t>AT4G35920</t>
  </si>
  <si>
    <t>PLAC8 family protein</t>
  </si>
  <si>
    <t>Zm00001eb170020</t>
  </si>
  <si>
    <t>Zm00001eb170020_T001</t>
  </si>
  <si>
    <t>Zm00001e021483</t>
  </si>
  <si>
    <t>hypothetical protein LOC100192461</t>
  </si>
  <si>
    <t>AT4G13930</t>
  </si>
  <si>
    <t>serine hydroxymethyltransferase 4</t>
  </si>
  <si>
    <t>Zm00001eb217560</t>
  </si>
  <si>
    <t>Zm00001eb217560_T001</t>
  </si>
  <si>
    <t>Zm00001e012299</t>
  </si>
  <si>
    <t>Glycine-rich RNA-binding, abscisic acid-inducible protein</t>
  </si>
  <si>
    <t>AT2G21660</t>
  </si>
  <si>
    <t>cold, circadian rhythm, and rna binding 2</t>
  </si>
  <si>
    <t>Zm00001eb264660</t>
  </si>
  <si>
    <t>Zm00001eb264660_T002</t>
  </si>
  <si>
    <t>Zm00001e029433</t>
  </si>
  <si>
    <t>AT5G24530</t>
  </si>
  <si>
    <t>Zm00001eb274950</t>
  </si>
  <si>
    <t>Zm00001eb274950_T001</t>
  </si>
  <si>
    <t>Zm00001e148036</t>
  </si>
  <si>
    <t>Zm00001eb142220</t>
  </si>
  <si>
    <t>Zm00001eb142220_T001</t>
  </si>
  <si>
    <t>Zm00001e018731</t>
  </si>
  <si>
    <t>Glutathione S-transferase 3 (EC 2.5.1.18)(GST-III)(GST class-phi member 3)</t>
  </si>
  <si>
    <t>Zm00001eb059930</t>
  </si>
  <si>
    <t>Zm00001eb059930_T001</t>
  </si>
  <si>
    <t>Zm00001e005912</t>
  </si>
  <si>
    <t>glutathione transferase5</t>
  </si>
  <si>
    <t>AT1G78380</t>
  </si>
  <si>
    <t>glutathione S-transferase TAU 19</t>
  </si>
  <si>
    <t>Zm00001eb356520</t>
  </si>
  <si>
    <t>Zm00001eb356520_T001</t>
  </si>
  <si>
    <t>Zm00001e027710</t>
  </si>
  <si>
    <t>AT5G42050</t>
  </si>
  <si>
    <t>DCD (Development and Cell Death) domain protein</t>
  </si>
  <si>
    <t>Zm00001eb421060</t>
  </si>
  <si>
    <t>Zm00001eb421060_T001</t>
  </si>
  <si>
    <t>Zm00001e040745</t>
  </si>
  <si>
    <t>hypothetical protein LOC100192614</t>
  </si>
  <si>
    <t>Zm00001eb004420</t>
  </si>
  <si>
    <t>Zm00001eb004420_T005</t>
  </si>
  <si>
    <t>Zm00001e000444</t>
  </si>
  <si>
    <t>hypothetical protein LOC100383598</t>
  </si>
  <si>
    <t>AT3G13460</t>
  </si>
  <si>
    <t>evolutionarily conserved C-terminal region 2</t>
  </si>
  <si>
    <t>Zm00001eb061180</t>
  </si>
  <si>
    <t>Zm00001eb061180_T001</t>
  </si>
  <si>
    <t>Zm00001e006030</t>
  </si>
  <si>
    <t>thioredoxin H-type 5</t>
  </si>
  <si>
    <t>AT5G39950</t>
  </si>
  <si>
    <t>thioredoxin 2</t>
  </si>
  <si>
    <t>Zm00001eb249940</t>
  </si>
  <si>
    <t>Zm00001eb249940_T002</t>
  </si>
  <si>
    <t>Zm00001e015367</t>
  </si>
  <si>
    <t>Aquaporin PIP1-2 (Plasma membrane intrinsic protein 1-2)(ZmPIP1-2)(ZmPIP1;2)(ZmPIP1b)</t>
  </si>
  <si>
    <t>AT4G00430</t>
  </si>
  <si>
    <t>plasma membrane intrinsic protein 1;4</t>
  </si>
  <si>
    <t>Zm00001eb162740</t>
  </si>
  <si>
    <t>Zm00001eb162740_T001</t>
  </si>
  <si>
    <t>Zm00001e127996</t>
  </si>
  <si>
    <t>Zm00001eb016940</t>
  </si>
  <si>
    <t>Zm00001eb016940_T001</t>
  </si>
  <si>
    <t>Zm00001e001673</t>
  </si>
  <si>
    <t>Superoxide dismutase [Cu-Zn] 4A (EC 1.15.1.1)</t>
  </si>
  <si>
    <t>AT1G08830</t>
  </si>
  <si>
    <t>copper/zinc superoxide dismutase 1</t>
  </si>
  <si>
    <t>Zm00001eb020860</t>
  </si>
  <si>
    <t>Zm00001eb020860_T001</t>
  </si>
  <si>
    <t>Zm00001e002087</t>
  </si>
  <si>
    <t>AT5G10490</t>
  </si>
  <si>
    <t>MSCS-like 2</t>
  </si>
  <si>
    <t>Zm00001eb222570</t>
  </si>
  <si>
    <t>Zm00001eb222570_T001</t>
  </si>
  <si>
    <t>Zm00001e012761</t>
  </si>
  <si>
    <t>hypothetical protein LOC100382799</t>
  </si>
  <si>
    <t>AT5G03340</t>
  </si>
  <si>
    <t>ATPase, AAA-type, CDC48 protein</t>
  </si>
  <si>
    <t>Zm00001eb141930</t>
  </si>
  <si>
    <t>Zm00001eb141930_T001</t>
  </si>
  <si>
    <t>Zm00001e018709</t>
  </si>
  <si>
    <t>NADPH producing dehydrogenase of the oxidative pentose phosphate pathway</t>
  </si>
  <si>
    <t>AT3G02360</t>
  </si>
  <si>
    <t>6-phosphogluconate dehydrogenase family protein</t>
  </si>
  <si>
    <t>Zm00001eb429350</t>
  </si>
  <si>
    <t>Zm00001eb429350_T001</t>
  </si>
  <si>
    <t>Zm00001e041499</t>
  </si>
  <si>
    <t>inhibitor of striate1</t>
  </si>
  <si>
    <t>AT4G11570</t>
  </si>
  <si>
    <t>Zm00001eb024180</t>
  </si>
  <si>
    <t>Zm00001eb024180_T003</t>
  </si>
  <si>
    <t>Zm00001e002403</t>
  </si>
  <si>
    <t>AT2G38740</t>
  </si>
  <si>
    <t>Zm00001eb039120</t>
  </si>
  <si>
    <t>Zm00001eb229930</t>
  </si>
  <si>
    <t>Zm00001eb229930_T002</t>
  </si>
  <si>
    <t>Zm00001e013457</t>
  </si>
  <si>
    <t>Luminal-binding protein 2 Precursor (BiP2)(Heat shock protein 70 homolog 2)(B-70)(B70)</t>
  </si>
  <si>
    <t>AT5G42020</t>
  </si>
  <si>
    <t>Heat shock protein 70 (Hsp 70) family protein</t>
  </si>
  <si>
    <t>Zm00001eb088800</t>
  </si>
  <si>
    <t>Zm00001eb088800_T001</t>
  </si>
  <si>
    <t>Zm00001e008750</t>
  </si>
  <si>
    <t>hypothetical protein LOC100216819</t>
  </si>
  <si>
    <t>AT4G39330</t>
  </si>
  <si>
    <t>cinnamyl alcohol dehydrogenase 9</t>
  </si>
  <si>
    <t>Zm00001eb134200</t>
  </si>
  <si>
    <t>Zm00001eb134200_T005</t>
  </si>
  <si>
    <t>Zm00001e017919</t>
  </si>
  <si>
    <t>AT1G58520</t>
  </si>
  <si>
    <t>lipases;hydrolases, acting on ester bonds</t>
  </si>
  <si>
    <t>Zm00001eb169920</t>
  </si>
  <si>
    <t>Zm00001eb169920_T005</t>
  </si>
  <si>
    <t>Zm00001e021472</t>
  </si>
  <si>
    <t>hypothetical protein LOC100273243</t>
  </si>
  <si>
    <t>AT3G02830</t>
  </si>
  <si>
    <t>zinc finger protein 1</t>
  </si>
  <si>
    <t>C3H</t>
  </si>
  <si>
    <t>Zm00001eb261440</t>
  </si>
  <si>
    <t>Zm00001eb261440_T003</t>
  </si>
  <si>
    <t>Zm00001e029254</t>
  </si>
  <si>
    <t>hypothetical protein LOC100273455</t>
  </si>
  <si>
    <t>AT5G40780</t>
  </si>
  <si>
    <t>lysine histidine transporter 1</t>
  </si>
  <si>
    <t>Zm00001eb082150</t>
  </si>
  <si>
    <t>Zm00001eb082150_T001</t>
  </si>
  <si>
    <t>Zm00001e008040</t>
  </si>
  <si>
    <t>AT1G59750</t>
  </si>
  <si>
    <t>Auxin</t>
  </si>
  <si>
    <t>ARF1</t>
  </si>
  <si>
    <t>signalling neg</t>
  </si>
  <si>
    <t>TAIR</t>
  </si>
  <si>
    <t>auxin response factor 1</t>
  </si>
  <si>
    <t>ARF</t>
  </si>
  <si>
    <t>Zm00001eb363120</t>
  </si>
  <si>
    <t>Zm00001eb363120_T001</t>
  </si>
  <si>
    <t>Zm00001e028333</t>
  </si>
  <si>
    <t>Zm00001eb341960</t>
  </si>
  <si>
    <t>Zm00001eb341960_T001</t>
  </si>
  <si>
    <t>Zm00001e026365</t>
  </si>
  <si>
    <t>AT1G68530</t>
  </si>
  <si>
    <t>3-ketoacyl-CoA synthase 6</t>
  </si>
  <si>
    <t>Zm00001eb087050</t>
  </si>
  <si>
    <t>Zm00001eb087050_T001</t>
  </si>
  <si>
    <t>Zm00001e008551</t>
  </si>
  <si>
    <t>AT1G17200</t>
  </si>
  <si>
    <t>Uncharacterised protein family (UPF0497)</t>
  </si>
  <si>
    <t>Zm00001eb418140</t>
  </si>
  <si>
    <t>Zm00001eb418140_T001</t>
  </si>
  <si>
    <t>Zm00001e040429</t>
  </si>
  <si>
    <t>hypothetical protein LOC100273458</t>
  </si>
  <si>
    <t>AT1G77330</t>
  </si>
  <si>
    <t>Ethylene</t>
  </si>
  <si>
    <t>ACO5</t>
  </si>
  <si>
    <t>synthesis</t>
  </si>
  <si>
    <t>Camehl I et al. 2015</t>
  </si>
  <si>
    <t>Zm00001eb117370</t>
  </si>
  <si>
    <t>Zm00001eb117370_T001</t>
  </si>
  <si>
    <t>Zm00001e011496</t>
  </si>
  <si>
    <t>hypothetical protein LOC100279968</t>
  </si>
  <si>
    <t>AT5G07990</t>
  </si>
  <si>
    <t>Cytochrome P450 superfamily protein</t>
  </si>
  <si>
    <t>Zm00001eb170040</t>
  </si>
  <si>
    <t>Zm00001eb170040_T001</t>
  </si>
  <si>
    <t>Zm00001e021485</t>
  </si>
  <si>
    <t>adenosylhomocysteinase</t>
  </si>
  <si>
    <t>AT3G23810</t>
  </si>
  <si>
    <t>S-adenosyl-l-homocysteine (SAH) hydrolase 2</t>
  </si>
  <si>
    <t>Zm00001eb168910</t>
  </si>
  <si>
    <t>Zm00001eb168910_T001</t>
  </si>
  <si>
    <t>Zm00001e021368</t>
  </si>
  <si>
    <t>Protein disulfide-isomerase Precursor (PDI)(EC 5.3.4.1)</t>
  </si>
  <si>
    <t>AT1G77510</t>
  </si>
  <si>
    <t>PDI-like 1-2</t>
  </si>
  <si>
    <t>Zm00001eb115750</t>
  </si>
  <si>
    <t>Zm00001eb115750_T001</t>
  </si>
  <si>
    <t>Zm00001e011353</t>
  </si>
  <si>
    <t>hypothetical protein LOC100273624</t>
  </si>
  <si>
    <t>AT5G06060</t>
  </si>
  <si>
    <t>NAD(P)-binding Rossmann-fold superfamily protein</t>
  </si>
  <si>
    <t>Zm00001eb332560</t>
  </si>
  <si>
    <t>Zm00001eb332560_T001</t>
  </si>
  <si>
    <t>Zm00001e025468</t>
  </si>
  <si>
    <t>hypothetical protein LOC100381542</t>
  </si>
  <si>
    <t>AT5G06980</t>
  </si>
  <si>
    <t>unknown protein; FUNCTIONS IN: molecular_function unknown; INVOLVED IN: response to karrikin; LOCATED IN: cellular_component unknown; EXPRESSED IN: 21 plant structures; EXPRESSED DURING: 11 growth stages; BEST Arabidopsis thaliana protein match is: unknown protein (TAIR:AT3G12320.1).</t>
  </si>
  <si>
    <t>Zm00001eb020710</t>
  </si>
  <si>
    <t>Zm00001eb020710_T002</t>
  </si>
  <si>
    <t>Zm00001e002073</t>
  </si>
  <si>
    <t>BRASSINOSTEROID INSENSITIVE 1-associated receptor kinase 1</t>
  </si>
  <si>
    <t>AT5G21090</t>
  </si>
  <si>
    <t>Leucine-rich repeat (LRR) family protein</t>
  </si>
  <si>
    <t>Zm00001eb123690</t>
  </si>
  <si>
    <t>Zm00001eb123690_T001</t>
  </si>
  <si>
    <t>Zm00001e016845</t>
  </si>
  <si>
    <t>hypothetical protein LOC100194102</t>
  </si>
  <si>
    <t>AT2G37110</t>
  </si>
  <si>
    <t>Zm00001eb002740</t>
  </si>
  <si>
    <t>Zm00001eb002740_T001</t>
  </si>
  <si>
    <t>Zm00001e000284</t>
  </si>
  <si>
    <t>AT4G35640</t>
  </si>
  <si>
    <t>serine acetyltransferase 3;2</t>
  </si>
  <si>
    <t>Zm00001eb001650</t>
  </si>
  <si>
    <t>Zm00001eb001650_T005</t>
  </si>
  <si>
    <t>Zm00001e000164</t>
  </si>
  <si>
    <t>chloroplast oxygen-evolving complex/thylakoid lumenal 25.6kDa protein</t>
  </si>
  <si>
    <t>Zm00001eb122020</t>
  </si>
  <si>
    <t>Zm00001eb122020_T001</t>
  </si>
  <si>
    <t>Zm00001e016663</t>
  </si>
  <si>
    <t>histidyl-tRNA synthetase</t>
  </si>
  <si>
    <t>AT3G46100</t>
  </si>
  <si>
    <t>Histidyl-tRNA synthetase 1</t>
  </si>
  <si>
    <t>Zm00001eb247630</t>
  </si>
  <si>
    <t>Zm00001eb247630_T002</t>
  </si>
  <si>
    <t>Zm00001e015155</t>
  </si>
  <si>
    <t>hypothetical protein LOC100275863</t>
  </si>
  <si>
    <t>AT2G37040</t>
  </si>
  <si>
    <t>SA</t>
  </si>
  <si>
    <t>PAL1</t>
  </si>
  <si>
    <t>Synthesis</t>
  </si>
  <si>
    <t>Dempsey DA et al. 2012</t>
  </si>
  <si>
    <t>PHE ammonia lyase 1</t>
  </si>
  <si>
    <t>Zm00001eb228120</t>
  </si>
  <si>
    <t>Zm00001eb228120_T002</t>
  </si>
  <si>
    <t>Zm00001e013286</t>
  </si>
  <si>
    <t>hypothetical protein LOC100279926</t>
  </si>
  <si>
    <t>Zm00001eb003480</t>
  </si>
  <si>
    <t>Zm00001eb003480_T001</t>
  </si>
  <si>
    <t>Zm00001e000346</t>
  </si>
  <si>
    <t>hypothetical protein LOC100278579</t>
  </si>
  <si>
    <t>AT5G18490</t>
  </si>
  <si>
    <t>Plant protein of unknown function (DUF946)</t>
  </si>
  <si>
    <t>Zm00001eb346150</t>
  </si>
  <si>
    <t>Zm00001eb346150_T001</t>
  </si>
  <si>
    <t>Zm00001e026757</t>
  </si>
  <si>
    <t>hypothetical protein LOC100272801</t>
  </si>
  <si>
    <t>AT2G30490</t>
  </si>
  <si>
    <t>cinnamate-4-hydroxylase</t>
  </si>
  <si>
    <t>Zm00001eb061250</t>
  </si>
  <si>
    <t>Zm00001eb061250_T001</t>
  </si>
  <si>
    <t>Zm00001e006037</t>
  </si>
  <si>
    <t>Zm00001eb415040</t>
  </si>
  <si>
    <t>Zm00001eb415040_T001</t>
  </si>
  <si>
    <t>Zm00001e040145</t>
  </si>
  <si>
    <t>Zm00001eb151280</t>
  </si>
  <si>
    <t>Zm00001eb151280_T001</t>
  </si>
  <si>
    <t>Zm00001e019610</t>
  </si>
  <si>
    <t>LOC100283201</t>
  </si>
  <si>
    <t>Zm00001eb142630</t>
  </si>
  <si>
    <t>Zm00001eb142630_T002</t>
  </si>
  <si>
    <t>Zm00001e018771</t>
  </si>
  <si>
    <t>phosphatidylinositol transfer protein CSR1</t>
  </si>
  <si>
    <t>AT1G01630</t>
  </si>
  <si>
    <t>Zm00001eb362760</t>
  </si>
  <si>
    <t>Zm00001eb362760_T001</t>
  </si>
  <si>
    <t>Zm00001e028305</t>
  </si>
  <si>
    <t>AT3G27890</t>
  </si>
  <si>
    <t>NADPH:quinone oxidoreductase</t>
  </si>
  <si>
    <t>Zm00001eb032290</t>
  </si>
  <si>
    <t>Zm00001eb032290_T005</t>
  </si>
  <si>
    <t>Zm00001e003281</t>
  </si>
  <si>
    <t>AT5G17920</t>
  </si>
  <si>
    <t>Cobalamin-independent synthase family protein</t>
  </si>
  <si>
    <t>Zm00001eb128040</t>
  </si>
  <si>
    <t>Zm00001eb128040_T002</t>
  </si>
  <si>
    <t>Zm00001e017290</t>
  </si>
  <si>
    <t>calmodulin2</t>
  </si>
  <si>
    <t>Zm00001eb176160</t>
  </si>
  <si>
    <t>Zm00001eb176160_T001</t>
  </si>
  <si>
    <t>Zm00001e022075</t>
  </si>
  <si>
    <t>hypothetical protein LOC100382120</t>
  </si>
  <si>
    <t>AT3G52880</t>
  </si>
  <si>
    <t>monodehydroascorbate reductase 1</t>
  </si>
  <si>
    <t>Zm00001eb247590</t>
  </si>
  <si>
    <t>Zm00001eb247590_T001</t>
  </si>
  <si>
    <t>Zm00001e015148</t>
  </si>
  <si>
    <t>Adenosine kinase 2Putative uncharacterized protein ;</t>
  </si>
  <si>
    <t>AT5G03300</t>
  </si>
  <si>
    <t>adenosine kinase 2</t>
  </si>
  <si>
    <t>Zm00001eb370310</t>
  </si>
  <si>
    <t>Zm00001eb370310_T003</t>
  </si>
  <si>
    <t>Zm00001e028994</t>
  </si>
  <si>
    <t>hypothetical protein LOC100280211</t>
  </si>
  <si>
    <t>AT2G03390</t>
  </si>
  <si>
    <t>uvrB/uvrC motif-containing protein</t>
  </si>
  <si>
    <t>Zm00001eb398560</t>
  </si>
  <si>
    <t>Zm00001eb398560_T001</t>
  </si>
  <si>
    <t>Zm00001e038571</t>
  </si>
  <si>
    <t>hypothetical protein LOC100275646</t>
  </si>
  <si>
    <t>AT2G21180</t>
  </si>
  <si>
    <t>unknown protein; BEST Arabidopsis thaliana protein match is: unknown protein (TAIR:AT5G19875.1); Has 124 Blast hits to 124 proteins in 12 species: Archae - 0; Bacteria - 0; Metazoa - 0; Fungi - 0; Plants - 124; Viruses - 0; Other Eukaryotes - 0 (source: NCBI BLink).</t>
  </si>
  <si>
    <t>Zm00001eb234010</t>
  </si>
  <si>
    <t>Zm00001eb234010_T001</t>
  </si>
  <si>
    <t>Zm00001e013826</t>
  </si>
  <si>
    <t>hypothetical protein LOC100273695</t>
  </si>
  <si>
    <t>AT2G05710</t>
  </si>
  <si>
    <t>aconitase 3</t>
  </si>
  <si>
    <t>Zm00001eb064120</t>
  </si>
  <si>
    <t>Zm00001eb064120_T003</t>
  </si>
  <si>
    <t>Zm00001e006320</t>
  </si>
  <si>
    <t>hypothetical protein LOC100191638</t>
  </si>
  <si>
    <t>AT2G44060</t>
  </si>
  <si>
    <t>Late embryogenesis abundant protein, group 2</t>
  </si>
  <si>
    <t>Zm00001eb382460</t>
  </si>
  <si>
    <t>Zm00001eb382460_T001</t>
  </si>
  <si>
    <t>Zm00001e037008</t>
  </si>
  <si>
    <t>hypothetical protein LOC100194306</t>
  </si>
  <si>
    <t>AT5G46110</t>
  </si>
  <si>
    <t>Glucose-6-phosphate/phosphate translocator-related</t>
  </si>
  <si>
    <t>Zm00001eb015400</t>
  </si>
  <si>
    <t>Zm00001eb015400_T001</t>
  </si>
  <si>
    <t>Zm00001e001518</t>
  </si>
  <si>
    <t>AT4G13830</t>
  </si>
  <si>
    <t>DNAJ-like 20</t>
  </si>
  <si>
    <t>Zm00001eb268830</t>
  </si>
  <si>
    <t>Zm00001eb268830_T005</t>
  </si>
  <si>
    <t>Zm00001e029820</t>
  </si>
  <si>
    <t>6-phosphogluconate dehydrogenase2</t>
  </si>
  <si>
    <t>Zm00001eb378470</t>
  </si>
  <si>
    <t>Zm00001eb378470_T001</t>
  </si>
  <si>
    <t>Zm00001e036623</t>
  </si>
  <si>
    <t>AT4G24050</t>
  </si>
  <si>
    <t>Zm00001eb031210</t>
  </si>
  <si>
    <t>Zm00001eb031210_T003</t>
  </si>
  <si>
    <t>Zm00001e003179</t>
  </si>
  <si>
    <t>hypothetical protein LOC100275351</t>
  </si>
  <si>
    <t>AT5G28770</t>
  </si>
  <si>
    <t>Zm00001eb019030</t>
  </si>
  <si>
    <t>Zm00001eb019030_T001</t>
  </si>
  <si>
    <t>Zm00001e001890</t>
  </si>
  <si>
    <t>hypothetical protein LOC100272586</t>
  </si>
  <si>
    <t>Zm00001eb394600</t>
  </si>
  <si>
    <t>Zm00001eb394600_T003</t>
  </si>
  <si>
    <t>Zm00001e038193</t>
  </si>
  <si>
    <t>Early response to dehydration 15-like proteinPutative uncharacterized protein ;</t>
  </si>
  <si>
    <t>AT2G41430</t>
  </si>
  <si>
    <t>dehydration-induced protein (ERD15)</t>
  </si>
  <si>
    <t>Zm00001eb183220</t>
  </si>
  <si>
    <t>Zm00001eb183220_T001</t>
  </si>
  <si>
    <t>Zm00001e022821</t>
  </si>
  <si>
    <t>hypothetical protein LOC100277715</t>
  </si>
  <si>
    <t>AT1G14870</t>
  </si>
  <si>
    <t>PLANT CADMIUM RESISTANCE 2</t>
  </si>
  <si>
    <t>Zm00001eb258380</t>
  </si>
  <si>
    <t>Zm00001eb258380_T001</t>
  </si>
  <si>
    <t>Zm00001e016176</t>
  </si>
  <si>
    <t>LOC100281034</t>
  </si>
  <si>
    <t>AT1G06190</t>
  </si>
  <si>
    <t>Rho termination factor</t>
  </si>
  <si>
    <t>Zm00001eb192850</t>
  </si>
  <si>
    <t>Zm00001eb192850_T001</t>
  </si>
  <si>
    <t>Zm00001e023740</t>
  </si>
  <si>
    <t>hypothetical protein LOC100275729</t>
  </si>
  <si>
    <t>AT2G44820</t>
  </si>
  <si>
    <t>unknown protein; Has 70 Blast hits to 70 proteins in 25 species: Archae - 0; Bacteria - 0; Metazoa - 9; Fungi - 4; Plants - 47; Viruses - 0; Other Eukaryotes - 10 (source: NCBI BLink).</t>
  </si>
  <si>
    <t>Zm00001eb426920</t>
  </si>
  <si>
    <t>Zm00001eb426920_T004</t>
  </si>
  <si>
    <t>Zm00001e041266</t>
  </si>
  <si>
    <t>AT1G65730</t>
  </si>
  <si>
    <t>YELLOW STRIPE like 7</t>
  </si>
  <si>
    <t>Zm00001eb354180</t>
  </si>
  <si>
    <t>Zm00001eb354180_T002</t>
  </si>
  <si>
    <t>Zm00001e027503</t>
  </si>
  <si>
    <t>AT1G11930</t>
  </si>
  <si>
    <t>Predicted pyridoxal phosphate-dependent enzyme, YBL036C type</t>
  </si>
  <si>
    <t>Zm00001eb365200</t>
  </si>
  <si>
    <t>Zm00001eb365200_T001</t>
  </si>
  <si>
    <t>Zm00001e028523</t>
  </si>
  <si>
    <t>fructose-bisphosphate aldolase cytoplasmic isozyme</t>
  </si>
  <si>
    <t>AT2G36460</t>
  </si>
  <si>
    <t>Aldolase superfamily protein</t>
  </si>
  <si>
    <t>Zm00001eb209550</t>
  </si>
  <si>
    <t>Zm00001eb209550_T001</t>
  </si>
  <si>
    <t>Zm00001e025370</t>
  </si>
  <si>
    <t>Luminal-binding protein 3 Precursor (BiP3)</t>
  </si>
  <si>
    <t>Zm00001eb322060</t>
  </si>
  <si>
    <t>Zm00001eb322060_T002</t>
  </si>
  <si>
    <t>Zm00001e035039</t>
  </si>
  <si>
    <t>AT4G17050</t>
  </si>
  <si>
    <t>ureidoglycine aminohydrolase</t>
  </si>
  <si>
    <t>Zm00001eb025990</t>
  </si>
  <si>
    <t>Zm00001eb025990_T001</t>
  </si>
  <si>
    <t>Zm00001e002586</t>
  </si>
  <si>
    <t>NAD(P)H-dependent oxidoreductase</t>
  </si>
  <si>
    <t>Zm00001eb248170</t>
  </si>
  <si>
    <t>Zm00001eb248170_T004</t>
  </si>
  <si>
    <t>Zm00001e015200</t>
  </si>
  <si>
    <t>hypothetical protein LOC100279206</t>
  </si>
  <si>
    <t>AT5G23210</t>
  </si>
  <si>
    <t>serine carboxypeptidase-like 34</t>
  </si>
  <si>
    <t>Zm00001eb413850</t>
  </si>
  <si>
    <t>Zm00001eb413850_T001</t>
  </si>
  <si>
    <t>Zm00001e040022</t>
  </si>
  <si>
    <t>LOC100281336</t>
  </si>
  <si>
    <t>AT4G37970</t>
  </si>
  <si>
    <t>cinnamyl alcohol dehydrogenase 6</t>
  </si>
  <si>
    <t>Zm00001eb028460</t>
  </si>
  <si>
    <t>Zm00001eb028460_T002</t>
  </si>
  <si>
    <t>Zm00001e002875</t>
  </si>
  <si>
    <t>LOC100282809</t>
  </si>
  <si>
    <t>AT5G35080</t>
  </si>
  <si>
    <t>protein involved in the endoplasmic reticulum-associated degradation of glycoproteins.</t>
  </si>
  <si>
    <t>Zm00001eb091200</t>
  </si>
  <si>
    <t>Zm00001eb091200_T001</t>
  </si>
  <si>
    <t>Zm00001e008988</t>
  </si>
  <si>
    <t>hypothetical protein LOC100382449</t>
  </si>
  <si>
    <t>AT1G44170</t>
  </si>
  <si>
    <t>aldehyde dehydrogenase 3H1</t>
  </si>
  <si>
    <t>Zm00001eb237570</t>
  </si>
  <si>
    <t>Zm00001eb237570_T001</t>
  </si>
  <si>
    <t>Zm00001e014218</t>
  </si>
  <si>
    <t>dynein light chain LC6, flagellar outer arm</t>
  </si>
  <si>
    <t>AT1G52240</t>
  </si>
  <si>
    <t>RHO guanyl-nucleotide exchange factor 11</t>
  </si>
  <si>
    <t>Zm00001eb325640</t>
  </si>
  <si>
    <t>Zm00001eb325640_T002</t>
  </si>
  <si>
    <t>Zm00001e035371.m1</t>
  </si>
  <si>
    <t>Zm00001eb355980</t>
  </si>
  <si>
    <t>Zm00001eb355980_T001</t>
  </si>
  <si>
    <t>Zm00001e027654</t>
  </si>
  <si>
    <t>AT2G38870</t>
  </si>
  <si>
    <t>Serine protease inhibitor, potato inhibitor I-type family protein</t>
  </si>
  <si>
    <t>Zm00001eb276930</t>
  </si>
  <si>
    <t>Zm00001eb276930_T001</t>
  </si>
  <si>
    <t>Zm00001e030604</t>
  </si>
  <si>
    <t>hypothetical protein LOC100217191</t>
  </si>
  <si>
    <t>AT5G49400</t>
  </si>
  <si>
    <t>zinc knuckle (CCHC-type) family protein</t>
  </si>
  <si>
    <t>Zm00001eb373120</t>
  </si>
  <si>
    <t>Zm00001eb373120_T001</t>
  </si>
  <si>
    <t>Zm00001e036174</t>
  </si>
  <si>
    <t>LOC100283424</t>
  </si>
  <si>
    <t>AT1G47480</t>
  </si>
  <si>
    <t>Zm00001eb354870</t>
  </si>
  <si>
    <t>Zm00001eb354870_T002</t>
  </si>
  <si>
    <t>Zm00001e027561</t>
  </si>
  <si>
    <t>hypothetical protein LOC100192799</t>
  </si>
  <si>
    <t>AT1G56440</t>
  </si>
  <si>
    <t>Zm00001eb373380</t>
  </si>
  <si>
    <t>Zm00001eb373380_T001</t>
  </si>
  <si>
    <t>Zm00001e036202</t>
  </si>
  <si>
    <t>hypothetical protein LOC100273211</t>
  </si>
  <si>
    <t>AT1G21890</t>
  </si>
  <si>
    <t>nodulin MtN21 /EamA-like transporter family protein</t>
  </si>
  <si>
    <t>Zm00001eb005420</t>
  </si>
  <si>
    <t>Zm00001eb005420_T004</t>
  </si>
  <si>
    <t>Zm00001e000530</t>
  </si>
  <si>
    <t>hypothetical protein LOC100277737</t>
  </si>
  <si>
    <t>AT1G33290</t>
  </si>
  <si>
    <t>P-loop containing nucleoside triphosphate hydrolases superfamily protein</t>
  </si>
  <si>
    <t>Zm00001eb408360</t>
  </si>
  <si>
    <t>Zm00001eb408360_T001</t>
  </si>
  <si>
    <t>Zm00001e039515</t>
  </si>
  <si>
    <t>hypothetical protein LOC100382310</t>
  </si>
  <si>
    <t>AT1G77380</t>
  </si>
  <si>
    <t>amino acid permease 3</t>
  </si>
  <si>
    <t>Zm00001eb096030</t>
  </si>
  <si>
    <t>Zm00001eb096030_T003</t>
  </si>
  <si>
    <t>Zm00001e009479</t>
  </si>
  <si>
    <t>pyrimidine-specific ribonucleoside hydrolase rihB</t>
  </si>
  <si>
    <t>AT2G36310</t>
  </si>
  <si>
    <t>uridine-ribohydrolase 1</t>
  </si>
  <si>
    <t>Zm00001eb233720</t>
  </si>
  <si>
    <t>Zm00001eb233720_T002</t>
  </si>
  <si>
    <t>Zm00001e013798</t>
  </si>
  <si>
    <t>LOC542166</t>
  </si>
  <si>
    <t>AT3G21240</t>
  </si>
  <si>
    <t>4CL2</t>
  </si>
  <si>
    <t>Dempsey DA et al. 2018</t>
  </si>
  <si>
    <t>4-coumarate:CoA ligase 2</t>
  </si>
  <si>
    <t>Zm00001eb274200</t>
  </si>
  <si>
    <t>Zm00001eb274200_T004</t>
  </si>
  <si>
    <t>Zm00001e030359</t>
  </si>
  <si>
    <t>phosphatidylinositol synthase 2</t>
  </si>
  <si>
    <t>AT1G68000</t>
  </si>
  <si>
    <t>phosphatidylinositol synthase 1</t>
  </si>
  <si>
    <t>Zm00001eb019440</t>
  </si>
  <si>
    <t>Zm00001eb019440_T002</t>
  </si>
  <si>
    <t>Zm00001e101900</t>
  </si>
  <si>
    <t>Zm00001eb234090</t>
  </si>
  <si>
    <t>Zm00001eb234090_T002</t>
  </si>
  <si>
    <t>Zm00001e013835</t>
  </si>
  <si>
    <t>dihydroflavonol-4-reductase</t>
  </si>
  <si>
    <t>AT1G15950</t>
  </si>
  <si>
    <t>cinnamoyl coa reductase 1</t>
  </si>
  <si>
    <t>Zm00001eb387570</t>
  </si>
  <si>
    <t>Zm00001eb387570_T002</t>
  </si>
  <si>
    <t>Zm00001e037526</t>
  </si>
  <si>
    <t>LOC100283030</t>
  </si>
  <si>
    <t>AT3G30390</t>
  </si>
  <si>
    <t>Zm00001eb075210</t>
  </si>
  <si>
    <t>Zm00001eb075210_T001</t>
  </si>
  <si>
    <t>Zm00001e007379</t>
  </si>
  <si>
    <t>hypothetical protein LOC100276169</t>
  </si>
  <si>
    <t>AT3G15040</t>
  </si>
  <si>
    <t>Protein of unknown function, DUF584</t>
  </si>
  <si>
    <t>Zm00001eb413630</t>
  </si>
  <si>
    <t>Zm00001eb413630_T001</t>
  </si>
  <si>
    <t>Zm00001e039996</t>
  </si>
  <si>
    <t>Polyamine oxidase Precursor (EC 1.5.3.14)(EC 1.5.3.15)</t>
  </si>
  <si>
    <t>AT5G13700</t>
  </si>
  <si>
    <t>polyamine oxidase 1</t>
  </si>
  <si>
    <t>Zm00001eb238070</t>
  </si>
  <si>
    <t>Zm00001eb238070_T001</t>
  </si>
  <si>
    <t>Zm00001e014267</t>
  </si>
  <si>
    <t>hypothetical protein LOC100278069</t>
  </si>
  <si>
    <t>Zm00001eb161200</t>
  </si>
  <si>
    <t>Zm00001eb161200_T001</t>
  </si>
  <si>
    <t>Zm00001e020606</t>
  </si>
  <si>
    <t>AT3G24420</t>
  </si>
  <si>
    <t>Zm00001eb055850</t>
  </si>
  <si>
    <t>Zm00001eb055850_T001</t>
  </si>
  <si>
    <t>Zm00001e005536.m1</t>
  </si>
  <si>
    <t>Zm00001eb003880</t>
  </si>
  <si>
    <t>Zm00001eb003880_T001</t>
  </si>
  <si>
    <t>Zm00001e000387</t>
  </si>
  <si>
    <t>Ubiquitin carrier protein (EC 6.3.2.-)</t>
  </si>
  <si>
    <t>AT1G63800</t>
  </si>
  <si>
    <t>ubiquitin-conjugating enzyme 5</t>
  </si>
  <si>
    <t>Zm00001eb110640</t>
  </si>
  <si>
    <t>Zm00001eb110640_T002</t>
  </si>
  <si>
    <t>Zm00001e010893</t>
  </si>
  <si>
    <t>LOC100281439</t>
  </si>
  <si>
    <t>AT3G63470</t>
  </si>
  <si>
    <t>serine carboxypeptidase-like 40</t>
  </si>
  <si>
    <t>Zm00001eb366290</t>
  </si>
  <si>
    <t>Zm00001eb366290_T001</t>
  </si>
  <si>
    <t>Zm00001e028627</t>
  </si>
  <si>
    <t>LOC100280732</t>
  </si>
  <si>
    <t>AT4G15093</t>
  </si>
  <si>
    <t>catalytic LigB subunit of aromatic ring-opening dioxygenase family</t>
  </si>
  <si>
    <t>Zm00001eb057060</t>
  </si>
  <si>
    <t>Zm00001eb057060_T001</t>
  </si>
  <si>
    <t>Zm00001e005658</t>
  </si>
  <si>
    <t>hypothetical protein LOC100304054</t>
  </si>
  <si>
    <t>Zm00001eb166810</t>
  </si>
  <si>
    <t>Zm00001eb166810_T002</t>
  </si>
  <si>
    <t>Zm00001e021167</t>
  </si>
  <si>
    <t>AT5G42870</t>
  </si>
  <si>
    <t>phosphatidic acid phosphohydrolase 2</t>
  </si>
  <si>
    <t>Zm00001eb239520</t>
  </si>
  <si>
    <t>Zm00001eb239520_T005</t>
  </si>
  <si>
    <t>Zm00001e014421</t>
  </si>
  <si>
    <t>AT4G35300</t>
  </si>
  <si>
    <t>tonoplast monosaccharide transporter2</t>
  </si>
  <si>
    <t>Zm00001eb407510</t>
  </si>
  <si>
    <t>Zm00001eb407510_T001</t>
  </si>
  <si>
    <t>Zm00001e039433</t>
  </si>
  <si>
    <t>LOC100284839</t>
  </si>
  <si>
    <t>AT4G26570</t>
  </si>
  <si>
    <t>calcineurin B-like 3</t>
  </si>
  <si>
    <t>Zm00001eb014000</t>
  </si>
  <si>
    <t>Zm00001eb014000_T001</t>
  </si>
  <si>
    <t>Zm00001e001374</t>
  </si>
  <si>
    <t>hypothetical protein LOC100192117</t>
  </si>
  <si>
    <t>Zm00001eb148690</t>
  </si>
  <si>
    <t>Zm00001eb148690_T001</t>
  </si>
  <si>
    <t>Zm00001e019363</t>
  </si>
  <si>
    <t>hypothetical protein LOC100272830</t>
  </si>
  <si>
    <t>AT5G18520</t>
  </si>
  <si>
    <t>Lung seven transmembrane receptor family protein</t>
  </si>
  <si>
    <t>Zm00001eb217000</t>
  </si>
  <si>
    <t>Zm00001eb217000_T001</t>
  </si>
  <si>
    <t>Zm00001e012246</t>
  </si>
  <si>
    <t>hypothetical protein LOC100274109</t>
  </si>
  <si>
    <t>AT1G54520</t>
  </si>
  <si>
    <t>unknown protein; FUNCTIONS IN: molecular_function unknown; INVOLVED IN: biological_process unknown; LOCATED IN: chloroplast; EXPRESSED IN: 24 plant structures; EXPRESSED DURING: 15 growth stages; CONTAINS InterPro DOMAIN/s: Protein of unknown function DUF1517 (InterPro:IPR010903); Has 276 Blast hits to 275 proteins in 83 species: Archae - 0; Bacteria - 108; Metazoa - 6; Fungi - 0; Plants - 113; Viruses - 0; Other Eukaryotes - 49 (source: NCBI BLink).</t>
  </si>
  <si>
    <t>Zm00001eb043620</t>
  </si>
  <si>
    <t>Zm00001eb043620_T001</t>
  </si>
  <si>
    <t>Zm00001e004368</t>
  </si>
  <si>
    <t>hypothetical protein LOC100279598</t>
  </si>
  <si>
    <t>AT1G64940</t>
  </si>
  <si>
    <t>cytochrome P450, family 87, subfamily A, polypeptide 6</t>
  </si>
  <si>
    <t>Zm00001eb191430</t>
  </si>
  <si>
    <t>Zm00001eb191430_T001</t>
  </si>
  <si>
    <t>Zm00001e023606</t>
  </si>
  <si>
    <t>hypothetical protein LOC100193613</t>
  </si>
  <si>
    <t>AT1G04555</t>
  </si>
  <si>
    <t>unknown protein; FUNCTIONS IN: molecular_function unknown; INVOLVED IN: biological_process unknown; LOCATED IN: cellular_component unknown; BEST Arabidopsis thaliana protein match is: unknown protein (TAIR:AT4G33380.1); Has 84 Blast hits to 83 proteins in 15 species: Archae - 0; Bacteria - 0; Metazoa - 9; Fungi - 0; Plants - 75; Viruses - 0; Other Eukaryotes - 0 (source: NCBI BLink).</t>
  </si>
  <si>
    <t>Zm00001eb182740</t>
  </si>
  <si>
    <t>Zm00001eb182740_T001</t>
  </si>
  <si>
    <t>Zm00001e022779</t>
  </si>
  <si>
    <t>gibberellin receptor GID1L2</t>
  </si>
  <si>
    <t>Zm00001eb322270</t>
  </si>
  <si>
    <t>Zm00001eb322270_T001</t>
  </si>
  <si>
    <t>Zm00001e035059</t>
  </si>
  <si>
    <t>Anthocyanidin 5,3-O-glucosyltransferase</t>
  </si>
  <si>
    <t>AT3G21800</t>
  </si>
  <si>
    <t>UDP-glucosyl transferase 71B8</t>
  </si>
  <si>
    <t>Zm00001eb435030</t>
  </si>
  <si>
    <t>Zm00001eb435030_T001</t>
  </si>
  <si>
    <t>Zm00001e042079</t>
  </si>
  <si>
    <t>NAD(P)H-quinone oxidoreductase subunit K, chloroplastic (EC 1.6.5.-)(NAD(P)H dehydrogenase subunit K)(NADH-plastoquinone oxidoreductase subunit K)</t>
  </si>
  <si>
    <t>ATCG00430</t>
  </si>
  <si>
    <t>photosystem II reaction center protein G</t>
  </si>
  <si>
    <t>Zm00001eb218710</t>
  </si>
  <si>
    <t>Zm00001eb218710_T005</t>
  </si>
  <si>
    <t>Zm00001e012405</t>
  </si>
  <si>
    <t>single myb histone 6</t>
  </si>
  <si>
    <t>AT1G49950</t>
  </si>
  <si>
    <t>telomere repeat binding factor 1</t>
  </si>
  <si>
    <t>Zm00001eb234080</t>
  </si>
  <si>
    <t>Zm00001eb234080_T001</t>
  </si>
  <si>
    <t>Zm00001e013834</t>
  </si>
  <si>
    <t>hypothetical protein LOC100191856</t>
  </si>
  <si>
    <t>AT5G10870</t>
  </si>
  <si>
    <t>chorismate mutase 2</t>
  </si>
  <si>
    <t>Zm00001eb070780</t>
  </si>
  <si>
    <t>Zm00001eb070780_T001</t>
  </si>
  <si>
    <t>Zm00001e006943</t>
  </si>
  <si>
    <t>adhesive/proline-rich protein</t>
  </si>
  <si>
    <t>Zm00001eb294990</t>
  </si>
  <si>
    <t>Zm00001eb294990_T001</t>
  </si>
  <si>
    <t>Zm00001e032340</t>
  </si>
  <si>
    <t>LOC100280585</t>
  </si>
  <si>
    <t>AT1G48630</t>
  </si>
  <si>
    <t>receptor for activated C kinase 1B</t>
  </si>
  <si>
    <t>Zm00001eb082220</t>
  </si>
  <si>
    <t>Zm00001eb082220_T004</t>
  </si>
  <si>
    <t>Zm00001e008047</t>
  </si>
  <si>
    <t>AT1G33980</t>
  </si>
  <si>
    <t>Smg-4/UPF3 family protein</t>
  </si>
  <si>
    <t>Zm00001eb055280</t>
  </si>
  <si>
    <t>Zm00001eb055280_T003</t>
  </si>
  <si>
    <t>Zm00001e005484</t>
  </si>
  <si>
    <t>histidine kinase</t>
  </si>
  <si>
    <t>AT2G01830</t>
  </si>
  <si>
    <t>Cytokinin</t>
  </si>
  <si>
    <t>AHK4</t>
  </si>
  <si>
    <t>receptor</t>
  </si>
  <si>
    <t>signaling pos</t>
  </si>
  <si>
    <t>Hirose N. et al. 2008</t>
  </si>
  <si>
    <t>CHASE domain containing histidine kinase protein</t>
  </si>
  <si>
    <t>Zm00001eb027880</t>
  </si>
  <si>
    <t>Zm00001eb027880_T002</t>
  </si>
  <si>
    <t>Zm00001e002805</t>
  </si>
  <si>
    <t>hypothetical protein LOC100381809</t>
  </si>
  <si>
    <t>AT5G49970</t>
  </si>
  <si>
    <t>pyridoxin (pyrodoxamine) 5'-phosphate oxidase</t>
  </si>
  <si>
    <t>Zm00001eb182980</t>
  </si>
  <si>
    <t>Zm00001eb182980_T001</t>
  </si>
  <si>
    <t>Zm00001e022799</t>
  </si>
  <si>
    <t>Zm00001eb170180</t>
  </si>
  <si>
    <t>Zm00001eb170180_T001</t>
  </si>
  <si>
    <t>Zm00001e021498</t>
  </si>
  <si>
    <t>AT1G71830</t>
  </si>
  <si>
    <t>somatic embryogenesis receptor-like kinase 1</t>
  </si>
  <si>
    <t>Zm00001eb160820</t>
  </si>
  <si>
    <t>Zm00001eb160820_T001</t>
  </si>
  <si>
    <t>Zm00001e020571</t>
  </si>
  <si>
    <t>cytosolic aldehyde dehydrogenase RF2C</t>
  </si>
  <si>
    <t>AT3G24503</t>
  </si>
  <si>
    <t>aldehyde dehydrogenase 2C4</t>
  </si>
  <si>
    <t>Zm00001eb327800</t>
  </si>
  <si>
    <t>Zm00001eb327800_T002</t>
  </si>
  <si>
    <t>Zm00001e035581</t>
  </si>
  <si>
    <t>phospho-2-dehydro-3-deoxyheptonate aldolase 1</t>
  </si>
  <si>
    <t>AT4G33510</t>
  </si>
  <si>
    <t>3-deoxy-d-arabino-heptulosonate 7-phosphate synthase</t>
  </si>
  <si>
    <t>Zm00001eb302370</t>
  </si>
  <si>
    <t>Zm00001eb302370_T001</t>
  </si>
  <si>
    <t>Zm00001e033028</t>
  </si>
  <si>
    <t>1-deoxy-D-xylulose 5-phosphate synthase</t>
  </si>
  <si>
    <t>AT4G15560</t>
  </si>
  <si>
    <t>Deoxyxylulose-5-phosphate synthase</t>
  </si>
  <si>
    <t>Zm00001eb205670</t>
  </si>
  <si>
    <t>Zm00001eb205670_T001</t>
  </si>
  <si>
    <t>Zm00001e024996</t>
  </si>
  <si>
    <t>40S ribosomal protein S8</t>
  </si>
  <si>
    <t>AT5G59240</t>
  </si>
  <si>
    <t>Ribosomal protein S8e family protein</t>
  </si>
  <si>
    <t>Zm00001eb318300</t>
  </si>
  <si>
    <t>Zm00001eb318300_T001</t>
  </si>
  <si>
    <t>Zm00001e034685</t>
  </si>
  <si>
    <t>salt-inducible putative protein serine/threonine/tyrosine kinase</t>
  </si>
  <si>
    <t>AT3G59350</t>
  </si>
  <si>
    <t>Zm00001eb143500</t>
  </si>
  <si>
    <t>Zm00001eb143500_T001</t>
  </si>
  <si>
    <t>Zm00001e018855</t>
  </si>
  <si>
    <t>loricrin</t>
  </si>
  <si>
    <t>Zm00001eb088850</t>
  </si>
  <si>
    <t>Zm00001eb088850_T003</t>
  </si>
  <si>
    <t>Zm00001e008757</t>
  </si>
  <si>
    <t>hypothetical protein LOC100192993</t>
  </si>
  <si>
    <t>Zm00001eb414040</t>
  </si>
  <si>
    <t>Zm00001eb414040_T001</t>
  </si>
  <si>
    <t>Zm00001e040048</t>
  </si>
  <si>
    <t>hypothetical protein LOC100274443</t>
  </si>
  <si>
    <t>AT2G32730</t>
  </si>
  <si>
    <t>26S proteasome regulatory complex, non-ATPase subcomplex, Rpn2/Psmd1 subunit</t>
  </si>
  <si>
    <t>Zm00001eb359720</t>
  </si>
  <si>
    <t>Zm00001eb359720_T001</t>
  </si>
  <si>
    <t>Zm00001e028009</t>
  </si>
  <si>
    <t>AT2G42880</t>
  </si>
  <si>
    <t>MAP kinase 20</t>
  </si>
  <si>
    <t>Zm00001eb219770</t>
  </si>
  <si>
    <t>Zm00001eb219770_T002</t>
  </si>
  <si>
    <t>Zm00001e012499</t>
  </si>
  <si>
    <t>hypothetical protein LOC100274540</t>
  </si>
  <si>
    <t>AT3G21690</t>
  </si>
  <si>
    <t>MATE efflux family protein</t>
  </si>
  <si>
    <t>Zm00001eb064620</t>
  </si>
  <si>
    <t>Zm00001eb064620_T002</t>
  </si>
  <si>
    <t>Zm00001e006377</t>
  </si>
  <si>
    <t>AT5G47870</t>
  </si>
  <si>
    <t>FUNCTIONS IN: molecular_function unknown; INVOLVED IN: biological_process unknown; LOCATED IN: chloroplast; EXPRESSED IN: 22 plant structures; EXPRESSED DURING: 13 growth stages; BEST Arabidopsis thaliana protein match is: cobalt ion binding (TAIR:AT1G71310.1); Has 1807 Blast hits to 1807 proteins in 277 species: Archae - 0; Bacteria - 0; Metazoa - 736; Fungi - 347; Plants - 385; Viruses - 0; Other Eukaryotes - 339 (source: NCBI BLink).</t>
  </si>
  <si>
    <t>Zm00001eb126070</t>
  </si>
  <si>
    <t>Zm00001eb126070_T001</t>
  </si>
  <si>
    <t>Zm00001e017082</t>
  </si>
  <si>
    <t>AT1G48650</t>
  </si>
  <si>
    <t>DEA(D/H)-box RNA helicase family protein</t>
  </si>
  <si>
    <t>Zm00001eb054460</t>
  </si>
  <si>
    <t>Zm00001eb054460_T001</t>
  </si>
  <si>
    <t>Zm00001e005410</t>
  </si>
  <si>
    <t>protein binding protein</t>
  </si>
  <si>
    <t>AT1G73950</t>
  </si>
  <si>
    <t>Transmembrane Fragile-X-F-associated protein</t>
  </si>
  <si>
    <t>Zm00001eb218320</t>
  </si>
  <si>
    <t>Zm00001eb218320_T001</t>
  </si>
  <si>
    <t>Zm00001e012368</t>
  </si>
  <si>
    <t>Zm00001eb411540</t>
  </si>
  <si>
    <t>Zm00001eb411540_T001</t>
  </si>
  <si>
    <t>Zm00001e039808</t>
  </si>
  <si>
    <t>LOC100285397</t>
  </si>
  <si>
    <t>AT2G17975</t>
  </si>
  <si>
    <t>zinc finger (Ran-binding) family protein</t>
  </si>
  <si>
    <t>Zm00001eb239600</t>
  </si>
  <si>
    <t>Zm00001eb239600_T001</t>
  </si>
  <si>
    <t>Zm00001e014430</t>
  </si>
  <si>
    <t>AT5G25930</t>
  </si>
  <si>
    <t>Protein kinase family protein with leucine-rich repeat domain</t>
  </si>
  <si>
    <t>Zm00001eb222590</t>
  </si>
  <si>
    <t>Zm00001eb222590_T002</t>
  </si>
  <si>
    <t>Zm00001e012763</t>
  </si>
  <si>
    <t>AT2G36970</t>
  </si>
  <si>
    <t>Zm00001eb017400</t>
  </si>
  <si>
    <t>Zm00001eb017400_T001</t>
  </si>
  <si>
    <t>Zm00001e001718</t>
  </si>
  <si>
    <t>AT1G17020</t>
  </si>
  <si>
    <t>senescence-related gene 1</t>
  </si>
  <si>
    <t>Zm00001eb413470</t>
  </si>
  <si>
    <t>Zm00001eb413470_T001</t>
  </si>
  <si>
    <t>Zm00001e039980</t>
  </si>
  <si>
    <t>AT1G06645</t>
  </si>
  <si>
    <t>Zm00001eb023270</t>
  </si>
  <si>
    <t>Zm00001eb023270_T006</t>
  </si>
  <si>
    <t>Zm00001e002323</t>
  </si>
  <si>
    <t>AT4G17330</t>
  </si>
  <si>
    <t>G2484-1 protein</t>
  </si>
  <si>
    <t>Zm00001eb033130</t>
  </si>
  <si>
    <t>Zm00001eb033130_T001</t>
  </si>
  <si>
    <t>Zm00001e003357</t>
  </si>
  <si>
    <t>hypothetical protein LOC100383595</t>
  </si>
  <si>
    <t>Zm00001eb334200</t>
  </si>
  <si>
    <t>Zm00001eb334200_T001</t>
  </si>
  <si>
    <t>Zm00001e025624</t>
  </si>
  <si>
    <t>HESB-like domain-containing protein 2</t>
  </si>
  <si>
    <t>AT2G16710</t>
  </si>
  <si>
    <t>Iron-sulphur cluster biosynthesis family protein</t>
  </si>
  <si>
    <t>Zm00001eb147730</t>
  </si>
  <si>
    <t>Zm00001eb285660</t>
  </si>
  <si>
    <t>Zm00001eb285660_T001</t>
  </si>
  <si>
    <t>Zm00001e031428</t>
  </si>
  <si>
    <t>hypothetical protein LOC100272553</t>
  </si>
  <si>
    <t>AT2G47650</t>
  </si>
  <si>
    <t>UDP-xylose synthase 4</t>
  </si>
  <si>
    <t>Zm00001eb239270</t>
  </si>
  <si>
    <t>Zm00001eb284520</t>
  </si>
  <si>
    <t>Zm00001eb284520_T001</t>
  </si>
  <si>
    <t>Zm00001e031322</t>
  </si>
  <si>
    <t>AT3G07990</t>
  </si>
  <si>
    <t>serine carboxypeptidase-like 27</t>
  </si>
  <si>
    <t>Zm00001eb255700</t>
  </si>
  <si>
    <t>Zm00001eb255700_T001</t>
  </si>
  <si>
    <t>Zm00001e015927</t>
  </si>
  <si>
    <t>hypothetical protein LOC100216916</t>
  </si>
  <si>
    <t>AT4G33380</t>
  </si>
  <si>
    <t>unknown protein; Has 194 Blast hits to 189 proteins in 23 species: Archae - 0; Bacteria - 0; Metazoa - 0; Fungi - 0; Plants - 184; Viruses - 0; Other Eukaryotes - 10 (source: NCBI BLink).</t>
  </si>
  <si>
    <t>Zm00001eb056440</t>
  </si>
  <si>
    <t>Zm00001eb056440_T001</t>
  </si>
  <si>
    <t>Zm00001e005597</t>
  </si>
  <si>
    <t>hypothetical protein LOC100191965</t>
  </si>
  <si>
    <t>AT3G56360</t>
  </si>
  <si>
    <t>unknown protein; FUNCTIONS IN: molecular_function unknown; INVOLVED IN: biological_process unknown; LOCATED IN: chloroplast; EXPRESSED IN: 24 plant structures; EXPRESSED DURING: 15 growth stages; BEST Arabidopsis thaliana protein match is: unknown protein (TAIR:AT5G05250.1); Has 45 Blast hits to 45 proteins in 13 species: Archae - 0; Bacteria - 0; Metazoa - 0; Fungi - 0; Plants - 45; Viruses - 0; Other Eukaryotes - 0 (source: NCBI BLink).</t>
  </si>
  <si>
    <t>Zm00001eb390620</t>
  </si>
  <si>
    <t>Zm00001eb390620_T001</t>
  </si>
  <si>
    <t>Zm00001e037812</t>
  </si>
  <si>
    <t>AT2G44525</t>
  </si>
  <si>
    <t>Protein of unknown function (DUF498/DUF598)</t>
  </si>
  <si>
    <t>Zm00001eb352190</t>
  </si>
  <si>
    <t>Zm00001eb352190_T001</t>
  </si>
  <si>
    <t>Zm00001e142502</t>
  </si>
  <si>
    <t>Zm00001eb105480</t>
  </si>
  <si>
    <t>Zm00001eb105480_T001</t>
  </si>
  <si>
    <t>Zm00001e120685</t>
  </si>
  <si>
    <t>Zm00001eb259050</t>
  </si>
  <si>
    <t>Zm00001eb259050_T001</t>
  </si>
  <si>
    <t>Zm00001e016242</t>
  </si>
  <si>
    <t>AT3G10360</t>
  </si>
  <si>
    <t>pumilio 4</t>
  </si>
  <si>
    <t>Zm00001eb052110</t>
  </si>
  <si>
    <t>Zm00001eb052110_T001</t>
  </si>
  <si>
    <t>Zm00001e107076</t>
  </si>
  <si>
    <t>Zm00001eb260060</t>
  </si>
  <si>
    <t>Zm00001eb260060_T003</t>
  </si>
  <si>
    <t>Zm00001e029121</t>
  </si>
  <si>
    <t>hypothetical protein LOC100276777</t>
  </si>
  <si>
    <t>AT4G19950</t>
  </si>
  <si>
    <t>unknown protein; BEST Arabidopsis thaliana protein match is: unknown protein (TAIR:AT5G44860.1); Has 338 Blast hits to 330 proteins in 72 species: Archae - 2; Bacteria - 94; Metazoa - 7; Fungi - 0; Plants - 232; Viruses - 0; Other Eukaryotes - 3 (source: NCBI BLink).</t>
  </si>
  <si>
    <t>Zm00001eb268980</t>
  </si>
  <si>
    <t>Zm00001eb268980_T001</t>
  </si>
  <si>
    <t>Zm00001e029830</t>
  </si>
  <si>
    <t>AT5G60900</t>
  </si>
  <si>
    <t>receptor-like protein kinase 1</t>
  </si>
  <si>
    <t>Zm00001eb420610</t>
  </si>
  <si>
    <t>Zm00001eb420610_T005</t>
  </si>
  <si>
    <t>Zm00001e040698</t>
  </si>
  <si>
    <t>hypothetical protein LOC100216803</t>
  </si>
  <si>
    <t>AT4G13010</t>
  </si>
  <si>
    <t>Oxidoreductase, zinc-binding dehydrogenase family protein</t>
  </si>
  <si>
    <t>Zm00001eb152660</t>
  </si>
  <si>
    <t>Zm00001eb152660_T001</t>
  </si>
  <si>
    <t>Zm00001e019767</t>
  </si>
  <si>
    <t>hypothetical protein LOC100272359</t>
  </si>
  <si>
    <t>AT4G21190</t>
  </si>
  <si>
    <t>Pentatricopeptide repeat (PPR) superfamily protein</t>
  </si>
  <si>
    <t>Zm00001eb219270</t>
  </si>
  <si>
    <t>Zm00001eb219270_T001</t>
  </si>
  <si>
    <t>Zm00001e012459</t>
  </si>
  <si>
    <t>hypothetical protein LOC100274298</t>
  </si>
  <si>
    <t>AT5G15650</t>
  </si>
  <si>
    <t>reversibly glycosylated polypeptide 2</t>
  </si>
  <si>
    <t>Zm00001eb398020</t>
  </si>
  <si>
    <t>Zm00001eb398020_T001</t>
  </si>
  <si>
    <t>Zm00001e038518</t>
  </si>
  <si>
    <t>AT3G09010</t>
  </si>
  <si>
    <t>Zm00001eb165410</t>
  </si>
  <si>
    <t>Zm00001eb165410_T001</t>
  </si>
  <si>
    <t>Zm00001e021042</t>
  </si>
  <si>
    <t>hypothetical protein LOC100273555</t>
  </si>
  <si>
    <t>AT1G05560</t>
  </si>
  <si>
    <t>UDP-glucosyltransferase 75B1</t>
  </si>
  <si>
    <t>Zm00001eb295010</t>
  </si>
  <si>
    <t>Zm00001eb295010_T002</t>
  </si>
  <si>
    <t>Zm00001e032342</t>
  </si>
  <si>
    <t>AT4G34550</t>
  </si>
  <si>
    <t>BEST Arabidopsis thaliana protein match is: F-box family protein (TAIR:AT2G16365.3); Has 37 Blast hits to 37 proteins in 8 species: Archae - 0; Bacteria - 0; Metazoa - 0; Fungi - 0; Plants - 37; Viruses - 0; Other Eukaryotes - 0 (source: NCBI BLink).</t>
  </si>
  <si>
    <t>Zm00001eb028110</t>
  </si>
  <si>
    <t>Zm00001eb028110_T004</t>
  </si>
  <si>
    <t>Zm00001e002837</t>
  </si>
  <si>
    <t>hypothetical protein LOC100273603</t>
  </si>
  <si>
    <t>AT1G03280</t>
  </si>
  <si>
    <t>Transcription factor TFIIE, alpha subunit</t>
  </si>
  <si>
    <t>Zm00001eb314620</t>
  </si>
  <si>
    <t>Zm00001eb314620_T002</t>
  </si>
  <si>
    <t>Zm00001e034322</t>
  </si>
  <si>
    <t>protein disulfide isomerase</t>
  </si>
  <si>
    <t>AT1G04980</t>
  </si>
  <si>
    <t>PDI-like 2-2</t>
  </si>
  <si>
    <t>Zm00001eb138610</t>
  </si>
  <si>
    <t>Zm00001eb138610_T001</t>
  </si>
  <si>
    <t>Zm00001e018387</t>
  </si>
  <si>
    <t>LOC100280768</t>
  </si>
  <si>
    <t>AT2G37250</t>
  </si>
  <si>
    <t>adenosine kinase</t>
  </si>
  <si>
    <t>Zm00001eb370620</t>
  </si>
  <si>
    <t>Zm00001eb370620_T005</t>
  </si>
  <si>
    <t>Zm00001e029023</t>
  </si>
  <si>
    <t>EMB1417</t>
  </si>
  <si>
    <t>Zm00001eb256380</t>
  </si>
  <si>
    <t>Zm00001eb256380_T001</t>
  </si>
  <si>
    <t>Zm00001e015995</t>
  </si>
  <si>
    <t>glutathione transferase24</t>
  </si>
  <si>
    <t>AT3G09270</t>
  </si>
  <si>
    <t>glutathione S-transferase TAU 8</t>
  </si>
  <si>
    <t>Zm00001eb245930</t>
  </si>
  <si>
    <t>Zm00001eb245930_T001</t>
  </si>
  <si>
    <t>Zm00001e014991</t>
  </si>
  <si>
    <t>AT5G63135</t>
  </si>
  <si>
    <t>unknown protein; Has 30201 Blast hits to 17322 proteins in 780 species: Archae - 12; Bacteria - 1396; Metazoa - 17338; Fungi - 3422; Plants - 5037; Viruses - 0; Other Eukaryotes - 2996 (source: NCBI BLink).</t>
  </si>
  <si>
    <t>Zm00001eb042240</t>
  </si>
  <si>
    <t>Zm00001eb042240_T001</t>
  </si>
  <si>
    <t>Zm00001e004208</t>
  </si>
  <si>
    <t>LOC542569</t>
  </si>
  <si>
    <t>AT4G39780</t>
  </si>
  <si>
    <t>Integrase-type DNA-binding superfamily protein</t>
  </si>
  <si>
    <t>ERF</t>
  </si>
  <si>
    <t>Zm00001eb018270</t>
  </si>
  <si>
    <t>Zm00001eb018270_T001</t>
  </si>
  <si>
    <t>Zm00001e001820</t>
  </si>
  <si>
    <t>cationic amino acid transporter</t>
  </si>
  <si>
    <t>AT3G13620</t>
  </si>
  <si>
    <t>Amino acid permease family protein</t>
  </si>
  <si>
    <t>Zm00001eb040310</t>
  </si>
  <si>
    <t>Zm00001eb040310_T001</t>
  </si>
  <si>
    <t>Zm00001e004018</t>
  </si>
  <si>
    <t>LOC732830</t>
  </si>
  <si>
    <t>AT2G06050</t>
  </si>
  <si>
    <t>OPR3</t>
  </si>
  <si>
    <t>Step5</t>
  </si>
  <si>
    <t>Wasternack S 2007</t>
  </si>
  <si>
    <t>oxophytodienoate-reductase 3</t>
  </si>
  <si>
    <t>Zm00001eb220910</t>
  </si>
  <si>
    <t>Zm00001eb220910_T001</t>
  </si>
  <si>
    <t>Zm00001e012600</t>
  </si>
  <si>
    <t>hypothetical protein LOC100192768</t>
  </si>
  <si>
    <t>AT3G51000</t>
  </si>
  <si>
    <t>Zm00001eb349780</t>
  </si>
  <si>
    <t>Zm00001eb349780_T002</t>
  </si>
  <si>
    <t>Zm00001e027088</t>
  </si>
  <si>
    <t>AT1G54710</t>
  </si>
  <si>
    <t>homolog of yeast autophagy 18 (ATG18) H</t>
  </si>
  <si>
    <t>Zm00001eb422950</t>
  </si>
  <si>
    <t>Zm00001eb422950_T003</t>
  </si>
  <si>
    <t>Zm00001e040916</t>
  </si>
  <si>
    <t>Zm00001eb045660</t>
  </si>
  <si>
    <t>Zm00001eb045660_T001</t>
  </si>
  <si>
    <t>Zm00001e004556</t>
  </si>
  <si>
    <t>hypothetical protein LOC100192558</t>
  </si>
  <si>
    <t>AT2G28320</t>
  </si>
  <si>
    <t>Pleckstrin homology (PH) and lipid-binding START domains-containing protein</t>
  </si>
  <si>
    <t>Zm00001eb057810</t>
  </si>
  <si>
    <t>Zm00001eb057810_T004</t>
  </si>
  <si>
    <t>Zm00001e005731</t>
  </si>
  <si>
    <t>hypothetical protein LOC100279549</t>
  </si>
  <si>
    <t>AT3G29360</t>
  </si>
  <si>
    <t>UDP-glucose 6-dehydrogenase family protein</t>
  </si>
  <si>
    <t>Zm00001eb185070</t>
  </si>
  <si>
    <t>Zm00001eb185070_T001</t>
  </si>
  <si>
    <t>Zm00001e023014</t>
  </si>
  <si>
    <t>hypothetical protein LOC100279946</t>
  </si>
  <si>
    <t>Zm00001eb093580</t>
  </si>
  <si>
    <t>Zm00001eb093580_T001</t>
  </si>
  <si>
    <t>Zm00001e009226</t>
  </si>
  <si>
    <t>hypothetical protein LOC100273132</t>
  </si>
  <si>
    <t>AT1G33110</t>
  </si>
  <si>
    <t>Zm00001eb422400</t>
  </si>
  <si>
    <t>Zm00001eb422400_T001</t>
  </si>
  <si>
    <t>Zm00001e040870</t>
  </si>
  <si>
    <t>Asr protein</t>
  </si>
  <si>
    <t>Zm00001eb296230</t>
  </si>
  <si>
    <t>Zm00001eb296230_T001</t>
  </si>
  <si>
    <t>Zm00001e032463</t>
  </si>
  <si>
    <t>hypothetical protein LOC100382638</t>
  </si>
  <si>
    <t>AT1G19440</t>
  </si>
  <si>
    <t>3-ketoacyl-CoA synthase 4</t>
  </si>
  <si>
    <t>Zm00001eb397710</t>
  </si>
  <si>
    <t>Zm00001eb397710_T001</t>
  </si>
  <si>
    <t>Zm00001e038487</t>
  </si>
  <si>
    <t>hypothetical protein LOC100272570</t>
  </si>
  <si>
    <t>AT5G59420</t>
  </si>
  <si>
    <t>OSBP(oxysterol binding protein)-related protein 3C</t>
  </si>
  <si>
    <t>Zm00001eb058760</t>
  </si>
  <si>
    <t>Zm00001eb058760_T003</t>
  </si>
  <si>
    <t>Zm00001e005810</t>
  </si>
  <si>
    <t>AT3G50780</t>
  </si>
  <si>
    <t>BEST Arabidopsis thaliana protein match is: BTB/POZ domain-containing protein (TAIR:AT1G63850.1); Has 298 Blast hits to 298 proteins in 22 species: Archae - 0; Bacteria - 0; Metazoa - 10; Fungi - 0; Plants - 287; Viruses - 0; Other Eukaryotes - 1 (source: NCBI BLink).</t>
  </si>
  <si>
    <t>Zm00001eb266360</t>
  </si>
  <si>
    <t>Zm00001eb266360_T001</t>
  </si>
  <si>
    <t>Zm00001e029600</t>
  </si>
  <si>
    <t>hypothetical protein LOC100272853</t>
  </si>
  <si>
    <t>AT5G59780</t>
  </si>
  <si>
    <t>myb domain protein 59</t>
  </si>
  <si>
    <t>Zm00001eb425190</t>
  </si>
  <si>
    <t>Zm00001eb425190_T001</t>
  </si>
  <si>
    <t>Zm00001e041102</t>
  </si>
  <si>
    <t>AT3G26000</t>
  </si>
  <si>
    <t>Ribonuclease inhibitor</t>
  </si>
  <si>
    <t>Zm00001eb399280</t>
  </si>
  <si>
    <t>Zm00001eb399280_T004</t>
  </si>
  <si>
    <t>Zm00001e038635</t>
  </si>
  <si>
    <t>DNA polymerase I</t>
  </si>
  <si>
    <t>AT3G52050</t>
  </si>
  <si>
    <t>Zm00001eb287690</t>
  </si>
  <si>
    <t>Zm00001eb287690_T001</t>
  </si>
  <si>
    <t>Zm00001e031636</t>
  </si>
  <si>
    <t>AT1G03380</t>
  </si>
  <si>
    <t>homolog of yeast autophagy 18 (ATG18) G</t>
  </si>
  <si>
    <t>Zm00001eb308150</t>
  </si>
  <si>
    <t>Zm00001eb308150_T005</t>
  </si>
  <si>
    <t>Zm00001e033615</t>
  </si>
  <si>
    <t>AT5G22500</t>
  </si>
  <si>
    <t>fatty acid reductase 1</t>
  </si>
  <si>
    <t>Zm00001eb211330</t>
  </si>
  <si>
    <t>Zm00001eb211330_T002</t>
  </si>
  <si>
    <t>Zm00001e011709</t>
  </si>
  <si>
    <t>AT5G49580</t>
  </si>
  <si>
    <t>Chaperone DnaJ-domain superfamily protein</t>
  </si>
  <si>
    <t>Zm00001eb100130</t>
  </si>
  <si>
    <t>Zm00001eb100130_T002</t>
  </si>
  <si>
    <t>Zm00001e009884</t>
  </si>
  <si>
    <t>hypothetical protein LOC100191257</t>
  </si>
  <si>
    <t>jasmonate-zim-domain protein 1</t>
  </si>
  <si>
    <t>Zm00001eb052750</t>
  </si>
  <si>
    <t>Zm00001eb052750_T002</t>
  </si>
  <si>
    <t>Zm00001e005228</t>
  </si>
  <si>
    <t>5-methyltetrahydropteroyltriglutamate--homocysteine methyltransferase</t>
  </si>
  <si>
    <t>Zm00001eb234120</t>
  </si>
  <si>
    <t>Zm00001eb234120_T001</t>
  </si>
  <si>
    <t>Zm00001e013838</t>
  </si>
  <si>
    <t>hypothetical protein LOC100279570</t>
  </si>
  <si>
    <t>AT4G31800</t>
  </si>
  <si>
    <t>WRKY DNA-binding protein 18</t>
  </si>
  <si>
    <t>WRKY</t>
  </si>
  <si>
    <t>Zm00001eb074650</t>
  </si>
  <si>
    <t>Zm00001eb074650_T001</t>
  </si>
  <si>
    <t>Zm00001e007319</t>
  </si>
  <si>
    <t>AT3G56150</t>
  </si>
  <si>
    <t>eukaryotic translation initiation factor 3C</t>
  </si>
  <si>
    <t>Zm00001eb031650</t>
  </si>
  <si>
    <t>Zm00001eb031650_T001</t>
  </si>
  <si>
    <t>Zm00001e003224</t>
  </si>
  <si>
    <t>AT1G79030</t>
  </si>
  <si>
    <t>Zm00001eb203980</t>
  </si>
  <si>
    <t>Zm00001eb203980_T003</t>
  </si>
  <si>
    <t>Zm00001e024811</t>
  </si>
  <si>
    <t>hypothetical protein LOC100194071</t>
  </si>
  <si>
    <t>AT1G07780</t>
  </si>
  <si>
    <t>PAI1 (step 3)</t>
  </si>
  <si>
    <t>ManoÂ Y and Nemoto K. 2013</t>
  </si>
  <si>
    <t>phosphoribosylanthranilate isomerase 1</t>
  </si>
  <si>
    <t>Zm00001eb327450</t>
  </si>
  <si>
    <t>Zm00001eb327450_T001</t>
  </si>
  <si>
    <t>Zm00001e035549</t>
  </si>
  <si>
    <t>pnFL-2</t>
  </si>
  <si>
    <t>AT1G74950</t>
  </si>
  <si>
    <t>JAZ2</t>
  </si>
  <si>
    <t>TIFY domain/Divergent CCT motif family protein</t>
  </si>
  <si>
    <t>Zm00001eb208380</t>
  </si>
  <si>
    <t>Zm00001eb208380_T002</t>
  </si>
  <si>
    <t>Zm00001e025259</t>
  </si>
  <si>
    <t>hypothetical protein LOC100192883</t>
  </si>
  <si>
    <t>AT1G61680</t>
  </si>
  <si>
    <t>terpene synthase 14</t>
  </si>
  <si>
    <t>Zm00001eb244890</t>
  </si>
  <si>
    <t>Zm00001eb244890_T003</t>
  </si>
  <si>
    <t>Zm00001e014909</t>
  </si>
  <si>
    <t>Zm00001eb322340</t>
  </si>
  <si>
    <t>Zm00001eb322340_T001</t>
  </si>
  <si>
    <t>Zm00001e035067</t>
  </si>
  <si>
    <t>hypothetical protein LOC100191167</t>
  </si>
  <si>
    <t>AT3G15260</t>
  </si>
  <si>
    <t>Protein phosphatase 2C family protein</t>
  </si>
  <si>
    <t>Zm00001eb222320</t>
  </si>
  <si>
    <t>Zm00001eb222320_T001</t>
  </si>
  <si>
    <t>Zm00001e012735</t>
  </si>
  <si>
    <t>hypothetical protein LOC100274263</t>
  </si>
  <si>
    <t>AT2G33150</t>
  </si>
  <si>
    <t>KAT2</t>
  </si>
  <si>
    <t>Step8</t>
  </si>
  <si>
    <t>Cruz Castillo et al. 2004</t>
  </si>
  <si>
    <t>peroxisomal 3-ketoacyl-CoA thiolase 3</t>
  </si>
  <si>
    <t>Zm00001eb087080</t>
  </si>
  <si>
    <t>Zm00001eb087080_T001</t>
  </si>
  <si>
    <t>Zm00001e008557</t>
  </si>
  <si>
    <t>flowering promoting factor-like 1</t>
  </si>
  <si>
    <t>AT5G24860</t>
  </si>
  <si>
    <t>flowering promoting factor 1</t>
  </si>
  <si>
    <t>Zm00001eb306790</t>
  </si>
  <si>
    <t>Zm00001eb306790_T001</t>
  </si>
  <si>
    <t>Zm00001e033456</t>
  </si>
  <si>
    <t>undecaprenyl pyrophosphate synthetase</t>
  </si>
  <si>
    <t>AT5G58770</t>
  </si>
  <si>
    <t>Undecaprenyl pyrophosphate synthetase family protein</t>
  </si>
  <si>
    <t>Zm00001eb002000</t>
  </si>
  <si>
    <t>Zm00001eb002000_T004</t>
  </si>
  <si>
    <t>Zm00001e000199</t>
  </si>
  <si>
    <t>LOC100285852</t>
  </si>
  <si>
    <t>AT2G19260</t>
  </si>
  <si>
    <t>RING/FYVE/PHD zinc finger superfamily protein</t>
  </si>
  <si>
    <t>Zm00001eb006020</t>
  </si>
  <si>
    <t>Zm00001eb006020_T001</t>
  </si>
  <si>
    <t>Zm00001e000593</t>
  </si>
  <si>
    <t>LOC100283031 (pco065510b), mRNA</t>
  </si>
  <si>
    <t>AT2G26250</t>
  </si>
  <si>
    <t>3-ketoacyl-CoA synthase 10</t>
  </si>
  <si>
    <t>Zm00001eb000550</t>
  </si>
  <si>
    <t>Zm00001eb000550_T001</t>
  </si>
  <si>
    <t>Zm00001e000053</t>
  </si>
  <si>
    <t>LOC100281615</t>
  </si>
  <si>
    <t>AT3G61415</t>
  </si>
  <si>
    <t>SKP1-like 21</t>
  </si>
  <si>
    <t>Zm00001eb208120</t>
  </si>
  <si>
    <t>Zm00001eb208120_T001</t>
  </si>
  <si>
    <t>Zm00001e025229</t>
  </si>
  <si>
    <t>LOC100284923 (umc2551), mRNA</t>
  </si>
  <si>
    <t>AT2G43760</t>
  </si>
  <si>
    <t>molybdopterin biosynthesis MoaE family protein</t>
  </si>
  <si>
    <t>Zm00001eb223630</t>
  </si>
  <si>
    <t>Zm00001eb223630_T001</t>
  </si>
  <si>
    <t>Zm00001e012857</t>
  </si>
  <si>
    <t>Zm00001eb271480</t>
  </si>
  <si>
    <t>Zm00001eb271480_T001</t>
  </si>
  <si>
    <t>Zm00001e030087</t>
  </si>
  <si>
    <t>Caffeoyl-CoA O-methyltransferase 1 (EC 2.1.1.104)(Trans-caffeoyl-CoA 3-O-methyltransferase 1)(CCoAOMT-1)(CCoAMT-1)</t>
  </si>
  <si>
    <t>AT4G34050</t>
  </si>
  <si>
    <t>Zm00001eb075670</t>
  </si>
  <si>
    <t>Zm00001eb075670_T003</t>
  </si>
  <si>
    <t>Zm00001e007426</t>
  </si>
  <si>
    <t>hypothetical protein LOC100217183</t>
  </si>
  <si>
    <t>AT3G61220</t>
  </si>
  <si>
    <t>Zm00001eb281340</t>
  </si>
  <si>
    <t>Zm00001eb281340_T001</t>
  </si>
  <si>
    <t>Zm00001e031029</t>
  </si>
  <si>
    <t>thioredoxin reductase 2</t>
  </si>
  <si>
    <t>AT2G17420</t>
  </si>
  <si>
    <t>NADPH-dependent thioredoxin reductase A</t>
  </si>
  <si>
    <t>Zm00001eb247610</t>
  </si>
  <si>
    <t>Zm00001eb247610_T001</t>
  </si>
  <si>
    <t>Zm00001e015153</t>
  </si>
  <si>
    <t>phenylalanine ammonia-lyase</t>
  </si>
  <si>
    <t>AT3G53260</t>
  </si>
  <si>
    <t>PAL2</t>
  </si>
  <si>
    <t>Dempsey DA et al. 2013</t>
  </si>
  <si>
    <t>phenylalanine ammonia-lyase 2</t>
  </si>
  <si>
    <t>Zm00001eb293450</t>
  </si>
  <si>
    <t>Zm00001eb293450_T001</t>
  </si>
  <si>
    <t>Zm00001e032194</t>
  </si>
  <si>
    <t>hypothetical protein LOC100191664</t>
  </si>
  <si>
    <t>AT3G16520</t>
  </si>
  <si>
    <t>UDP-glucosyl transferase 88A1</t>
  </si>
  <si>
    <t>Zm00001eb404500</t>
  </si>
  <si>
    <t>Zm00001eb404500_T001</t>
  </si>
  <si>
    <t>Zm00001e039129</t>
  </si>
  <si>
    <t>LOC100280451</t>
  </si>
  <si>
    <t>AT2G45010</t>
  </si>
  <si>
    <t>Zm00001eb160830</t>
  </si>
  <si>
    <t>Zm00001eb160830_T001</t>
  </si>
  <si>
    <t>Zm00001e020572</t>
  </si>
  <si>
    <t>cytosolic aldehyde dehydrogenase RF2D</t>
  </si>
  <si>
    <t>Zm00001eb167770</t>
  </si>
  <si>
    <t>Zm00001eb167770_T001</t>
  </si>
  <si>
    <t>Zm00001e021258</t>
  </si>
  <si>
    <t>hypothetical protein LOC100279161</t>
  </si>
  <si>
    <t>Zm00001eb002950</t>
  </si>
  <si>
    <t>Zm00001eb002950_T001</t>
  </si>
  <si>
    <t>Zm00001e000303</t>
  </si>
  <si>
    <t>glutathione transferase31</t>
  </si>
  <si>
    <t>Zm00001eb339970</t>
  </si>
  <si>
    <t>Zm00001eb339970_T001</t>
  </si>
  <si>
    <t>Zm00001e026179</t>
  </si>
  <si>
    <t>embryonic abundant protein-like</t>
  </si>
  <si>
    <t>AT2G41380</t>
  </si>
  <si>
    <t>Zm00001eb215220</t>
  </si>
  <si>
    <t>Zm00001eb215220_T002</t>
  </si>
  <si>
    <t>Zm00001e012070</t>
  </si>
  <si>
    <t>AT5G05920</t>
  </si>
  <si>
    <t>deoxyhypusine synthase</t>
  </si>
  <si>
    <t>Zm00001eb281090</t>
  </si>
  <si>
    <t>Zm00001eb281090_T001</t>
  </si>
  <si>
    <t>Zm00001e031005</t>
  </si>
  <si>
    <t>hypothetical protein LOC100382142</t>
  </si>
  <si>
    <t>AT3G53810</t>
  </si>
  <si>
    <t>Concanavalin A-like lectin protein kinase family protein</t>
  </si>
  <si>
    <t>Zm00001eb107700</t>
  </si>
  <si>
    <t>Zm00001eb107700_T001</t>
  </si>
  <si>
    <t>Zm00001e010624</t>
  </si>
  <si>
    <t>hypothetical protein LOC100384530</t>
  </si>
  <si>
    <t>AT1G21070</t>
  </si>
  <si>
    <t>Nucleotide-sugar transporter family protein</t>
  </si>
  <si>
    <t>Zm00001eb427500</t>
  </si>
  <si>
    <t>Zm00001eb427500_T001</t>
  </si>
  <si>
    <t>Zm00001e041324</t>
  </si>
  <si>
    <t>SAUR11 - auxin-responsive SAUR family member</t>
  </si>
  <si>
    <t>AT3G60690</t>
  </si>
  <si>
    <t>SAUR-like auxin-responsive protein family</t>
  </si>
  <si>
    <t>Zm00001eb087570</t>
  </si>
  <si>
    <t>Zm00001eb087570_T002</t>
  </si>
  <si>
    <t>Zm00001e008618</t>
  </si>
  <si>
    <t>AT3G25810</t>
  </si>
  <si>
    <t>Terpenoid cyclases/Protein prenyltransferases superfamily protein</t>
  </si>
  <si>
    <t>Zm00001eb394630</t>
  </si>
  <si>
    <t>Zm00001eb394630_T002</t>
  </si>
  <si>
    <t>Zm00001e038195</t>
  </si>
  <si>
    <t>hypothetical protein LOC100273144</t>
  </si>
  <si>
    <t>Zm00001eb033910</t>
  </si>
  <si>
    <t>Zm00001eb033910_T001</t>
  </si>
  <si>
    <t>Zm00001e003436</t>
  </si>
  <si>
    <t>LOC100285814</t>
  </si>
  <si>
    <t>AT1G56170</t>
  </si>
  <si>
    <t>nuclear factor Y, subunit C2</t>
  </si>
  <si>
    <t>NF-YC</t>
  </si>
  <si>
    <t>Zm00001eb145640</t>
  </si>
  <si>
    <t>Zm00001eb145640_T001</t>
  </si>
  <si>
    <t>Zm00001e019054</t>
  </si>
  <si>
    <t>AT1G21610</t>
  </si>
  <si>
    <t>wound-responsive family protein</t>
  </si>
  <si>
    <t>Zm00001eb230410</t>
  </si>
  <si>
    <t>Zm00001eb230410_T001</t>
  </si>
  <si>
    <t>Zm00001e013496</t>
  </si>
  <si>
    <t>terpene synthase 2</t>
  </si>
  <si>
    <t>Zm00001eb250120</t>
  </si>
  <si>
    <t>Zm00001eb250120_T001</t>
  </si>
  <si>
    <t>Zm00001e015385</t>
  </si>
  <si>
    <t>dehydrin COR410</t>
  </si>
  <si>
    <t>AT1G20440</t>
  </si>
  <si>
    <t>cold-regulated 47</t>
  </si>
  <si>
    <t>Zm00001eb256180</t>
  </si>
  <si>
    <t>Zm00001eb256180_T001</t>
  </si>
  <si>
    <t>Zm00001e015977</t>
  </si>
  <si>
    <t>SAUR12 - auxin-responsive SAUR family member</t>
  </si>
  <si>
    <t>AT2G46690</t>
  </si>
  <si>
    <t>Zm00001eb204540</t>
  </si>
  <si>
    <t>Zm00001eb204540_T003</t>
  </si>
  <si>
    <t>Zm00001e024875</t>
  </si>
  <si>
    <t>potassium channel3</t>
  </si>
  <si>
    <t>AT4G18290</t>
  </si>
  <si>
    <t>potassium channel in Arabidopsis thaliana 2</t>
  </si>
  <si>
    <t>Zm00001eb273420</t>
  </si>
  <si>
    <t>Zm00001eb267640</t>
  </si>
  <si>
    <t>Zm00001eb267640_T001</t>
  </si>
  <si>
    <t>Zm00001e029717</t>
  </si>
  <si>
    <t>hypothetical protein LOC100191288</t>
  </si>
  <si>
    <t>AT5G38020</t>
  </si>
  <si>
    <t>Zm00001eb428410</t>
  </si>
  <si>
    <t>Zm00001eb428410_T001</t>
  </si>
  <si>
    <t>Zm00001e041404</t>
  </si>
  <si>
    <t>hypothetical protein LOC100277728</t>
  </si>
  <si>
    <t>AT1G32700</t>
  </si>
  <si>
    <t>PLATZ transcription factor family protein</t>
  </si>
  <si>
    <t>Zm00001eb117180</t>
  </si>
  <si>
    <t>Zm00001eb117180_T001</t>
  </si>
  <si>
    <t>Zm00001e011478</t>
  </si>
  <si>
    <t>cylicin-1</t>
  </si>
  <si>
    <t>Zm00001eb161360</t>
  </si>
  <si>
    <t>Zm00001eb161360_T002</t>
  </si>
  <si>
    <t>Zm00001e020623</t>
  </si>
  <si>
    <t>LOC100281893</t>
  </si>
  <si>
    <t>AT4G29530</t>
  </si>
  <si>
    <t>Pyridoxal phosphate phosphatase-related protein</t>
  </si>
  <si>
    <t>Zm00001eb428810</t>
  </si>
  <si>
    <t>Zm00001eb428810_T001</t>
  </si>
  <si>
    <t>Zm00001e041442</t>
  </si>
  <si>
    <t>AT5G52190</t>
  </si>
  <si>
    <t>Sugar isomerase (SIS) family protein</t>
  </si>
  <si>
    <t>Zm00001eb121990</t>
  </si>
  <si>
    <t>Zm00001eb121990_T002</t>
  </si>
  <si>
    <t>Zm00001e016661</t>
  </si>
  <si>
    <t>1-aminocyclopropane-1-carboxylate oxidase</t>
  </si>
  <si>
    <t>AT1G03400</t>
  </si>
  <si>
    <t>Zm00001eb138510</t>
  </si>
  <si>
    <t>Zm00001eb138510_T001</t>
  </si>
  <si>
    <t>Zm00001e018378</t>
  </si>
  <si>
    <t>hypothetical protein LOC100276191</t>
  </si>
  <si>
    <t>Zm00001eb393630</t>
  </si>
  <si>
    <t>Zm00001eb393630_T001</t>
  </si>
  <si>
    <t>Zm00001e038091</t>
  </si>
  <si>
    <t>LOC100281071</t>
  </si>
  <si>
    <t>AT1G63830</t>
  </si>
  <si>
    <t>Zm00001eb435130</t>
  </si>
  <si>
    <t>Zm00001eb435130_T001</t>
  </si>
  <si>
    <t>Zm00001e042090</t>
  </si>
  <si>
    <t>NAD(P)H-quinone oxidoreductase subunit 2 B, chloroplastic (EC 1.6.5.-)(NAD(P)H dehydrogenase, subunit 2 B)(NADH-plastoquinone oxidoreductase subunit 2 B)</t>
  </si>
  <si>
    <t>ATCG00900</t>
  </si>
  <si>
    <t>Ribosomal protein S7p/S5e family protein</t>
  </si>
  <si>
    <t>Zm00001eb162430</t>
  </si>
  <si>
    <t>Zm00001eb162430_T001</t>
  </si>
  <si>
    <t>Zm00001e020733</t>
  </si>
  <si>
    <t>hypothetical protein LOC100191256</t>
  </si>
  <si>
    <t>Zm00001eb110020</t>
  </si>
  <si>
    <t>Zm00001eb110020_T001</t>
  </si>
  <si>
    <t>Zm00001e010838</t>
  </si>
  <si>
    <t>CBL-interacting serine/threonine-protein kinase 1</t>
  </si>
  <si>
    <t>AT3G17510</t>
  </si>
  <si>
    <t>CBL-interacting protein kinase 1</t>
  </si>
  <si>
    <t>Zm00001eb301150</t>
  </si>
  <si>
    <t>Zm00001eb301150_T004</t>
  </si>
  <si>
    <t>Zm00001e032913</t>
  </si>
  <si>
    <t>AT3G57280</t>
  </si>
  <si>
    <t>Transmembrane proteins 14C</t>
  </si>
  <si>
    <t>Zm00001eb012580</t>
  </si>
  <si>
    <t>Zm00001eb012580_T001</t>
  </si>
  <si>
    <t>Zm00001e001241</t>
  </si>
  <si>
    <t>hypothetical protein LOC100191862</t>
  </si>
  <si>
    <t>AT2G28760</t>
  </si>
  <si>
    <t>UDP-XYL synthase 6</t>
  </si>
  <si>
    <t>Zm00001eb185250</t>
  </si>
  <si>
    <t>Zm00001eb185250_T001</t>
  </si>
  <si>
    <t>Zm00001e023032</t>
  </si>
  <si>
    <t>Zm00001eb298310</t>
  </si>
  <si>
    <t>Zm00001eb298310_T002</t>
  </si>
  <si>
    <t>Zm00001e032664</t>
  </si>
  <si>
    <t>monosaccharide transporter1</t>
  </si>
  <si>
    <t>AT1G11260</t>
  </si>
  <si>
    <t>sugar transporter 1</t>
  </si>
  <si>
    <t>Zm00001eb214540</t>
  </si>
  <si>
    <t>Zm00001eb214540_T001</t>
  </si>
  <si>
    <t>Zm00001e012009</t>
  </si>
  <si>
    <t>hypothetical protein LOC100191751</t>
  </si>
  <si>
    <t>AT5G15410</t>
  </si>
  <si>
    <t>Cyclic nucleotide-regulated ion channel family protein</t>
  </si>
  <si>
    <t>Zm00001eb322130</t>
  </si>
  <si>
    <t>Zm00001eb322130_T002</t>
  </si>
  <si>
    <t>Zm00001e035047</t>
  </si>
  <si>
    <t>AT3G07040</t>
  </si>
  <si>
    <t>NB-ARC domain-containing disease resistance protein</t>
  </si>
  <si>
    <t>Zm00001eb055450</t>
  </si>
  <si>
    <t>Zm00001eb055450_T001</t>
  </si>
  <si>
    <t>Zm00001e005498</t>
  </si>
  <si>
    <t>hypothetical protein LOC100381461 (LOC100381461), mRNA</t>
  </si>
  <si>
    <t>AT1G73460</t>
  </si>
  <si>
    <t>Zm00001eb320210</t>
  </si>
  <si>
    <t>Zm00001eb320210_T001</t>
  </si>
  <si>
    <t>Zm00001e034866</t>
  </si>
  <si>
    <t>hypothetical protein LOC100276030</t>
  </si>
  <si>
    <t>AT4G22850</t>
  </si>
  <si>
    <t>SNARE associated Golgi protein family</t>
  </si>
  <si>
    <t>Zm00001eb238670</t>
  </si>
  <si>
    <t>Zm00001eb238670_T001</t>
  </si>
  <si>
    <t>Zm00001e014333</t>
  </si>
  <si>
    <t>phosphoenolpyruvate carboxylase</t>
  </si>
  <si>
    <t>AT3G14940</t>
  </si>
  <si>
    <t>phosphoenolpyruvate carboxylase 3</t>
  </si>
  <si>
    <t>Zm00001eb403430</t>
  </si>
  <si>
    <t>Zm00001eb403430_T005</t>
  </si>
  <si>
    <t>Zm00001e039017</t>
  </si>
  <si>
    <t>hypothetical protein LOC100194097</t>
  </si>
  <si>
    <t>AT3G47910</t>
  </si>
  <si>
    <t>Ubiquitin carboxyl-terminal hydrolase-related protein</t>
  </si>
  <si>
    <t>Zm00001eb248440</t>
  </si>
  <si>
    <t>Zm00001eb248440_T002</t>
  </si>
  <si>
    <t>Zm00001e015224</t>
  </si>
  <si>
    <t>hypothetical protein LOC100193747</t>
  </si>
  <si>
    <t>AT3G15470</t>
  </si>
  <si>
    <t>Transducin/WD40 repeat-like superfamily protein</t>
  </si>
  <si>
    <t>Zm00001eb242740</t>
  </si>
  <si>
    <t>Zm00001eb242740_T001</t>
  </si>
  <si>
    <t>Zm00001e014724</t>
  </si>
  <si>
    <t>catalytic/ hydrolase</t>
  </si>
  <si>
    <t>AT2G36290</t>
  </si>
  <si>
    <t>Zm00001eb127310</t>
  </si>
  <si>
    <t>Zm00001eb127310_T001</t>
  </si>
  <si>
    <t>Zm00001e017215</t>
  </si>
  <si>
    <t>LOC100037813</t>
  </si>
  <si>
    <t>AT1G72060</t>
  </si>
  <si>
    <t>serine-type endopeptidase inhibitors</t>
  </si>
  <si>
    <t>Zm00001eb052890</t>
  </si>
  <si>
    <t>Zm00001eb052890_T001</t>
  </si>
  <si>
    <t>Zm00001e005248</t>
  </si>
  <si>
    <t>Nicotianamine synthase 3</t>
  </si>
  <si>
    <t>AT1G56430</t>
  </si>
  <si>
    <t>nicotianamine synthase 4</t>
  </si>
  <si>
    <t>Zm00001eb152390</t>
  </si>
  <si>
    <t>Zm00001eb152390_T001</t>
  </si>
  <si>
    <t>Zm00001e019741</t>
  </si>
  <si>
    <t>peptide transporter PTR2</t>
  </si>
  <si>
    <t>AT1G52190</t>
  </si>
  <si>
    <t>Major facilitator superfamily protein</t>
  </si>
  <si>
    <t>Zm00001eb406030</t>
  </si>
  <si>
    <t>Zm00001eb406030_T001</t>
  </si>
  <si>
    <t>Zm00001e039309</t>
  </si>
  <si>
    <t>AT2G46400</t>
  </si>
  <si>
    <t>WRKY DNA-binding protein 46</t>
  </si>
  <si>
    <t>Zm00001eb217190</t>
  </si>
  <si>
    <t>Zm00001eb217190_T002</t>
  </si>
  <si>
    <t>Zm00001e012269</t>
  </si>
  <si>
    <t>hypothetical protein LOC100191455</t>
  </si>
  <si>
    <t>AT5G62680</t>
  </si>
  <si>
    <t>Zm00001eb072600</t>
  </si>
  <si>
    <t>Zm00001eb072600_T001</t>
  </si>
  <si>
    <t>Zm00001e007119</t>
  </si>
  <si>
    <t>AT1G44750</t>
  </si>
  <si>
    <t>purine permease 11</t>
  </si>
  <si>
    <t>Zm00001eb106890</t>
  </si>
  <si>
    <t>Zm00001eb106890_T001</t>
  </si>
  <si>
    <t>Zm00001e010552</t>
  </si>
  <si>
    <t>AT5G54280</t>
  </si>
  <si>
    <t>myosin 2</t>
  </si>
  <si>
    <t>Zm00001eb230820</t>
  </si>
  <si>
    <t>Zm00001eb230820_T001</t>
  </si>
  <si>
    <t>Zm00001e013522</t>
  </si>
  <si>
    <t>hypothetical protein LOC100272936</t>
  </si>
  <si>
    <t>AT5G47120</t>
  </si>
  <si>
    <t>BAX inhibitor 1</t>
  </si>
  <si>
    <t>Zm00001eb141450</t>
  </si>
  <si>
    <t>Zm00001eb141450_T001</t>
  </si>
  <si>
    <t>Zm00001e018676</t>
  </si>
  <si>
    <t>hypothetical protein LOC100279939</t>
  </si>
  <si>
    <t>Zm00001eb298990</t>
  </si>
  <si>
    <t>Zm00001eb298990_T001</t>
  </si>
  <si>
    <t>Zm00001e032730</t>
  </si>
  <si>
    <t>myb-like DNA-binding domain, SHAQKYF class family protein</t>
  </si>
  <si>
    <t>AT2G03500</t>
  </si>
  <si>
    <t>Homeodomain-like superfamily protein</t>
  </si>
  <si>
    <t>G2-like</t>
  </si>
  <si>
    <t>Zm00001eb041700</t>
  </si>
  <si>
    <t>Zm00001eb041700_T001</t>
  </si>
  <si>
    <t>Zm00001e004152</t>
  </si>
  <si>
    <t>LOC100280958</t>
  </si>
  <si>
    <t>AT1G22360</t>
  </si>
  <si>
    <t>UDP-glucosyl transferase 85A2</t>
  </si>
  <si>
    <t>Zm00001eb375730</t>
  </si>
  <si>
    <t>Zm00001eb375730_T003</t>
  </si>
  <si>
    <t>Zm00001e036415</t>
  </si>
  <si>
    <t>AT1G45688</t>
  </si>
  <si>
    <t>unknown protein; FUNCTIONS IN: molecular_function unknown; INVOLVED IN: biological_process unknown; LOCATED IN: plasma membrane; EXPRESSED IN: 22 plant structures; EXPRESSED DURING: 13 growth stages; BEST Arabidopsis thaliana protein match is: unknown protein (TAIR:AT5G42860.1); Has 258 Blast hits to 242 proteins in 39 species: Archae - 0; Bacteria - 11; Metazoa - 10; Fungi - 14; Plants - 198; Viruses - 17; Other Eukaryotes - 8 (source: NCBI BLink).</t>
  </si>
  <si>
    <t>Zm00001eb016180</t>
  </si>
  <si>
    <t>Zm00001eb016180_T001</t>
  </si>
  <si>
    <t>Zm00001e001595</t>
  </si>
  <si>
    <t>hypothetical protein LOC100193952</t>
  </si>
  <si>
    <t>AT5G58380</t>
  </si>
  <si>
    <t>SOS3-interacting protein 1</t>
  </si>
  <si>
    <t>Zm00001eb398940</t>
  </si>
  <si>
    <t>Zm00001eb398940_T001</t>
  </si>
  <si>
    <t>Zm00001e038603</t>
  </si>
  <si>
    <t>hypothetical protein LOC100191434</t>
  </si>
  <si>
    <t>AT2G17840</t>
  </si>
  <si>
    <t>Senescence/dehydration-associated protein-related</t>
  </si>
  <si>
    <t>Zm00001eb360250</t>
  </si>
  <si>
    <t>Zm00001eb360250_T002</t>
  </si>
  <si>
    <t>Zm00001e028059</t>
  </si>
  <si>
    <t>hypothetical protein LOC100193994</t>
  </si>
  <si>
    <t>AT2G22670</t>
  </si>
  <si>
    <t>Aux/IAA8</t>
  </si>
  <si>
    <t>Shimizu-Mitao Y and Kakimoto T 2021</t>
  </si>
  <si>
    <t>indoleacetic acid-induced protein 8</t>
  </si>
  <si>
    <t>Zm00001eb176620</t>
  </si>
  <si>
    <t>Zm00001eb176620_T002</t>
  </si>
  <si>
    <t>Zm00001e022127</t>
  </si>
  <si>
    <t>carbonic anhydrase</t>
  </si>
  <si>
    <t>AT1G08080</t>
  </si>
  <si>
    <t>alpha carbonic anhydrase 7</t>
  </si>
  <si>
    <t>Zm00001eb180680</t>
  </si>
  <si>
    <t>Zm00001eb180680_T004</t>
  </si>
  <si>
    <t>Zm00001e022566</t>
  </si>
  <si>
    <t>hypothetical protein LOC100381948</t>
  </si>
  <si>
    <t>AT3G26670</t>
  </si>
  <si>
    <t>Protein of unknown function (DUF803)</t>
  </si>
  <si>
    <t>Zm00001eb018810</t>
  </si>
  <si>
    <t>Zm00001eb018810_T001</t>
  </si>
  <si>
    <t>Zm00001e001866</t>
  </si>
  <si>
    <t>AT2G38770</t>
  </si>
  <si>
    <t>Zm00001eb041600</t>
  </si>
  <si>
    <t>Zm00001eb041600_T002</t>
  </si>
  <si>
    <t>Zm00001e004144</t>
  </si>
  <si>
    <t>transmembrane protein PFT27</t>
  </si>
  <si>
    <t>AT1G68650</t>
  </si>
  <si>
    <t>Uncharacterized protein family (UPF0016)</t>
  </si>
  <si>
    <t>Zm00001eb346580</t>
  </si>
  <si>
    <t>Zm00001eb346580_T001</t>
  </si>
  <si>
    <t>Zm00001e026796</t>
  </si>
  <si>
    <t>Zm00001eb046920</t>
  </si>
  <si>
    <t>Zm00001eb046920_T001</t>
  </si>
  <si>
    <t>Zm00001e004673</t>
  </si>
  <si>
    <t>glycine-rich cell wall structural protein 2</t>
  </si>
  <si>
    <t>Zm00001eb033440</t>
  </si>
  <si>
    <t>Zm00001eb033440_T001</t>
  </si>
  <si>
    <t>Zm00001e003389</t>
  </si>
  <si>
    <t>hypothetical protein LOC100191824</t>
  </si>
  <si>
    <t>AT2G32300</t>
  </si>
  <si>
    <t>uclacyanin 1</t>
  </si>
  <si>
    <t>Zm00001eb107990</t>
  </si>
  <si>
    <t>Zm00001eb107990_T001</t>
  </si>
  <si>
    <t>Zm00001e010652</t>
  </si>
  <si>
    <t>hypothetical protein LOC100216813</t>
  </si>
  <si>
    <t>Zm00001eb087860</t>
  </si>
  <si>
    <t>Zm00001eb087860_T001</t>
  </si>
  <si>
    <t>Zm00001e008647</t>
  </si>
  <si>
    <t>Zm00001eb129440</t>
  </si>
  <si>
    <t>Zm00001eb129440_T001</t>
  </si>
  <si>
    <t>Zm00001e017425</t>
  </si>
  <si>
    <t>hypothetical protein LOC100273935</t>
  </si>
  <si>
    <t>AT1G09560</t>
  </si>
  <si>
    <t>germin-like protein 5</t>
  </si>
  <si>
    <t>Zm00001eb217590</t>
  </si>
  <si>
    <t>Zm00001eb217590_T001</t>
  </si>
  <si>
    <t>Zm00001e012302</t>
  </si>
  <si>
    <t>hypothetical protein LOC100279034</t>
  </si>
  <si>
    <t>Zm00001eb140660</t>
  </si>
  <si>
    <t>Zm00001eb140660_T001</t>
  </si>
  <si>
    <t>Zm00001e018585</t>
  </si>
  <si>
    <t>LOC100282318</t>
  </si>
  <si>
    <t>Zm00001eb006000</t>
  </si>
  <si>
    <t>Zm00001eb006000_T001</t>
  </si>
  <si>
    <t>Zm00001e000590</t>
  </si>
  <si>
    <t>ZIM motif family protein</t>
  </si>
  <si>
    <t>Zm00001eb185400</t>
  </si>
  <si>
    <t>Zm00001eb185400_T001</t>
  </si>
  <si>
    <t>Zm00001e023054</t>
  </si>
  <si>
    <t>hypothetical protein LOC100193626</t>
  </si>
  <si>
    <t>AT2G16500</t>
  </si>
  <si>
    <t>arginine decarboxylase 1</t>
  </si>
  <si>
    <t>Zm00001eb428470</t>
  </si>
  <si>
    <t>Zm00001eb428470_T001</t>
  </si>
  <si>
    <t>Zm00001e041411</t>
  </si>
  <si>
    <t>beta-carotene hydroxylase</t>
  </si>
  <si>
    <t>AT4G25700</t>
  </si>
  <si>
    <t>beta-hydroxylase 1</t>
  </si>
  <si>
    <t>Zm00001eb318230</t>
  </si>
  <si>
    <t>Zm00001eb318230_T002</t>
  </si>
  <si>
    <t>Zm00001e034678</t>
  </si>
  <si>
    <t>AT3G03310</t>
  </si>
  <si>
    <t>lecithin:cholesterol acyltransferase 3</t>
  </si>
  <si>
    <t>Zm00001eb278060</t>
  </si>
  <si>
    <t>Zm00001eb278060_T001</t>
  </si>
  <si>
    <t>Zm00001e030713</t>
  </si>
  <si>
    <t>GAMYB-binding protein</t>
  </si>
  <si>
    <t>AT3G61600</t>
  </si>
  <si>
    <t>POZ/BTB containin G-protein 1</t>
  </si>
  <si>
    <t>Zm00001eb382100</t>
  </si>
  <si>
    <t>Zm00001eb382100_T001</t>
  </si>
  <si>
    <t>Zm00001e036969</t>
  </si>
  <si>
    <t>AT5G52450</t>
  </si>
  <si>
    <t>Zm00001eb127940</t>
  </si>
  <si>
    <t>Zm00001eb127940_T004</t>
  </si>
  <si>
    <t>Zm00001e017278</t>
  </si>
  <si>
    <t>hypothetical protein LOC100384084</t>
  </si>
  <si>
    <t>AT1G55550</t>
  </si>
  <si>
    <t>Zm00001eb313510</t>
  </si>
  <si>
    <t>Zm00001eb313510_T005</t>
  </si>
  <si>
    <t>Zm00001e034209</t>
  </si>
  <si>
    <t>glossy1</t>
  </si>
  <si>
    <t>AT5G57800</t>
  </si>
  <si>
    <t>Fatty acid hydroxylase superfamily</t>
  </si>
  <si>
    <t>Zm00001eb348520</t>
  </si>
  <si>
    <t>Zm00001eb348520_T001</t>
  </si>
  <si>
    <t>Zm00001e026984</t>
  </si>
  <si>
    <t>hypothetical protein LOC100272302</t>
  </si>
  <si>
    <t>AT2G46860</t>
  </si>
  <si>
    <t>pyrophosphorylase 3</t>
  </si>
  <si>
    <t>Zm00001eb397190</t>
  </si>
  <si>
    <t>Zm00001eb397190_T005</t>
  </si>
  <si>
    <t>Zm00001e038436</t>
  </si>
  <si>
    <t>AT3G45640</t>
  </si>
  <si>
    <t>mitogen-activated protein kinase 3</t>
  </si>
  <si>
    <t>Zm00001eb363630</t>
  </si>
  <si>
    <t>Zm00001eb363630_T001</t>
  </si>
  <si>
    <t>Zm00001e028383</t>
  </si>
  <si>
    <t>LOC100282506</t>
  </si>
  <si>
    <t>Zm00001eb182770</t>
  </si>
  <si>
    <t>Zm00001eb182770_T001</t>
  </si>
  <si>
    <t>Zm00001e022781</t>
  </si>
  <si>
    <t>AT4G33565</t>
  </si>
  <si>
    <t>Zm00001eb062180</t>
  </si>
  <si>
    <t>Zm00001eb062180_T003</t>
  </si>
  <si>
    <t>Zm00001e006137</t>
  </si>
  <si>
    <t>Methylenetetrahydrofolate reductase 1 (EC 1.5.1.20)(ZmMTHFR1)</t>
  </si>
  <si>
    <t>AT2G44160</t>
  </si>
  <si>
    <t>methylenetetrahydrofolate reductase 2</t>
  </si>
  <si>
    <t>Zm00001eb185470</t>
  </si>
  <si>
    <t>Zm00001eb185470_T001</t>
  </si>
  <si>
    <t>Zm00001e023058</t>
  </si>
  <si>
    <t>lysosomal protective protein</t>
  </si>
  <si>
    <t>Zm00001eb281400</t>
  </si>
  <si>
    <t>Zm00001eb281400_T001</t>
  </si>
  <si>
    <t>Zm00001e031033</t>
  </si>
  <si>
    <t>AT3G25680</t>
  </si>
  <si>
    <t>FUNCTIONS IN: molecular_function unknown; INVOLVED IN: biological_process unknown; LOCATED IN: chloroplast; EXPRESSED IN: 21 plant structures; EXPRESSED DURING: 13 growth stages; CONTAINS InterPro DOMAIN/s: S-layer homology domain (InterPro:IPR001119); BEST Arabidopsis thaliana protein match is: unknown protein (TAIR:AT5G23890.1); Has 2454 Blast hits to 2065 proteins in 355 species: Archae - 39; Bacteria - 284; Metazoa - 1081; Fungi - 166; Plants - 264; Viruses - 45; Other Eukaryotes - 575 (source: NCBI BLink).</t>
  </si>
  <si>
    <t>Zm00001eb315650</t>
  </si>
  <si>
    <t>Zm00001eb315650_T001</t>
  </si>
  <si>
    <t>Zm00001e034426</t>
  </si>
  <si>
    <t>Blue copper protein</t>
  </si>
  <si>
    <t>AT1G72230</t>
  </si>
  <si>
    <t>Cupredoxin superfamily protein</t>
  </si>
  <si>
    <t>Zm00001eb381530</t>
  </si>
  <si>
    <t>Zm00001eb381530_T001</t>
  </si>
  <si>
    <t>Zm00001e036916</t>
  </si>
  <si>
    <t>AT4G28320</t>
  </si>
  <si>
    <t>Glycosyl hydrolase superfamily protein</t>
  </si>
  <si>
    <t>Zm00001eb362250</t>
  </si>
  <si>
    <t>Zm00001eb362250_T002</t>
  </si>
  <si>
    <t>Zm00001e028259</t>
  </si>
  <si>
    <t>hypothetical protein LOC100216924</t>
  </si>
  <si>
    <t>Zm00001eb168920</t>
  </si>
  <si>
    <t>Zm00001eb168920_T003</t>
  </si>
  <si>
    <t>Zm00001e021369</t>
  </si>
  <si>
    <t>LOC100281721</t>
  </si>
  <si>
    <t>AT1G21380</t>
  </si>
  <si>
    <t>Target of Myb protein 1</t>
  </si>
  <si>
    <t>Zm00001eb251010</t>
  </si>
  <si>
    <t>Zm00001eb251010_T001</t>
  </si>
  <si>
    <t>Zm00001e015473</t>
  </si>
  <si>
    <t>S-ribonuclease binding protein SBP1</t>
  </si>
  <si>
    <t>AT1G32740</t>
  </si>
  <si>
    <t>Zm00001eb109570</t>
  </si>
  <si>
    <t>Zm00001eb109570_T001</t>
  </si>
  <si>
    <t>Zm00001e010801</t>
  </si>
  <si>
    <t>hypothetical protein LOC100279424</t>
  </si>
  <si>
    <t>AT2G22475</t>
  </si>
  <si>
    <t>GRAM domain family protein</t>
  </si>
  <si>
    <t>Zm00001eb338370</t>
  </si>
  <si>
    <t>Zm00001eb338370_T005</t>
  </si>
  <si>
    <t>Zm00001e026032</t>
  </si>
  <si>
    <t>AT1G53210</t>
  </si>
  <si>
    <t>sodium/calcium exchanger family protein / calcium-binding EF hand family protein</t>
  </si>
  <si>
    <t>Zm00001eb348660</t>
  </si>
  <si>
    <t>Zm00001eb348660_T001</t>
  </si>
  <si>
    <t>Zm00001e026996</t>
  </si>
  <si>
    <t>hypothetical protein LOC100274472</t>
  </si>
  <si>
    <t>AT2G22250</t>
  </si>
  <si>
    <t>aspartate aminotransferase</t>
  </si>
  <si>
    <t>Zm00001eb131440</t>
  </si>
  <si>
    <t>Zm00001eb131440_T001</t>
  </si>
  <si>
    <t>Zm00001e017606</t>
  </si>
  <si>
    <t>hypothetical protein LOC100193175</t>
  </si>
  <si>
    <t>Zm00001eb273460</t>
  </si>
  <si>
    <t>Zm00001eb273460_T001</t>
  </si>
  <si>
    <t>Zm00001e030285</t>
  </si>
  <si>
    <t>AT5G67230</t>
  </si>
  <si>
    <t>Nucleotide-diphospho-sugar transferases superfamily protein</t>
  </si>
  <si>
    <t>Zm00001eb243530</t>
  </si>
  <si>
    <t>Zm00001eb243530_T002</t>
  </si>
  <si>
    <t>Zm00001e014799</t>
  </si>
  <si>
    <t>AT1G10950</t>
  </si>
  <si>
    <t>transmembrane nine 1</t>
  </si>
  <si>
    <t>Zm00001eb103800</t>
  </si>
  <si>
    <t>Zm00001eb103800_T002</t>
  </si>
  <si>
    <t>Zm00001e010257</t>
  </si>
  <si>
    <t>hypothetical protein LOC100272979</t>
  </si>
  <si>
    <t>AT5G66120</t>
  </si>
  <si>
    <t>3-dehydroquinate synthase, putative</t>
  </si>
  <si>
    <t>Zm00001eb303190</t>
  </si>
  <si>
    <t>Zm00001eb303190_T001</t>
  </si>
  <si>
    <t>Zm00001e033100</t>
  </si>
  <si>
    <t>alkaline alpha galactosidase 1</t>
  </si>
  <si>
    <t>AT3G57520</t>
  </si>
  <si>
    <t>seed imbibition 2</t>
  </si>
  <si>
    <t>Zm00001eb323920</t>
  </si>
  <si>
    <t>Zm00001eb323920_T001</t>
  </si>
  <si>
    <t>Zm00001e035221</t>
  </si>
  <si>
    <t>nucleoside transporter</t>
  </si>
  <si>
    <t>AT4G05120</t>
  </si>
  <si>
    <t>ENT3</t>
  </si>
  <si>
    <t>transport</t>
  </si>
  <si>
    <t>Hirose et al. 2005, 2008</t>
  </si>
  <si>
    <t>Zm00001eb050070</t>
  </si>
  <si>
    <t>Zm00001eb050070_T001</t>
  </si>
  <si>
    <t>Zm00001e004982</t>
  </si>
  <si>
    <t>LOC100283806</t>
  </si>
  <si>
    <t>AT5G08030</t>
  </si>
  <si>
    <t>PLC-like phosphodiesterases superfamily protein</t>
  </si>
  <si>
    <t>Zm00001eb247660</t>
  </si>
  <si>
    <t>Zm00001eb247660_T001</t>
  </si>
  <si>
    <t>Zm00001e015157</t>
  </si>
  <si>
    <t>hypothetical protein LOC100381820</t>
  </si>
  <si>
    <t>Zm00001eb168950</t>
  </si>
  <si>
    <t>Zm00001eb168950_T001</t>
  </si>
  <si>
    <t>Zm00001e021371</t>
  </si>
  <si>
    <t>AT1G76980</t>
  </si>
  <si>
    <t>BEST Arabidopsis thaliana protein match is: embryo defective 2170 (TAIR:AT1G21390.1); Has 65 Blast hits to 65 proteins in 23 species: Archae - 0; Bacteria - 8; Metazoa - 1; Fungi - 8; Plants - 40; Viruses - 3; Other Eukaryotes - 5 (source: NCBI BLink).</t>
  </si>
  <si>
    <t>Zm00001eb327350</t>
  </si>
  <si>
    <t>Zm00001eb327350_T001</t>
  </si>
  <si>
    <t>Zm00001e035539</t>
  </si>
  <si>
    <t>AT2G05940</t>
  </si>
  <si>
    <t>Zm00001eb311910</t>
  </si>
  <si>
    <t>Zm00001eb311910_T004</t>
  </si>
  <si>
    <t>Zm00001e034048</t>
  </si>
  <si>
    <t>AT1G05030</t>
  </si>
  <si>
    <t>Zm00001eb295310</t>
  </si>
  <si>
    <t>Zm00001eb295310_T003</t>
  </si>
  <si>
    <t>Zm00001e032370</t>
  </si>
  <si>
    <t>hypothetical protein LOC100277913</t>
  </si>
  <si>
    <t>AT4G13400</t>
  </si>
  <si>
    <t>Zm00001eb204960</t>
  </si>
  <si>
    <t>Zm00001eb204960_T001</t>
  </si>
  <si>
    <t>Zm00001e024917</t>
  </si>
  <si>
    <t>hypothetical protein LOC100191769</t>
  </si>
  <si>
    <t>AT5G05340</t>
  </si>
  <si>
    <t>Peroxidase superfamily protein</t>
  </si>
  <si>
    <t>Zm00001eb361150</t>
  </si>
  <si>
    <t>Zm00001eb361150_T005</t>
  </si>
  <si>
    <t>Zm00001e028145</t>
  </si>
  <si>
    <t>AT1G73020</t>
  </si>
  <si>
    <t>unknown protein; FUNCTIONS IN: molecular_function unknown; INVOLVED IN: biological_process unknown; LOCATED IN: cellular_component unknown; EXPRESSED IN: 22 plant structures; EXPRESSED DURING: 13 growth stages; CONTAINS InterPro DOMAIN/s: Protein of unknown function DUF590 (InterPro:IPR007632).</t>
  </si>
  <si>
    <t>Zm00001eb040790</t>
  </si>
  <si>
    <t>Zm00001eb040790_T001</t>
  </si>
  <si>
    <t>Zm00001e004061</t>
  </si>
  <si>
    <t>hypothetical protein LOC100191997</t>
  </si>
  <si>
    <t>Zm00001eb300010</t>
  </si>
  <si>
    <t>Zm00001eb300010_T001</t>
  </si>
  <si>
    <t>Zm00001e032813</t>
  </si>
  <si>
    <t>hypothetical protein LOC100192864</t>
  </si>
  <si>
    <t>AT1G30270</t>
  </si>
  <si>
    <t>CBL-interacting protein kinase 23</t>
  </si>
  <si>
    <t>Zm00001eb211200</t>
  </si>
  <si>
    <t>Zm00001eb211200_T004</t>
  </si>
  <si>
    <t>Zm00001e011698</t>
  </si>
  <si>
    <t>hypothetical protein LOC100272386</t>
  </si>
  <si>
    <t>AT1G15030</t>
  </si>
  <si>
    <t>Protein of unknown function (DUF789)</t>
  </si>
  <si>
    <t>Zm00001eb110070</t>
  </si>
  <si>
    <t>Zm00001eb110070_T002</t>
  </si>
  <si>
    <t>Zm00001e010842</t>
  </si>
  <si>
    <t>transmembrane emp24 domain-containing protein 10</t>
  </si>
  <si>
    <t>AT1G26690</t>
  </si>
  <si>
    <t>emp24/gp25L/p24 family/GOLD family protein</t>
  </si>
  <si>
    <t>Zm00001eb404310</t>
  </si>
  <si>
    <t>Zm00001eb404310_T003</t>
  </si>
  <si>
    <t>Zm00001e039098</t>
  </si>
  <si>
    <t>AT1G22060</t>
  </si>
  <si>
    <t>LOCATED IN: vacuole; EXPRESSED IN: 23 plant structures; EXPRESSED DURING: 13 growth stages; BEST Arabidopsis thaliana protein match is: FBD, F-box and Leucine Rich Repeat domains containing protein (TAIR:AT1G22000.1); Has 84739 Blast hits to 38714 proteins in 2257 species: Archae - 1436; Bacteria - 11314; Metazoa - 40747; Fungi - 7706; Plants - 4675; Viruses - 308; Other Eukaryotes - 18553 (source: NCBI BLink).</t>
  </si>
  <si>
    <t>Zm00001eb205550</t>
  </si>
  <si>
    <t>Zm00001eb205550_T007</t>
  </si>
  <si>
    <t>Zm00001e024986</t>
  </si>
  <si>
    <t>putative zinc finger protein30</t>
  </si>
  <si>
    <t>AT5G25490</t>
  </si>
  <si>
    <t>Ran BP2/NZF zinc finger-like superfamily protein</t>
  </si>
  <si>
    <t>Zm00001eb187010</t>
  </si>
  <si>
    <t>Zm00001eb187010_T001</t>
  </si>
  <si>
    <t>Zm00001e023209</t>
  </si>
  <si>
    <t>dehydrin</t>
  </si>
  <si>
    <t>AT1G20450</t>
  </si>
  <si>
    <t>Dehydrin family protein</t>
  </si>
  <si>
    <t>Zm00001eb113210</t>
  </si>
  <si>
    <t>Zm00001eb113210_T001</t>
  </si>
  <si>
    <t>Zm00001e121380</t>
  </si>
  <si>
    <t>Zm00001eb289190</t>
  </si>
  <si>
    <t>Zm00001eb289190_T001</t>
  </si>
  <si>
    <t>Zm00001e031787</t>
  </si>
  <si>
    <t>hypothetical protein LOC100384836</t>
  </si>
  <si>
    <t>AT5G17210</t>
  </si>
  <si>
    <t>Protein of unknown function (DUF1218)</t>
  </si>
  <si>
    <t>Zm00001eb243310</t>
  </si>
  <si>
    <t>Zm00001eb243310_T001</t>
  </si>
  <si>
    <t>Zm00001e014777</t>
  </si>
  <si>
    <t>Zm00001eb217370</t>
  </si>
  <si>
    <t>Zm00001eb217370_T001</t>
  </si>
  <si>
    <t>Zm00001e012284</t>
  </si>
  <si>
    <t>hypothetical protein LOC100193211</t>
  </si>
  <si>
    <t>AT1G19310</t>
  </si>
  <si>
    <t>Zm00001eb403950</t>
  </si>
  <si>
    <t>Zm00001eb403950_T001</t>
  </si>
  <si>
    <t>Zm00001e039066</t>
  </si>
  <si>
    <t>AT4G23010</t>
  </si>
  <si>
    <t>UDP-galactose transporter 2</t>
  </si>
  <si>
    <t>Zm00001eb388200</t>
  </si>
  <si>
    <t>Zm00001eb388200_T001</t>
  </si>
  <si>
    <t>Zm00001e037588</t>
  </si>
  <si>
    <t>hypothetical protein LOC100273268</t>
  </si>
  <si>
    <t>Zm00001eb034650</t>
  </si>
  <si>
    <t>Zm00001eb034650_T001</t>
  </si>
  <si>
    <t>Zm00001e003501</t>
  </si>
  <si>
    <t>AT5G55480</t>
  </si>
  <si>
    <t>SHV3-like 1</t>
  </si>
  <si>
    <t>Zm00001eb136170</t>
  </si>
  <si>
    <t>Zm00001eb136170_T001</t>
  </si>
  <si>
    <t>Zm00001e018131</t>
  </si>
  <si>
    <t>hypothetical protein LOC100193821</t>
  </si>
  <si>
    <t>AT5G19480</t>
  </si>
  <si>
    <t>unknown protein; BEST Arabidopsis thaliana protein match is: unknown protein (TAIR:AT5G12230.1); Has 15754 Blast hits to 7644 proteins in 441 species: Archae - 6; Bacteria - 451; Metazoa - 7628; Fungi - 1448; Plants - 1196; Viruses - 38; Other Eukaryotes - 4987 (source: NCBI BLink).</t>
  </si>
  <si>
    <t>Zm00001eb347630</t>
  </si>
  <si>
    <t>Zm00001eb347630_T001</t>
  </si>
  <si>
    <t>Zm00001e141763</t>
  </si>
  <si>
    <t>Zm00001eb002380</t>
  </si>
  <si>
    <t>Zm00001eb002380_T001</t>
  </si>
  <si>
    <t>Zm00001e000242</t>
  </si>
  <si>
    <t>acyl-activating enzyme 11</t>
  </si>
  <si>
    <t>AT1G65880</t>
  </si>
  <si>
    <t>benzoyloxyglucosinolate 1</t>
  </si>
  <si>
    <t>Zm00001eb353330</t>
  </si>
  <si>
    <t>Zm00001eb353330_T001</t>
  </si>
  <si>
    <t>Zm00001e027429</t>
  </si>
  <si>
    <t>DNA-binding WRKY</t>
  </si>
  <si>
    <t>AT1G28280</t>
  </si>
  <si>
    <t>VQ motif-containing protein</t>
  </si>
  <si>
    <t>Zm00001eb409740</t>
  </si>
  <si>
    <t>Zm00001eb420520</t>
  </si>
  <si>
    <t>Zm00001eb420520_T003</t>
  </si>
  <si>
    <t>Zm00001e040683</t>
  </si>
  <si>
    <t>hypothetical protein LOC100383161</t>
  </si>
  <si>
    <t>AT5G44240</t>
  </si>
  <si>
    <t>aminophospholipid ATPase 2</t>
  </si>
  <si>
    <t>Zm00001eb020680</t>
  </si>
  <si>
    <t>Zm00001eb020680_T001</t>
  </si>
  <si>
    <t>Zm00001e002071</t>
  </si>
  <si>
    <t>allene oxide cyclase1</t>
  </si>
  <si>
    <t>AT3G25780</t>
  </si>
  <si>
    <t>AOC3</t>
  </si>
  <si>
    <t>Step4</t>
  </si>
  <si>
    <t>Stenze et al. 2003</t>
  </si>
  <si>
    <t>allene oxide cyclase 3</t>
  </si>
  <si>
    <t>Zm00001eb358860</t>
  </si>
  <si>
    <t>Zm00001eb358860_T001</t>
  </si>
  <si>
    <t>Zm00001e027926</t>
  </si>
  <si>
    <t>AT3G14680</t>
  </si>
  <si>
    <t>cytochrome P450, family 72, subfamily A, polypeptide 14</t>
  </si>
  <si>
    <t>Zm00001eb001780</t>
  </si>
  <si>
    <t>Zm00001eb001780_T002</t>
  </si>
  <si>
    <t>Zm00001e000178</t>
  </si>
  <si>
    <t>hypothetical protein LOC100383535</t>
  </si>
  <si>
    <t>AT5G24010</t>
  </si>
  <si>
    <t>Zm00001eb112560</t>
  </si>
  <si>
    <t>Zm00001eb112560_T001</t>
  </si>
  <si>
    <t>Zm00001e011074</t>
  </si>
  <si>
    <t>hypothetical protein LOC100193449</t>
  </si>
  <si>
    <t>AT5G53530</t>
  </si>
  <si>
    <t>vacuolar protein sorting 26A</t>
  </si>
  <si>
    <t>Zm00001eb331410</t>
  </si>
  <si>
    <t>Zm00001eb331410_T001</t>
  </si>
  <si>
    <t>Zm00001e035930</t>
  </si>
  <si>
    <t>hypothetical protein LOC100273174</t>
  </si>
  <si>
    <t>AT1G09160</t>
  </si>
  <si>
    <t>Zm00001eb147400</t>
  </si>
  <si>
    <t>Zm00001eb147400_T001</t>
  </si>
  <si>
    <t>Zm00001e019226</t>
  </si>
  <si>
    <t>AT1G08230</t>
  </si>
  <si>
    <t>Zm00001eb243910</t>
  </si>
  <si>
    <t>Zm00001eb243910_T001</t>
  </si>
  <si>
    <t>Zm00001e014831</t>
  </si>
  <si>
    <t>AT1G10320</t>
  </si>
  <si>
    <t>Zinc finger C-x8-C-x5-C-x3-H type family protein</t>
  </si>
  <si>
    <t>Zm00001eb364530</t>
  </si>
  <si>
    <t>Zm00001eb364530_T001</t>
  </si>
  <si>
    <t>Zm00001e028456</t>
  </si>
  <si>
    <t>Zm00001eb211260</t>
  </si>
  <si>
    <t>Zm00001eb211260_T001</t>
  </si>
  <si>
    <t>Zm00001e011704</t>
  </si>
  <si>
    <t>PGPS/D12</t>
  </si>
  <si>
    <t>Zm00001eb388990</t>
  </si>
  <si>
    <t>Zm00001eb388990_T001</t>
  </si>
  <si>
    <t>Zm00001e037661</t>
  </si>
  <si>
    <t>GDP-L-fucose synthase 1</t>
  </si>
  <si>
    <t>AT1G17890</t>
  </si>
  <si>
    <t>Zm00001eb149000</t>
  </si>
  <si>
    <t>Zm00001eb149000_T001</t>
  </si>
  <si>
    <t>Zm00001e019393</t>
  </si>
  <si>
    <t>hypothetical protein LOC100382706</t>
  </si>
  <si>
    <t>AT3G55990</t>
  </si>
  <si>
    <t>Plant protein of unknown function (DUF828)</t>
  </si>
  <si>
    <t>Zm00001eb270150</t>
  </si>
  <si>
    <t>Zm00001eb270150_T001</t>
  </si>
  <si>
    <t>Zm00001e029958</t>
  </si>
  <si>
    <t>AT4G04540</t>
  </si>
  <si>
    <t>cysteine-rich RLK (RECEPTOR-like protein kinase) 39</t>
  </si>
  <si>
    <t>Zm00001eb068290</t>
  </si>
  <si>
    <t>Zm00001eb068290_T002</t>
  </si>
  <si>
    <t>Zm00001e006731</t>
  </si>
  <si>
    <t>AT5G67240</t>
  </si>
  <si>
    <t>small RNA degrading nuclease 3</t>
  </si>
  <si>
    <t>Zm00001eb397220</t>
  </si>
  <si>
    <t>Zm00001eb397220_T001</t>
  </si>
  <si>
    <t>Zm00001e038439</t>
  </si>
  <si>
    <t>50S ribosomal protein L10</t>
  </si>
  <si>
    <t>AT3G45740</t>
  </si>
  <si>
    <t>hydrolase family protein / HAD-superfamily protein</t>
  </si>
  <si>
    <t>Zm00001eb076950</t>
  </si>
  <si>
    <t>Zm00001eb076950_T003</t>
  </si>
  <si>
    <t>Zm00001e007549</t>
  </si>
  <si>
    <t>hypothetical protein LOC100277077</t>
  </si>
  <si>
    <t>AT5G22790</t>
  </si>
  <si>
    <t>reticulata-related 1</t>
  </si>
  <si>
    <t>Zm00001eb380570</t>
  </si>
  <si>
    <t>Zm00001eb380570_T002</t>
  </si>
  <si>
    <t>Zm00001e036823</t>
  </si>
  <si>
    <t>Zm00001eb155060</t>
  </si>
  <si>
    <t>Zm00001eb155060_T001</t>
  </si>
  <si>
    <t>Zm00001e019993</t>
  </si>
  <si>
    <t>CDA1</t>
  </si>
  <si>
    <t>AT2G19570</t>
  </si>
  <si>
    <t>cytidine deaminase 1</t>
  </si>
  <si>
    <t>Zm00001eb120570</t>
  </si>
  <si>
    <t>Zm00001eb120570_T001</t>
  </si>
  <si>
    <t>Zm00001e016516</t>
  </si>
  <si>
    <t>AT2G37690</t>
  </si>
  <si>
    <t>phosphoribosylaminoimidazole carboxylase, putative / AIR carboxylase, putative</t>
  </si>
  <si>
    <t>Zm00001eb288130</t>
  </si>
  <si>
    <t>Zm00001eb288130_T001</t>
  </si>
  <si>
    <t>Zm00001e031680</t>
  </si>
  <si>
    <t>AT5G48380</t>
  </si>
  <si>
    <t>BAK1-interacting receptor-like kinase 1</t>
  </si>
  <si>
    <t>Zm00001eb414790</t>
  </si>
  <si>
    <t>Zm00001eb414790_T001</t>
  </si>
  <si>
    <t>Zm00001e040121</t>
  </si>
  <si>
    <t>AT1G34210</t>
  </si>
  <si>
    <t>somatic embryogenesis receptor-like kinase 2</t>
  </si>
  <si>
    <t>Zm00001eb058100</t>
  </si>
  <si>
    <t>Zm00001eb058100_T001</t>
  </si>
  <si>
    <t>Zm00001e005754</t>
  </si>
  <si>
    <t>hypothetical protein LOC100382629</t>
  </si>
  <si>
    <t>AT4G37370</t>
  </si>
  <si>
    <t>cytochrome P450, family 81, subfamily D, polypeptide 8</t>
  </si>
  <si>
    <t>Zm00001eb119280</t>
  </si>
  <si>
    <t>Zm00001eb178810</t>
  </si>
  <si>
    <t>Zm00001eb003170</t>
  </si>
  <si>
    <t>Zm00001eb003170_T001</t>
  </si>
  <si>
    <t>Zm00001e000322</t>
  </si>
  <si>
    <t>AT5G46050</t>
  </si>
  <si>
    <t>peptide transporter 3</t>
  </si>
  <si>
    <t>Zm00001eb327270</t>
  </si>
  <si>
    <t>Zm00001eb327270_T001</t>
  </si>
  <si>
    <t>Zm00001e035530</t>
  </si>
  <si>
    <t>hypothetical protein LOC100382959</t>
  </si>
  <si>
    <t>AT3G46020</t>
  </si>
  <si>
    <t>RNA-binding (RRM/RBD/RNP motifs) family protein</t>
  </si>
  <si>
    <t>Zm00001eb160050</t>
  </si>
  <si>
    <t>Zm00001eb160050_T001</t>
  </si>
  <si>
    <t>Zm00001e020488</t>
  </si>
  <si>
    <t>hypothetical protein LOC100279877</t>
  </si>
  <si>
    <t>AT2G26190</t>
  </si>
  <si>
    <t>calmodulin-binding family protein</t>
  </si>
  <si>
    <t>Zm00001eb291460</t>
  </si>
  <si>
    <t>Zm00001eb291460_T001</t>
  </si>
  <si>
    <t>Zm00001e032009</t>
  </si>
  <si>
    <t>hypothetical protein LOC100274274</t>
  </si>
  <si>
    <t>AT2G40890</t>
  </si>
  <si>
    <t>cytochrome P450, family 98, subfamily A, polypeptide 3</t>
  </si>
  <si>
    <t>Zm00001eb053090</t>
  </si>
  <si>
    <t>Zm00001eb053090_T001</t>
  </si>
  <si>
    <t>Zm00001e005267</t>
  </si>
  <si>
    <t>hypothetical protein LOC100273339</t>
  </si>
  <si>
    <t>AT2G28120</t>
  </si>
  <si>
    <t>Zm00001eb334280</t>
  </si>
  <si>
    <t>Zm00001eb334280_T001</t>
  </si>
  <si>
    <t>Zm00001e025633</t>
  </si>
  <si>
    <t>AT5G18750</t>
  </si>
  <si>
    <t>DNAJ heat shock N-terminal domain-containing protein</t>
  </si>
  <si>
    <t>Zm00001eb116470</t>
  </si>
  <si>
    <t>Zm00001eb116470_T002</t>
  </si>
  <si>
    <t>Zm00001e011416</t>
  </si>
  <si>
    <t>AT3G28510</t>
  </si>
  <si>
    <t>Zm00001eb096970</t>
  </si>
  <si>
    <t>Zm00001eb096970_T001</t>
  </si>
  <si>
    <t>Zm00001e009578</t>
  </si>
  <si>
    <t>Zm00001eb185240</t>
  </si>
  <si>
    <t>Zm00001eb185240_T001</t>
  </si>
  <si>
    <t>Zm00001e023031</t>
  </si>
  <si>
    <t>AT3G10340</t>
  </si>
  <si>
    <t>PAL4</t>
  </si>
  <si>
    <t>Dempsey DA et al. 2015</t>
  </si>
  <si>
    <t>phenylalanine ammonia-lyase 4</t>
  </si>
  <si>
    <t>Zm00001eb016120</t>
  </si>
  <si>
    <t>Zm00001eb016120_T002</t>
  </si>
  <si>
    <t>Zm00001e001589</t>
  </si>
  <si>
    <t>hypothetical protein LOC100304391</t>
  </si>
  <si>
    <t>AT3G51620</t>
  </si>
  <si>
    <t>PAP/OAS1 substrate-binding domain superfamily</t>
  </si>
  <si>
    <t>Zm00001eb350060</t>
  </si>
  <si>
    <t>Zm00001eb214560</t>
  </si>
  <si>
    <t>Zm00001eb214560_T003</t>
  </si>
  <si>
    <t>Zm00001e012011</t>
  </si>
  <si>
    <t>LOC100282847</t>
  </si>
  <si>
    <t>Zm00001eb047200</t>
  </si>
  <si>
    <t>Zm00001eb047200_T002</t>
  </si>
  <si>
    <t>Zm00001e004698</t>
  </si>
  <si>
    <t>hypothetical protein LOC100383459 (LOC100383459), mRNA</t>
  </si>
  <si>
    <t>Zm00001eb324300</t>
  </si>
  <si>
    <t>Zm00001eb324300_T001</t>
  </si>
  <si>
    <t>Zm00001e035255</t>
  </si>
  <si>
    <t>hypothetical protein LOC100279769</t>
  </si>
  <si>
    <t>AT4G32010</t>
  </si>
  <si>
    <t>HSI2-like 1</t>
  </si>
  <si>
    <t>B3</t>
  </si>
  <si>
    <t>Zm00001eb128340</t>
  </si>
  <si>
    <t>Zm00001eb128340_T003</t>
  </si>
  <si>
    <t>Zm00001e017322</t>
  </si>
  <si>
    <t>hypothetical protein LOC100275617</t>
  </si>
  <si>
    <t>AT4G36440</t>
  </si>
  <si>
    <t>unknown protein; FUNCTIONS IN: molecular_function unknown; INVOLVED IN: biological_process unknown; LOCATED IN: endomembrane system; EXPRESSED IN: 24 plant structures; EXPRESSED DURING: 15 growth stages; Has 41 Blast hits to 41 proteins in 14 species: Archae - 0; Bacteria - 0; Metazoa - 0; Fungi - 0; Plants - 41; Viruses - 0; Other Eukaryotes - 0 (source: NCBI BLink).</t>
  </si>
  <si>
    <t>Zm00001eb025780</t>
  </si>
  <si>
    <t>Zm00001eb025780_T001</t>
  </si>
  <si>
    <t>Zm00001e002560</t>
  </si>
  <si>
    <t>hypothetical protein LOC100216883</t>
  </si>
  <si>
    <t>AT2G39420</t>
  </si>
  <si>
    <t>Zm00001eb370290</t>
  </si>
  <si>
    <t>Zm00001eb370290_T003</t>
  </si>
  <si>
    <t>Zm00001e028992</t>
  </si>
  <si>
    <t>hypothetical protein LOC100191244</t>
  </si>
  <si>
    <t>AT4G37550</t>
  </si>
  <si>
    <t>Acetamidase/Formamidase family protein</t>
  </si>
  <si>
    <t>Zm00001eb379070</t>
  </si>
  <si>
    <t>Zm00001eb379070_T001</t>
  </si>
  <si>
    <t>Zm00001e036680</t>
  </si>
  <si>
    <t>hypothetical protein LOC100383550</t>
  </si>
  <si>
    <t>AT3G03050</t>
  </si>
  <si>
    <t>cellulose synthase-like D3</t>
  </si>
  <si>
    <t>Zm00001eb166070</t>
  </si>
  <si>
    <t>Zm00001eb166070_T001</t>
  </si>
  <si>
    <t>Zm00001e021100</t>
  </si>
  <si>
    <t>hypothetical protein LOC100381551</t>
  </si>
  <si>
    <t>Zm00001eb271620</t>
  </si>
  <si>
    <t>Zm00001eb293460</t>
  </si>
  <si>
    <t>Zm00001eb293460_T001</t>
  </si>
  <si>
    <t>Zm00001e032195</t>
  </si>
  <si>
    <t>anthocyanidin 5,3-O-glucosyltransferase</t>
  </si>
  <si>
    <t>Zm00001eb103480</t>
  </si>
  <si>
    <t>Zm00001eb103480_T002</t>
  </si>
  <si>
    <t>Zm00001e010229</t>
  </si>
  <si>
    <t>senescence-inducible chloroplast stay-green protein 1</t>
  </si>
  <si>
    <t>AT4G22920</t>
  </si>
  <si>
    <t>non-yellowing 1</t>
  </si>
  <si>
    <t>Zm00001eb138370</t>
  </si>
  <si>
    <t>Zm00001eb138370_T002</t>
  </si>
  <si>
    <t>Zm00001e018364</t>
  </si>
  <si>
    <t>hypothetical protein LOC100277167</t>
  </si>
  <si>
    <t>AT1G14440</t>
  </si>
  <si>
    <t>homeobox protein 31</t>
  </si>
  <si>
    <t>ZF-HD</t>
  </si>
  <si>
    <t>Zm00001eb334540</t>
  </si>
  <si>
    <t>Zm00001eb334540_T001</t>
  </si>
  <si>
    <t>Zm00001e139393</t>
  </si>
  <si>
    <t>Zm00001eb250860</t>
  </si>
  <si>
    <t>Zm00001eb196380</t>
  </si>
  <si>
    <t>Zm00001eb196380_T001</t>
  </si>
  <si>
    <t>Zm00001e024084</t>
  </si>
  <si>
    <t>AT3G57330</t>
  </si>
  <si>
    <t>autoinhibited Ca2+-ATPase 11</t>
  </si>
  <si>
    <t>Zm00001eb063530</t>
  </si>
  <si>
    <t>Zm00001eb063530_T001</t>
  </si>
  <si>
    <t>Zm00001e006266</t>
  </si>
  <si>
    <t>cell number regulator 7</t>
  </si>
  <si>
    <t>Zm00001eb312040</t>
  </si>
  <si>
    <t>Zm00001eb121650</t>
  </si>
  <si>
    <t>Zm00001eb121650_T001</t>
  </si>
  <si>
    <t>Zm00001e016628</t>
  </si>
  <si>
    <t>LOC100283536</t>
  </si>
  <si>
    <t>AT3G62160</t>
  </si>
  <si>
    <t>HXXXD-type acyl-transferase family protein</t>
  </si>
  <si>
    <t>Zm00001eb378020</t>
  </si>
  <si>
    <t>Zm00001eb378020_T001</t>
  </si>
  <si>
    <t>Zm00001e036580</t>
  </si>
  <si>
    <t>3-phosphoshikimate 1-carboxyvinyltransferase Fragment (EC 2.5.1.19)</t>
  </si>
  <si>
    <t>AT2G45300</t>
  </si>
  <si>
    <t>RNA 3'-terminal phosphate cyclase/enolpyruvate transferase, alpha/beta</t>
  </si>
  <si>
    <t>Zm00001eb037200</t>
  </si>
  <si>
    <t>Zm00001eb037200_T002</t>
  </si>
  <si>
    <t>Zm00001e003722</t>
  </si>
  <si>
    <t>hypothetical protein LOC542194</t>
  </si>
  <si>
    <t>AT3G02520</t>
  </si>
  <si>
    <t>general regulatory factor 7</t>
  </si>
  <si>
    <t>Zm00001eb228800</t>
  </si>
  <si>
    <t>Zm00001eb228800_T001</t>
  </si>
  <si>
    <t>Zm00001e013343</t>
  </si>
  <si>
    <t>AT2G02148</t>
  </si>
  <si>
    <t>unknown protein.</t>
  </si>
  <si>
    <t>Zm00001eb248960</t>
  </si>
  <si>
    <t>Zm00001eb248960_T001</t>
  </si>
  <si>
    <t>Zm00001e015277</t>
  </si>
  <si>
    <t>Cytochrome b5</t>
  </si>
  <si>
    <t>AT5G53560</t>
  </si>
  <si>
    <t>cytochrome B5 isoform E</t>
  </si>
  <si>
    <t>Zm00001eb277480</t>
  </si>
  <si>
    <t>Zm00001eb277480_T004</t>
  </si>
  <si>
    <t>Zm00001e030663</t>
  </si>
  <si>
    <t>AT5G11800</t>
  </si>
  <si>
    <t>K+ efflux antiporter 6</t>
  </si>
  <si>
    <t>Zm00001eb213610</t>
  </si>
  <si>
    <t>Zm00001eb213610_T001</t>
  </si>
  <si>
    <t>Zm00001e011926</t>
  </si>
  <si>
    <t>hypothetical protein LOC100383576</t>
  </si>
  <si>
    <t>AT5G23860</t>
  </si>
  <si>
    <t>tubulin beta 8</t>
  </si>
  <si>
    <t>Zm00001eb403750</t>
  </si>
  <si>
    <t>Zm00001eb403750_T003</t>
  </si>
  <si>
    <t>Zm00001e039048</t>
  </si>
  <si>
    <t>MADS1</t>
  </si>
  <si>
    <t>AT2G45660</t>
  </si>
  <si>
    <t>AGAMOUS-like 20</t>
  </si>
  <si>
    <t>MIKC_MADS</t>
  </si>
  <si>
    <t>Zm00001eb317090</t>
  </si>
  <si>
    <t>Zm00001eb317090_T001</t>
  </si>
  <si>
    <t>Zm00001e034566</t>
  </si>
  <si>
    <t>hypothetical protein LOC100274504</t>
  </si>
  <si>
    <t>AT1G05850</t>
  </si>
  <si>
    <t>Chitinase family protein</t>
  </si>
  <si>
    <t>Zm00001eb085290</t>
  </si>
  <si>
    <t>Zm00001eb085290_T007</t>
  </si>
  <si>
    <t>Zm00001e117080</t>
  </si>
  <si>
    <t>Zm00001eb312010</t>
  </si>
  <si>
    <t>Zm00001eb312010_T001</t>
  </si>
  <si>
    <t>Zm00001e034060</t>
  </si>
  <si>
    <t>protein CCC1</t>
  </si>
  <si>
    <t>AT2G01770</t>
  </si>
  <si>
    <t>vacuolar iron transporter 1</t>
  </si>
  <si>
    <t>Zm00001eb234530</t>
  </si>
  <si>
    <t>Zm00001eb234530_T001</t>
  </si>
  <si>
    <t>Zm00001e013890</t>
  </si>
  <si>
    <t>hypothetical protein LOC100192848</t>
  </si>
  <si>
    <t>AT2G30770</t>
  </si>
  <si>
    <t>CYP71A13 (step 9c)</t>
  </si>
  <si>
    <t>cytochrome P450, family 71, subfamily A, polypeptide 13</t>
  </si>
  <si>
    <t>Zm00001eb044960</t>
  </si>
  <si>
    <t>Zm00001eb044960_T001</t>
  </si>
  <si>
    <t>Zm00001e004503</t>
  </si>
  <si>
    <t>secretory protein</t>
  </si>
  <si>
    <t>AT2G15220</t>
  </si>
  <si>
    <t>Plant basic secretory protein (BSP) family protein</t>
  </si>
  <si>
    <t>Zm00001eb023120</t>
  </si>
  <si>
    <t>Zm00001eb023120_T003</t>
  </si>
  <si>
    <t>Zm00001e002308</t>
  </si>
  <si>
    <t>hypothetical protein LOC100278787</t>
  </si>
  <si>
    <t>Zm00001eb408420</t>
  </si>
  <si>
    <t>Zm00001eb408420_T001</t>
  </si>
  <si>
    <t>Zm00001e039517</t>
  </si>
  <si>
    <t>AT2G22240</t>
  </si>
  <si>
    <t>myo-inositol-1-phosphate synthase 2</t>
  </si>
  <si>
    <t>Zm00001eb000710</t>
  </si>
  <si>
    <t>Zm00001eb000710_T001</t>
  </si>
  <si>
    <t>Zm00001e000075</t>
  </si>
  <si>
    <t>hypothetical protein LOC100192899</t>
  </si>
  <si>
    <t>AT3G11470</t>
  </si>
  <si>
    <t>4'-phosphopantetheinyl transferase superfamily</t>
  </si>
  <si>
    <t>Zm00001eb202260</t>
  </si>
  <si>
    <t>Zm00001eb202260_T001</t>
  </si>
  <si>
    <t>Zm00001e024638</t>
  </si>
  <si>
    <t>hypothetical protein LOC100273609</t>
  </si>
  <si>
    <t>AT1G43700</t>
  </si>
  <si>
    <t>VIRE2-interacting protein 1</t>
  </si>
  <si>
    <t>Zm00001eb158740</t>
  </si>
  <si>
    <t>Zm00001eb158740_T004</t>
  </si>
  <si>
    <t>Zm00001e020351</t>
  </si>
  <si>
    <t>hypothetical protein LOC100193534</t>
  </si>
  <si>
    <t>AT5G15860</t>
  </si>
  <si>
    <t>prenylcysteine methylesterase</t>
  </si>
  <si>
    <t>Zm00001eb256920</t>
  </si>
  <si>
    <t>Zm00001eb256920_T001</t>
  </si>
  <si>
    <t>Zm00001e016044</t>
  </si>
  <si>
    <t>hypothetical protein LOC100191654</t>
  </si>
  <si>
    <t>AT2G26310</t>
  </si>
  <si>
    <t>Chalcone-flavanone isomerase family protein</t>
  </si>
  <si>
    <t>Zm00001eb047280</t>
  </si>
  <si>
    <t>Zm00001eb047280_T005</t>
  </si>
  <si>
    <t>Zm00001e004708</t>
  </si>
  <si>
    <t>hypothetical protein LOC100192886</t>
  </si>
  <si>
    <t>AT2G36950</t>
  </si>
  <si>
    <t>Heavy metal transport/detoxification superfamily protein</t>
  </si>
  <si>
    <t>Zm00001eb071190</t>
  </si>
  <si>
    <t>Zm00001eb071190_T001</t>
  </si>
  <si>
    <t>Zm00001e006982</t>
  </si>
  <si>
    <t>ethylene-responsive transcription factor 4</t>
  </si>
  <si>
    <t>AT3G20310</t>
  </si>
  <si>
    <t>ERF7</t>
  </si>
  <si>
    <t>Camehl I et al. 2032</t>
  </si>
  <si>
    <t>ethylene response factor 7</t>
  </si>
  <si>
    <t>Zm00001eb403710</t>
  </si>
  <si>
    <t>Zm00001eb403710_T007</t>
  </si>
  <si>
    <t>Zm00001e039043</t>
  </si>
  <si>
    <t>hypothetical protein LOC100381408</t>
  </si>
  <si>
    <t>Zm00001eb131590</t>
  </si>
  <si>
    <t>Zm00001eb131590_T001</t>
  </si>
  <si>
    <t>Zm00001e123626</t>
  </si>
  <si>
    <t>Zm00001eb383580</t>
  </si>
  <si>
    <t>Zm00001eb383580_T001</t>
  </si>
  <si>
    <t>Zm00001e037119</t>
  </si>
  <si>
    <t>hypothetical protein LOC100277551</t>
  </si>
  <si>
    <t>Zm00001eb098330</t>
  </si>
  <si>
    <t>Zm00001eb098330_T001</t>
  </si>
  <si>
    <t>Zm00001e009708</t>
  </si>
  <si>
    <t>WRKY74 - superfamily of TFs having WRKY and zinc finger domains</t>
  </si>
  <si>
    <t>Zm00001eb246860</t>
  </si>
  <si>
    <t>Zm00001eb246860_T001</t>
  </si>
  <si>
    <t>Zm00001e015083</t>
  </si>
  <si>
    <t>LOC100194386</t>
  </si>
  <si>
    <t>AT5G48930</t>
  </si>
  <si>
    <t>hydroxycinnamoyl-CoA shikimate/quinate hydroxycinnamoyl transferase</t>
  </si>
  <si>
    <t>Zm00001eb279450</t>
  </si>
  <si>
    <t>Zm00001eb279450_T001</t>
  </si>
  <si>
    <t>Zm00001e030841</t>
  </si>
  <si>
    <t>AT2G22125</t>
  </si>
  <si>
    <t>binding</t>
  </si>
  <si>
    <t>Zm00001eb156770</t>
  </si>
  <si>
    <t>Zm00001eb156770_T001</t>
  </si>
  <si>
    <t>Zm00001e020165</t>
  </si>
  <si>
    <t>THAP domain-containing protein 4</t>
  </si>
  <si>
    <t>AT1G79260</t>
  </si>
  <si>
    <t>CONTAINS InterPro DOMAIN/s: Domain of unknown function DUF1794 (InterPro:IPR014878); Has 30201 Blast hits to 17322 proteins in 780 species: Archae - 12; Bacteria - 1396; Metazoa - 17338; Fungi - 3422; Plants - 5037; Viruses - 0; Other Eukaryotes - 2996 (source: NCBI BLink).</t>
  </si>
  <si>
    <t>Zm00001eb150470</t>
  </si>
  <si>
    <t>Zm00001eb150470_T002</t>
  </si>
  <si>
    <t>Zm00001e019530</t>
  </si>
  <si>
    <t>hypothetical protein LOC100382469</t>
  </si>
  <si>
    <t>AT2G30150</t>
  </si>
  <si>
    <t>Zm00001eb226370</t>
  </si>
  <si>
    <t>Zm00001eb226370_T001</t>
  </si>
  <si>
    <t>Zm00001e013123</t>
  </si>
  <si>
    <t>peroxidase 45</t>
  </si>
  <si>
    <t>AT4G30170</t>
  </si>
  <si>
    <t>Peroxidase family protein</t>
  </si>
  <si>
    <t>Zm00001eb202020</t>
  </si>
  <si>
    <t>Zm00001eb202020_T001</t>
  </si>
  <si>
    <t>Zm00001e024616</t>
  </si>
  <si>
    <t>AT5G42440</t>
  </si>
  <si>
    <t>Zm00001eb307650</t>
  </si>
  <si>
    <t>Zm00001eb307650_T002</t>
  </si>
  <si>
    <t>Zm00001e033544</t>
  </si>
  <si>
    <t>hypothetical protein LOC100279462</t>
  </si>
  <si>
    <t>AT5G23950</t>
  </si>
  <si>
    <t>Calcium-dependent lipid-binding (CaLB domain) family protein</t>
  </si>
  <si>
    <t>Zm00001eb356430</t>
  </si>
  <si>
    <t>Zm00001eb356430_T001</t>
  </si>
  <si>
    <t>Zm00001e027702</t>
  </si>
  <si>
    <t>WRKY7 - superfamily of TFs having WRKY and zinc finger domains</t>
  </si>
  <si>
    <t>AT5G26170</t>
  </si>
  <si>
    <t>WRKY DNA-binding protein 50</t>
  </si>
  <si>
    <t>Zm00001eb145870</t>
  </si>
  <si>
    <t>Zm00001eb145870_T001</t>
  </si>
  <si>
    <t>Zm00001e019075</t>
  </si>
  <si>
    <t>Zm00001eb001280</t>
  </si>
  <si>
    <t>Zm00001eb001280_T001</t>
  </si>
  <si>
    <t>Zm00001e000131</t>
  </si>
  <si>
    <t>lysM domain containing protein</t>
  </si>
  <si>
    <t>AT5G62150</t>
  </si>
  <si>
    <t>peptidoglycan-binding LysM domain-containing protein</t>
  </si>
  <si>
    <t>Zm00001eb389050</t>
  </si>
  <si>
    <t>Zm00001eb389050_T002</t>
  </si>
  <si>
    <t>Zm00001e037664</t>
  </si>
  <si>
    <t>hypothetical protein LOC100192547</t>
  </si>
  <si>
    <t>Zm00001eb275030</t>
  </si>
  <si>
    <t>Zm00001eb275030_T003</t>
  </si>
  <si>
    <t>Zm00001e030437</t>
  </si>
  <si>
    <t>Zm00001eb109620</t>
  </si>
  <si>
    <t>Zm00001eb109620_T001</t>
  </si>
  <si>
    <t>Zm00001e010803</t>
  </si>
  <si>
    <t>AT1G22410</t>
  </si>
  <si>
    <t>Class-II DAHP synthetase family protein</t>
  </si>
  <si>
    <t>Zm00001eb390220</t>
  </si>
  <si>
    <t>Zm00001eb390220_T001</t>
  </si>
  <si>
    <t>Zm00001e153264</t>
  </si>
  <si>
    <t>Zm00001eb377440</t>
  </si>
  <si>
    <t>Zm00001eb377440_T002</t>
  </si>
  <si>
    <t>Zm00001e036542</t>
  </si>
  <si>
    <t>hexose carrier protein HEX6</t>
  </si>
  <si>
    <t>AT5G61520</t>
  </si>
  <si>
    <t>Zm00001eb413460</t>
  </si>
  <si>
    <t>Zm00001eb425300</t>
  </si>
  <si>
    <t>Zm00001eb425300_T002</t>
  </si>
  <si>
    <t>Zm00001e041109</t>
  </si>
  <si>
    <t>AT3G28450</t>
  </si>
  <si>
    <t>Leucine-rich repeat protein kinase family protein</t>
  </si>
  <si>
    <t>Zm00001eb305940</t>
  </si>
  <si>
    <t>Zm00001eb305940_T001</t>
  </si>
  <si>
    <t>Zm00001e033365</t>
  </si>
  <si>
    <t>AT5G41330</t>
  </si>
  <si>
    <t>BTB/POZ domain with WD40/YVTN repeat-like protein</t>
  </si>
  <si>
    <t>Zm00001eb061410</t>
  </si>
  <si>
    <t>Zm00001eb061410_T001</t>
  </si>
  <si>
    <t>Zm00001e006055</t>
  </si>
  <si>
    <t>hypothetical protein LOC100273401</t>
  </si>
  <si>
    <t>AT1G18970</t>
  </si>
  <si>
    <t>germin-like protein 4</t>
  </si>
  <si>
    <t>Zm00001eb426520</t>
  </si>
  <si>
    <t>Zm00001eb426520_T002</t>
  </si>
  <si>
    <t>Zm00001e041225</t>
  </si>
  <si>
    <t>hypothetical protein LOC100272792</t>
  </si>
  <si>
    <t>AT1G61820</t>
  </si>
  <si>
    <t>beta glucosidase 46</t>
  </si>
  <si>
    <t>Zm00001eb408850</t>
  </si>
  <si>
    <t>Zm00001eb408850_T001</t>
  </si>
  <si>
    <t>Zm00001e039556</t>
  </si>
  <si>
    <t>ABA-responsive protein</t>
  </si>
  <si>
    <t>AT5G13200</t>
  </si>
  <si>
    <t>Zm00001eb284020</t>
  </si>
  <si>
    <t>Zm00001eb284020_T001</t>
  </si>
  <si>
    <t>Zm00001e031268</t>
  </si>
  <si>
    <t>LOC100283017</t>
  </si>
  <si>
    <t>AT4G15800</t>
  </si>
  <si>
    <t>ralf-like 33</t>
  </si>
  <si>
    <t>Zm00001eb358170</t>
  </si>
  <si>
    <t>Zm00001eb358170_T002</t>
  </si>
  <si>
    <t>Zm00001e027867</t>
  </si>
  <si>
    <t>10-deacetylbaccatin III 10-O-acetyltransferase</t>
  </si>
  <si>
    <t>Zm00001eb271490</t>
  </si>
  <si>
    <t>Zm00001eb393290</t>
  </si>
  <si>
    <t>Zm00001eb393290_T001</t>
  </si>
  <si>
    <t>Zm00001e038060</t>
  </si>
  <si>
    <t>AT4G31850</t>
  </si>
  <si>
    <t>proton gradient regulation 3</t>
  </si>
  <si>
    <t>Zm00001eb093490</t>
  </si>
  <si>
    <t>Zm00001eb093490_T003</t>
  </si>
  <si>
    <t>Zm00001e009217</t>
  </si>
  <si>
    <t>integral membrane protein like</t>
  </si>
  <si>
    <t>AT4G09810</t>
  </si>
  <si>
    <t>Zm00001eb257510</t>
  </si>
  <si>
    <t>Zm00001eb257510_T001</t>
  </si>
  <si>
    <t>Zm00001e016091</t>
  </si>
  <si>
    <t>LOC100281927</t>
  </si>
  <si>
    <t>AT2G18700</t>
  </si>
  <si>
    <t>trehalose phosphatase/synthase 11</t>
  </si>
  <si>
    <t>Zm00001eb094710</t>
  </si>
  <si>
    <t>Zm00001eb094710_T001</t>
  </si>
  <si>
    <t>Zm00001e009346</t>
  </si>
  <si>
    <t>UPF0497 membrane protein 4</t>
  </si>
  <si>
    <t>AT4G15610</t>
  </si>
  <si>
    <t>Zm00001eb036780</t>
  </si>
  <si>
    <t>Zm00001eb036780_T001</t>
  </si>
  <si>
    <t>Zm00001e003682</t>
  </si>
  <si>
    <t>ACR4</t>
  </si>
  <si>
    <t>AT1G69040</t>
  </si>
  <si>
    <t>ACT domain repeat 4</t>
  </si>
  <si>
    <t>Zm00001eb267210</t>
  </si>
  <si>
    <t>Zm00001eb193760</t>
  </si>
  <si>
    <t>Zm00001eb193760_T001</t>
  </si>
  <si>
    <t>Zm00001e023823</t>
  </si>
  <si>
    <t>hypothetical protein LOC100279175</t>
  </si>
  <si>
    <t>Zm00001eb091250</t>
  </si>
  <si>
    <t>Zm00001eb091250_T001</t>
  </si>
  <si>
    <t>Zm00001e008991</t>
  </si>
  <si>
    <t>AT1G03670</t>
  </si>
  <si>
    <t>ankyrin repeat family protein</t>
  </si>
  <si>
    <t>Zm00001eb077220</t>
  </si>
  <si>
    <t>Zm00001eb077220_T001</t>
  </si>
  <si>
    <t>Zm00001e007572</t>
  </si>
  <si>
    <t>Zm00001eb144890</t>
  </si>
  <si>
    <t>Zm00001eb144890_T001</t>
  </si>
  <si>
    <t>Zm00001e126367</t>
  </si>
  <si>
    <t>Zm00001eb046560</t>
  </si>
  <si>
    <t>Zm00001eb046560_T002</t>
  </si>
  <si>
    <t>Zm00001e004639</t>
  </si>
  <si>
    <t>AT2G02360</t>
  </si>
  <si>
    <t>phloem protein 2-B10</t>
  </si>
  <si>
    <t>Zm00001eb081280</t>
  </si>
  <si>
    <t>Zm00001eb081280_T001</t>
  </si>
  <si>
    <t>Zm00001e007952</t>
  </si>
  <si>
    <t>hypothetical protein LOC100273399</t>
  </si>
  <si>
    <t>Zm00001eb013100</t>
  </si>
  <si>
    <t>Zm00001eb013100_T003</t>
  </si>
  <si>
    <t>Zm00001e001291</t>
  </si>
  <si>
    <t>hypothetical protein LOC100272353</t>
  </si>
  <si>
    <t>Zm00001eb301590</t>
  </si>
  <si>
    <t>Zm00001eb184610</t>
  </si>
  <si>
    <t>Zm00001eb184610_T002</t>
  </si>
  <si>
    <t>Zm00001e022966</t>
  </si>
  <si>
    <t>hypothetical protein LOC100275070</t>
  </si>
  <si>
    <t>AT1G80050</t>
  </si>
  <si>
    <t>adenine phosphoribosyl transferase 2</t>
  </si>
  <si>
    <t>Zm00001eb232940</t>
  </si>
  <si>
    <t>Zm00001eb232940_T001</t>
  </si>
  <si>
    <t>Zm00001e013719</t>
  </si>
  <si>
    <t>AT1G79130</t>
  </si>
  <si>
    <t>Zm00001eb165610</t>
  </si>
  <si>
    <t>Zm00001eb165610_T001</t>
  </si>
  <si>
    <t>Zm00001e021059</t>
  </si>
  <si>
    <t>Indole-3-glycerol phosphate lyase, chloroplastic Precursor (EC 4.1.2.8)(Indole synthase)(Tryptophan synthase alpha chain)(EC 4.2.1.20)(Benzoxazineless 1)</t>
  </si>
  <si>
    <t>AT4G02610</t>
  </si>
  <si>
    <t>Aldolase-type TIM barrel family protein</t>
  </si>
  <si>
    <t>Zm00001eb169710</t>
  </si>
  <si>
    <t>Zm00001eb169710_T001</t>
  </si>
  <si>
    <t>Zm00001e021455</t>
  </si>
  <si>
    <t>AT3G48520</t>
  </si>
  <si>
    <t>CYP94B3</t>
  </si>
  <si>
    <t>JA-IL&gt;12H-JA-IL</t>
  </si>
  <si>
    <t>catabolism</t>
  </si>
  <si>
    <t>cytochrome P450, family 94, subfamily B, polypeptide 3</t>
  </si>
  <si>
    <t>Zm00001eb386300</t>
  </si>
  <si>
    <t>Zm00001eb386300_T002</t>
  </si>
  <si>
    <t>Zm00001e037407</t>
  </si>
  <si>
    <t>hypothetical protein LOC100279815</t>
  </si>
  <si>
    <t>AT3G15730</t>
  </si>
  <si>
    <t>phospholipase D alpha 1</t>
  </si>
  <si>
    <t>Zm00001eb141010</t>
  </si>
  <si>
    <t>Zm00001eb141010_T001</t>
  </si>
  <si>
    <t>Zm00001e018632</t>
  </si>
  <si>
    <t>glutathione S-transferase GST 21</t>
  </si>
  <si>
    <t>Zm00001eb329580</t>
  </si>
  <si>
    <t>Zm00001eb329580_T001</t>
  </si>
  <si>
    <t>Zm00001e035744</t>
  </si>
  <si>
    <t>serine carboxypeptidase 1</t>
  </si>
  <si>
    <t>Zm00001eb057230</t>
  </si>
  <si>
    <t>Zm00001eb057230_T005</t>
  </si>
  <si>
    <t>Zm00001e005676</t>
  </si>
  <si>
    <t>exoglucanase1</t>
  </si>
  <si>
    <t>AT5G20950</t>
  </si>
  <si>
    <t>Glycosyl hydrolase family protein</t>
  </si>
  <si>
    <t>Zm00001eb067900</t>
  </si>
  <si>
    <t>Zm00001eb067900_T001</t>
  </si>
  <si>
    <t>Zm00001e006699</t>
  </si>
  <si>
    <t>hypothetical protein LOC100272781</t>
  </si>
  <si>
    <t>AT4G32300</t>
  </si>
  <si>
    <t>S-domain-2 5</t>
  </si>
  <si>
    <t>Zm00001eb314130</t>
  </si>
  <si>
    <t>Zm00001eb314130_T001</t>
  </si>
  <si>
    <t>Zm00001e034270</t>
  </si>
  <si>
    <t>Zm00001eb156540</t>
  </si>
  <si>
    <t>Zm00001eb156540_T002</t>
  </si>
  <si>
    <t>Zm00001e020142</t>
  </si>
  <si>
    <t>hypothetical protein LOC100382758</t>
  </si>
  <si>
    <t>AT3G18215</t>
  </si>
  <si>
    <t>Protein of unknown function, DUF599</t>
  </si>
  <si>
    <t>Zm00001eb201130</t>
  </si>
  <si>
    <t>Zm00001eb201130_T001</t>
  </si>
  <si>
    <t>Zm00001e024535</t>
  </si>
  <si>
    <t>disease resistance response protein 206</t>
  </si>
  <si>
    <t>AT1G65870</t>
  </si>
  <si>
    <t>Disease resistance-responsive (dirigent-like protein) family protein</t>
  </si>
  <si>
    <t>Zm00001eb217320</t>
  </si>
  <si>
    <t>Zm00001eb217320_T005</t>
  </si>
  <si>
    <t>Zm00001e012279</t>
  </si>
  <si>
    <t>transposon protein</t>
  </si>
  <si>
    <t>AT3G09880</t>
  </si>
  <si>
    <t>Protein phosphatase 2A regulatory B subunit family protein</t>
  </si>
  <si>
    <t>Zm00001eb319560</t>
  </si>
  <si>
    <t>Zm00001eb319560_T001</t>
  </si>
  <si>
    <t>Zm00001e034801</t>
  </si>
  <si>
    <t>senescence-inducible chloroplast stay-green protein 2</t>
  </si>
  <si>
    <t>Zm00001eb033330</t>
  </si>
  <si>
    <t>Zm00001eb033330_T001</t>
  </si>
  <si>
    <t>Zm00001e104903</t>
  </si>
  <si>
    <t>Zm00001eb065970</t>
  </si>
  <si>
    <t>Zm00001eb065970_T001</t>
  </si>
  <si>
    <t>Zm00001e006517</t>
  </si>
  <si>
    <t>hypothetical protein LOC100192904 (LOC100192904), mRNA</t>
  </si>
  <si>
    <t>AT2G20740</t>
  </si>
  <si>
    <t>Tetraspanin family protein</t>
  </si>
  <si>
    <t>Zm00001eb197890</t>
  </si>
  <si>
    <t>Zm00001eb197890_T001</t>
  </si>
  <si>
    <t>Zm00001e024203</t>
  </si>
  <si>
    <t>LOC100136880 isoform 2</t>
  </si>
  <si>
    <t>AT5G47910</t>
  </si>
  <si>
    <t>respiratory burst oxidase homologue D</t>
  </si>
  <si>
    <t>Zm00001eb161090</t>
  </si>
  <si>
    <t>Zm00001eb161090_T001</t>
  </si>
  <si>
    <t>Zm00001e020599</t>
  </si>
  <si>
    <t>AT2G32030</t>
  </si>
  <si>
    <t>Acyl-CoA N-acyltransferases (NAT) superfamily protein</t>
  </si>
  <si>
    <t>Zm00001eb386100</t>
  </si>
  <si>
    <t>Zm00001eb386100_T001</t>
  </si>
  <si>
    <t>Zm00001e037383</t>
  </si>
  <si>
    <t>hypothetical protein LOC100383675</t>
  </si>
  <si>
    <t>AT2G24960</t>
  </si>
  <si>
    <t>unknown protein; BEST Arabidopsis thaliana protein match is: unknown protein (TAIR:AT4G02210.2); Has 1453 Blast hits to 509 proteins in 26 species: Archae - 0; Bacteria - 0; Metazoa - 1; Fungi - 39; Plants - 1363; Viruses - 0; Other Eukaryotes - 50 (source: NCBI BLink).</t>
  </si>
  <si>
    <t>Zm00001eb101680</t>
  </si>
  <si>
    <t>Zm00001eb101680_T001</t>
  </si>
  <si>
    <t>Zm00001e010046</t>
  </si>
  <si>
    <t>hypothetical protein LOC100193609</t>
  </si>
  <si>
    <t>Zm00001eb302870</t>
  </si>
  <si>
    <t>Zm00001eb302870_T001</t>
  </si>
  <si>
    <t>Zm00001e033070</t>
  </si>
  <si>
    <t>AT3G11964</t>
  </si>
  <si>
    <t>RNA binding;RNA binding</t>
  </si>
  <si>
    <t>Zm00001eb335710</t>
  </si>
  <si>
    <t>Zm00001eb335710_T001</t>
  </si>
  <si>
    <t>Zm00001e025788</t>
  </si>
  <si>
    <t>hypothetical protein LOC100192469</t>
  </si>
  <si>
    <t>AT3G54140</t>
  </si>
  <si>
    <t>peptide transporter 1</t>
  </si>
  <si>
    <t>Zm00001eb301910</t>
  </si>
  <si>
    <t>Zm00001eb301910_T001</t>
  </si>
  <si>
    <t>Zm00001e032984</t>
  </si>
  <si>
    <t>AT5G56740</t>
  </si>
  <si>
    <t>histone acetyltransferase of the GNAT family 2</t>
  </si>
  <si>
    <t>Zm00001eb437140</t>
  </si>
  <si>
    <t>Zm00001eb437140_T001</t>
  </si>
  <si>
    <t>Zm00001e042272</t>
  </si>
  <si>
    <t>DNA-directed RNA polymerase subunit beta'' (EC 2.7.7.6)(PEP)(Plastid-encoded RNA polymerase subunit beta'')(RNA polymerase subunit beta'')</t>
  </si>
  <si>
    <t>ATCG00160</t>
  </si>
  <si>
    <t>ribosomal protein S2</t>
  </si>
  <si>
    <t>Zm00001eb164530</t>
  </si>
  <si>
    <t>Zm00001eb164530_T002</t>
  </si>
  <si>
    <t>Zm00001e020943.m1</t>
  </si>
  <si>
    <t>Zm00001eb273370</t>
  </si>
  <si>
    <t>Zm00001eb273370_T001</t>
  </si>
  <si>
    <t>Zm00001e030277</t>
  </si>
  <si>
    <t>AT1G72300</t>
  </si>
  <si>
    <t>Zm00001eb345350</t>
  </si>
  <si>
    <t>Zm00001eb345350_T009</t>
  </si>
  <si>
    <t>Zm00001e026679</t>
  </si>
  <si>
    <t>AT2G26140</t>
  </si>
  <si>
    <t>FTSH protease 4</t>
  </si>
  <si>
    <t>Zm00001eb286490</t>
  </si>
  <si>
    <t>Zm00001eb286490_T003</t>
  </si>
  <si>
    <t>Zm00001e031518</t>
  </si>
  <si>
    <t>WRKY53 - superfamily of TFs having WRKY and zinc finger domains</t>
  </si>
  <si>
    <t>AT5G07100</t>
  </si>
  <si>
    <t>WRKY DNA-binding protein 26</t>
  </si>
  <si>
    <t>Zm00001eb361370</t>
  </si>
  <si>
    <t>Zm00001eb361370_T001</t>
  </si>
  <si>
    <t>Zm00001e143464</t>
  </si>
  <si>
    <t>Zm00001eb363970</t>
  </si>
  <si>
    <t>Zm00001eb363970_T002</t>
  </si>
  <si>
    <t>Zm00001e028414</t>
  </si>
  <si>
    <t>AT3G46530</t>
  </si>
  <si>
    <t>Zm00001eb396100</t>
  </si>
  <si>
    <t>Zm00001eb396100_T001</t>
  </si>
  <si>
    <t>Zm00001e038332</t>
  </si>
  <si>
    <t>AT2G16760</t>
  </si>
  <si>
    <t>Calcium-dependent phosphotriesterase superfamily protein</t>
  </si>
  <si>
    <t>Zm00001eb353170</t>
  </si>
  <si>
    <t>Zm00001eb353170_T001</t>
  </si>
  <si>
    <t>Zm00001e027413</t>
  </si>
  <si>
    <t>AT4G18700</t>
  </si>
  <si>
    <t>CBL-interacting protein kinase 12</t>
  </si>
  <si>
    <t>Zm00001eb026300</t>
  </si>
  <si>
    <t>Zm00001eb026300_T005</t>
  </si>
  <si>
    <t>Zm00001e002629</t>
  </si>
  <si>
    <t>AT5G66150</t>
  </si>
  <si>
    <t>Glycosyl hydrolase family 38 protein</t>
  </si>
  <si>
    <t>Zm00001eb311280</t>
  </si>
  <si>
    <t>Zm00001eb311280_T002</t>
  </si>
  <si>
    <t>Zm00001e033976</t>
  </si>
  <si>
    <t>hypothetical protein LOC100193741</t>
  </si>
  <si>
    <t>AT5G10190</t>
  </si>
  <si>
    <t>Zm00001eb258900</t>
  </si>
  <si>
    <t>Zm00001eb258900_T001</t>
  </si>
  <si>
    <t>Zm00001e016228</t>
  </si>
  <si>
    <t>hypothetical protein LOC100383315</t>
  </si>
  <si>
    <t>AT5G44800</t>
  </si>
  <si>
    <t>chromatin remodeling 4</t>
  </si>
  <si>
    <t>Zm00001eb338510</t>
  </si>
  <si>
    <t>Zm00001eb338510_T001</t>
  </si>
  <si>
    <t>Zm00001e026047</t>
  </si>
  <si>
    <t>LOC100284971</t>
  </si>
  <si>
    <t>AT5G45910</t>
  </si>
  <si>
    <t>GDSL-like Lipase/Acylhydrolase superfamily protein</t>
  </si>
  <si>
    <t>Zm00001eb191940</t>
  </si>
  <si>
    <t>Zm00001eb191940_T001</t>
  </si>
  <si>
    <t>Zm00001e023650</t>
  </si>
  <si>
    <t>hypothetical protein LOC100280196</t>
  </si>
  <si>
    <t>AT3G54810</t>
  </si>
  <si>
    <t>Plant-specific GATA-type zinc finger transcription factor family protein</t>
  </si>
  <si>
    <t>GATA</t>
  </si>
  <si>
    <t>Zm00001eb113200</t>
  </si>
  <si>
    <t>Zm00001eb113200_T002</t>
  </si>
  <si>
    <t>Zm00001e011139</t>
  </si>
  <si>
    <t>hypothetical protein LOC100382201</t>
  </si>
  <si>
    <t>Zm00001eb222040</t>
  </si>
  <si>
    <t>Zm00001eb222040_T001</t>
  </si>
  <si>
    <t>Zm00001e012713</t>
  </si>
  <si>
    <t>hypothetical protein LOC100278556</t>
  </si>
  <si>
    <t>AT2G34930</t>
  </si>
  <si>
    <t>disease resistance family protein / LRR family protein</t>
  </si>
  <si>
    <t>Zm00001eb402410</t>
  </si>
  <si>
    <t>Zm00001eb402410_T002</t>
  </si>
  <si>
    <t>Zm00001e038918</t>
  </si>
  <si>
    <t>hypothetical protein LOC100274125</t>
  </si>
  <si>
    <t>AT3G13080</t>
  </si>
  <si>
    <t>multidrug resistance-associated protein 3</t>
  </si>
  <si>
    <t>Zm00001eb228010</t>
  </si>
  <si>
    <t>Zm00001eb228010_T001</t>
  </si>
  <si>
    <t>Zm00001e013275</t>
  </si>
  <si>
    <t>hypothetical protein LOC100193511</t>
  </si>
  <si>
    <t>AT5G47070</t>
  </si>
  <si>
    <t>Zm00001eb312470</t>
  </si>
  <si>
    <t>Zm00001eb009520</t>
  </si>
  <si>
    <t>Zm00001eb009520_T001</t>
  </si>
  <si>
    <t>Zm00001e000926</t>
  </si>
  <si>
    <t>Zm00001eb164120</t>
  </si>
  <si>
    <t>Zm00001eb229610</t>
  </si>
  <si>
    <t>Zm00001eb229610_T003</t>
  </si>
  <si>
    <t>Zm00001e013426</t>
  </si>
  <si>
    <t>hypothetical protein LOC100191827</t>
  </si>
  <si>
    <t>AT4G10840</t>
  </si>
  <si>
    <t>Zm00001eb038710</t>
  </si>
  <si>
    <t>Zm00001eb038710_T001</t>
  </si>
  <si>
    <t>Zm00001e003866</t>
  </si>
  <si>
    <t>hypothetical protein LOC100384057</t>
  </si>
  <si>
    <t>AT2G36910</t>
  </si>
  <si>
    <t>ABCB1</t>
  </si>
  <si>
    <t>transport pos</t>
  </si>
  <si>
    <t>Peer et al. 2011</t>
  </si>
  <si>
    <t>ATP binding cassette subfamily B1</t>
  </si>
  <si>
    <t>Zm00001eb108660</t>
  </si>
  <si>
    <t>Zm00001eb108660_T001</t>
  </si>
  <si>
    <t>Zm00001e010719</t>
  </si>
  <si>
    <t>taxadien-5-alpha-ol O-acetyltransferase</t>
  </si>
  <si>
    <t>AT5G17540</t>
  </si>
  <si>
    <t>Zm00001eb070280</t>
  </si>
  <si>
    <t>Zm00001eb070280_T001</t>
  </si>
  <si>
    <t>Zm00001e006892</t>
  </si>
  <si>
    <t>hypothetical protein LOC100192687</t>
  </si>
  <si>
    <t>AT4G18360</t>
  </si>
  <si>
    <t>Zm00001eb125930</t>
  </si>
  <si>
    <t>Zm00001eb125930_T001</t>
  </si>
  <si>
    <t>Zm00001e017072</t>
  </si>
  <si>
    <t>hypothetical protein LOC100272910</t>
  </si>
  <si>
    <t>AT3G18180</t>
  </si>
  <si>
    <t>Glycosyltransferase family 61 protein</t>
  </si>
  <si>
    <t>Zm00001eb002570</t>
  </si>
  <si>
    <t>Zm00001eb002570_T001</t>
  </si>
  <si>
    <t>Zm00001e000264</t>
  </si>
  <si>
    <t>hypothetical protein LOC100274307</t>
  </si>
  <si>
    <t>AT1G20510</t>
  </si>
  <si>
    <t>OPC-8:0 CoA ligase1</t>
  </si>
  <si>
    <t>Zm00001eb314240</t>
  </si>
  <si>
    <t>Zm00001eb314240_T001</t>
  </si>
  <si>
    <t>Zm00001e034279</t>
  </si>
  <si>
    <t>AT1G54130</t>
  </si>
  <si>
    <t>RELA/SPOT homolog 3</t>
  </si>
  <si>
    <t>Zm00001eb137320</t>
  </si>
  <si>
    <t>Zm00001eb137320_T002</t>
  </si>
  <si>
    <t>Zm00001e125327</t>
  </si>
  <si>
    <t>Zm00001eb273530</t>
  </si>
  <si>
    <t>Zm00001eb273530_T001</t>
  </si>
  <si>
    <t>Zm00001e030289</t>
  </si>
  <si>
    <t>lipid binding protein</t>
  </si>
  <si>
    <t>AT1G70250</t>
  </si>
  <si>
    <t>receptor serine/threonine kinase, putative</t>
  </si>
  <si>
    <t>Zm00001eb063220</t>
  </si>
  <si>
    <t>Zm00001eb063220_T002</t>
  </si>
  <si>
    <t>Zm00001e006235</t>
  </si>
  <si>
    <t>AT2G29690</t>
  </si>
  <si>
    <t>anthranilate synthase 2</t>
  </si>
  <si>
    <t>Zm00001eb029960</t>
  </si>
  <si>
    <t>Zm00001eb029960_T001</t>
  </si>
  <si>
    <t>Zm00001e003038</t>
  </si>
  <si>
    <t>hypothetical protein LOC100277833 (LOC100277833), mRNA</t>
  </si>
  <si>
    <t>AT3G19553</t>
  </si>
  <si>
    <t>Zm00001eb045670</t>
  </si>
  <si>
    <t>Zm00001eb045670_T002</t>
  </si>
  <si>
    <t>Zm00001e004557</t>
  </si>
  <si>
    <t>hypothetical protein LOC100216974</t>
  </si>
  <si>
    <t>AT2G28315</t>
  </si>
  <si>
    <t>Nucleotide/sugar transporter family protein</t>
  </si>
  <si>
    <t>Zm00001eb345910</t>
  </si>
  <si>
    <t>Zm00001eb345910_T001</t>
  </si>
  <si>
    <t>Zm00001e026729</t>
  </si>
  <si>
    <t>hypothetical protein LOC100279719</t>
  </si>
  <si>
    <t>AT3G47570</t>
  </si>
  <si>
    <t>Zm00001eb102290</t>
  </si>
  <si>
    <t>Zm00001eb102290_T001</t>
  </si>
  <si>
    <t>Zm00001e010110</t>
  </si>
  <si>
    <t>Zm00001eb023590</t>
  </si>
  <si>
    <t>Zm00001eb023590_T006</t>
  </si>
  <si>
    <t>Zm00001e002353</t>
  </si>
  <si>
    <t>hypothetical protein LOC100272315</t>
  </si>
  <si>
    <t>AT1G12200</t>
  </si>
  <si>
    <t>Flavin-binding monooxygenase family protein</t>
  </si>
  <si>
    <t>Zm00001eb086220</t>
  </si>
  <si>
    <t>Zm00001eb086220_T001</t>
  </si>
  <si>
    <t>Zm00001e008442</t>
  </si>
  <si>
    <t>AT5G10530</t>
  </si>
  <si>
    <t>Zm00001eb033140</t>
  </si>
  <si>
    <t>Zm00001eb033140_T001</t>
  </si>
  <si>
    <t>Zm00001e003358</t>
  </si>
  <si>
    <t>cell Division Protein AAA ATPase family</t>
  </si>
  <si>
    <t>Zm00001eb141210</t>
  </si>
  <si>
    <t>Zm00001eb141210_T001</t>
  </si>
  <si>
    <t>Zm00001e018652</t>
  </si>
  <si>
    <t>hypothetical protein LOC100191487</t>
  </si>
  <si>
    <t>AT1G76390</t>
  </si>
  <si>
    <t>ARM repeat superfamily protein</t>
  </si>
  <si>
    <t>Zm00001eb154990</t>
  </si>
  <si>
    <t>Zm00001eb133180</t>
  </si>
  <si>
    <t>Zm00001eb160670</t>
  </si>
  <si>
    <t>Zm00001eb160670_T001</t>
  </si>
  <si>
    <t>Zm00001e127833</t>
  </si>
  <si>
    <t>Zm00001eb170770</t>
  </si>
  <si>
    <t>Zm00001eb170770_T001</t>
  </si>
  <si>
    <t>Zm00001e021549</t>
  </si>
  <si>
    <t>hypothetical protein LOC100273307</t>
  </si>
  <si>
    <t>AT3G50150</t>
  </si>
  <si>
    <t>Plant protein of unknown function (DUF247)</t>
  </si>
  <si>
    <t>Zm00001eb017930</t>
  </si>
  <si>
    <t>Zm00001eb156130</t>
  </si>
  <si>
    <t>Zm00001eb156130_T001</t>
  </si>
  <si>
    <t>Zm00001e020101</t>
  </si>
  <si>
    <t>AT1G10360</t>
  </si>
  <si>
    <t>glutathione S-transferase TAU 18</t>
  </si>
  <si>
    <t>Zm00001eb195070</t>
  </si>
  <si>
    <t>Zm00001eb195070_T001</t>
  </si>
  <si>
    <t>Zm00001e023951</t>
  </si>
  <si>
    <t>prenylated Rab receptor 2</t>
  </si>
  <si>
    <t>AT2G38360</t>
  </si>
  <si>
    <t>prenylated RAB acceptor 1.B4</t>
  </si>
  <si>
    <t>Zm00001eb321360</t>
  </si>
  <si>
    <t>Zm00001eb321360_T003</t>
  </si>
  <si>
    <t>Zm00001e034972</t>
  </si>
  <si>
    <t>hypothetical protein LOC100384182</t>
  </si>
  <si>
    <t>AT4G34880</t>
  </si>
  <si>
    <t>Amidase family protein</t>
  </si>
  <si>
    <t>Zm00001eb183650</t>
  </si>
  <si>
    <t>Zm00001eb127040</t>
  </si>
  <si>
    <t>Zm00001eb187040</t>
  </si>
  <si>
    <t>Zm00001eb187040_T002</t>
  </si>
  <si>
    <t>Zm00001e023212</t>
  </si>
  <si>
    <t>high mobility group protein3</t>
  </si>
  <si>
    <t>AT1G20696</t>
  </si>
  <si>
    <t>high mobility group B3</t>
  </si>
  <si>
    <t>Zm00001eb018910</t>
  </si>
  <si>
    <t>Zm00001eb018910_T003</t>
  </si>
  <si>
    <t>Zm00001e001877</t>
  </si>
  <si>
    <t>hypothetical protein LOC100304393</t>
  </si>
  <si>
    <t>AT1G02170</t>
  </si>
  <si>
    <t>metacaspase 1</t>
  </si>
  <si>
    <t>Zm00001eb255560</t>
  </si>
  <si>
    <t>Zm00001eb255560_T001</t>
  </si>
  <si>
    <t>Zm00001e015910</t>
  </si>
  <si>
    <t>LOC541915</t>
  </si>
  <si>
    <t>AT5G65420</t>
  </si>
  <si>
    <t>CYCLIN D4;1</t>
  </si>
  <si>
    <t>Zm00001eb065420</t>
  </si>
  <si>
    <t>Zm00001eb065420_T002</t>
  </si>
  <si>
    <t>Zm00001e006464</t>
  </si>
  <si>
    <t>hypothetical protein LOC100384298</t>
  </si>
  <si>
    <t>AT4G19660</t>
  </si>
  <si>
    <t>NPR1-like protein 4</t>
  </si>
  <si>
    <t>Zm00001eb185300</t>
  </si>
  <si>
    <t>Zm00001eb185300_T001</t>
  </si>
  <si>
    <t>Zm00001e023039</t>
  </si>
  <si>
    <t>Aquaporin PIP2-3 (Plasma membrane intrinsic protein 2-3)(ZmPIP2-3)(ZmPIP2;3)</t>
  </si>
  <si>
    <t>Zm00001eb196550</t>
  </si>
  <si>
    <t>Zm00001eb196550_T001</t>
  </si>
  <si>
    <t>Zm00001e024101</t>
  </si>
  <si>
    <t>hypothetical protein LOC100279554 (LOC100279554), mRNA</t>
  </si>
  <si>
    <t>Zm00001eb116610</t>
  </si>
  <si>
    <t>Zm00001eb116610_T001</t>
  </si>
  <si>
    <t>Zm00001e011431</t>
  </si>
  <si>
    <t>nitrate and chloride transporter</t>
  </si>
  <si>
    <t>AT2G39210</t>
  </si>
  <si>
    <t>Zm00001eb332300</t>
  </si>
  <si>
    <t>Zm00001eb332300_T001</t>
  </si>
  <si>
    <t>Zm00001e025443</t>
  </si>
  <si>
    <t>AT1G62300</t>
  </si>
  <si>
    <t>WRKY family transcription factor</t>
  </si>
  <si>
    <t>Zm00001eb037000</t>
  </si>
  <si>
    <t>Zm00001eb037000_T001</t>
  </si>
  <si>
    <t>Zm00001e003702</t>
  </si>
  <si>
    <t>hypothetical protein LOC100273138</t>
  </si>
  <si>
    <t>AT1G60710</t>
  </si>
  <si>
    <t>Zm00001eb191220</t>
  </si>
  <si>
    <t>Zm00001eb191220_T001</t>
  </si>
  <si>
    <t>Zm00001e023586</t>
  </si>
  <si>
    <t>hypothetical protein LOC100382073</t>
  </si>
  <si>
    <t>Zm00001eb294780</t>
  </si>
  <si>
    <t>Zm00001eb294780_T003</t>
  </si>
  <si>
    <t>Zm00001e032320</t>
  </si>
  <si>
    <t>AT1G18440</t>
  </si>
  <si>
    <t>Peptidyl-tRNA hydrolase family protein</t>
  </si>
  <si>
    <t>Zm00001eb295670</t>
  </si>
  <si>
    <t>Zm00001eb295670_T001</t>
  </si>
  <si>
    <t>Zm00001e032409</t>
  </si>
  <si>
    <t>hypothetical protein LOC100217021</t>
  </si>
  <si>
    <t>AT4G18640</t>
  </si>
  <si>
    <t>Zm00001eb192680</t>
  </si>
  <si>
    <t>Zm00001eb192680_T001</t>
  </si>
  <si>
    <t>Zm00001e023724</t>
  </si>
  <si>
    <t>Zm00001eb047940</t>
  </si>
  <si>
    <t>Zm00001eb294110</t>
  </si>
  <si>
    <t>Zm00001eb294110_T001</t>
  </si>
  <si>
    <t>Zm00001e032252</t>
  </si>
  <si>
    <t>calmodulin binding protein</t>
  </si>
  <si>
    <t>AT1G74690</t>
  </si>
  <si>
    <t>IQ-domain 31</t>
  </si>
  <si>
    <t>Zm00001eb315490</t>
  </si>
  <si>
    <t>Zm00001eb315490_T001</t>
  </si>
  <si>
    <t>Zm00001e034410</t>
  </si>
  <si>
    <t>glutathione transferase23</t>
  </si>
  <si>
    <t>AT2G29420</t>
  </si>
  <si>
    <t>glutathione S-transferase tau 7</t>
  </si>
  <si>
    <t>Zm00001eb353270</t>
  </si>
  <si>
    <t>Zm00001eb353270_T001</t>
  </si>
  <si>
    <t>Zm00001e027421</t>
  </si>
  <si>
    <t>Zm00001eb057580</t>
  </si>
  <si>
    <t>Zm00001eb057580_T002</t>
  </si>
  <si>
    <t>Zm00001e005710</t>
  </si>
  <si>
    <t>brittle stalk-2-like protein 3</t>
  </si>
  <si>
    <t>AT5G60920</t>
  </si>
  <si>
    <t>COBRA-like extracellular glycosyl-phosphatidyl inositol-anchored protein family</t>
  </si>
  <si>
    <t>Zm00001eb010480</t>
  </si>
  <si>
    <t>Zm00001eb010480_T001</t>
  </si>
  <si>
    <t>Zm00001e001019</t>
  </si>
  <si>
    <t>AT2G17880</t>
  </si>
  <si>
    <t>Zm00001eb077720</t>
  </si>
  <si>
    <t>Zm00001eb077720_T001</t>
  </si>
  <si>
    <t>Zm00001e007615</t>
  </si>
  <si>
    <t>hypothetical protein LOC100280018</t>
  </si>
  <si>
    <t>AT2G31190</t>
  </si>
  <si>
    <t>Protein of unknown function, DUF647</t>
  </si>
  <si>
    <t>Zm00001eb004320</t>
  </si>
  <si>
    <t>Zm00001eb004320_T001</t>
  </si>
  <si>
    <t>Zm00001e000437</t>
  </si>
  <si>
    <t>Zm00001eb192780</t>
  </si>
  <si>
    <t>Zm00001eb192780_T005</t>
  </si>
  <si>
    <t>Zm00001e023734</t>
  </si>
  <si>
    <t>AT5G57610</t>
  </si>
  <si>
    <t>Protein kinase superfamily protein with octicosapeptide/Phox/Bem1p domain</t>
  </si>
  <si>
    <t>Zm00001eb056760</t>
  </si>
  <si>
    <t>Zm00001eb056760_T001</t>
  </si>
  <si>
    <t>Zm00001e005624</t>
  </si>
  <si>
    <t>AT5G43650</t>
  </si>
  <si>
    <t>basic helix-loop-helix (bHLH) DNA-binding superfamily protein</t>
  </si>
  <si>
    <t>bHLH</t>
  </si>
  <si>
    <t>Zm00001eb411550</t>
  </si>
  <si>
    <t>Zm00001eb104880</t>
  </si>
  <si>
    <t>Zm00001eb104880_T002</t>
  </si>
  <si>
    <t>Zm00001e010355</t>
  </si>
  <si>
    <t>AT3G45970</t>
  </si>
  <si>
    <t>expansin-like A1</t>
  </si>
  <si>
    <t>Zm00001eb146780</t>
  </si>
  <si>
    <t>Zm00001eb388590</t>
  </si>
  <si>
    <t>Zm00001eb071090</t>
  </si>
  <si>
    <t>Zm00001eb071090_T001</t>
  </si>
  <si>
    <t>Zm00001e006972</t>
  </si>
  <si>
    <t>terpene synthase1</t>
  </si>
  <si>
    <t>AT1G79460</t>
  </si>
  <si>
    <t>GA</t>
  </si>
  <si>
    <t>KS</t>
  </si>
  <si>
    <t>CDP&gt;ent-kaurene (step 2)</t>
  </si>
  <si>
    <t>Olszewski N et al. 2002</t>
  </si>
  <si>
    <t>Zm00001eb093210</t>
  </si>
  <si>
    <t>Zm00001eb093210_T001</t>
  </si>
  <si>
    <t>Zm00001e009189</t>
  </si>
  <si>
    <t>EF hand family protein</t>
  </si>
  <si>
    <t>AT2G41410</t>
  </si>
  <si>
    <t>Calcium-binding EF-hand family protein</t>
  </si>
  <si>
    <t>Zm00001eb006410</t>
  </si>
  <si>
    <t>Zm00001eb118230</t>
  </si>
  <si>
    <t>Zm00001eb162060</t>
  </si>
  <si>
    <t>Zm00001eb162060_T001</t>
  </si>
  <si>
    <t>Zm00001e020696</t>
  </si>
  <si>
    <t>LOC100284721</t>
  </si>
  <si>
    <t>Zm00001eb424700</t>
  </si>
  <si>
    <t>Zm00001eb424700_T001</t>
  </si>
  <si>
    <t>Zm00001e041061</t>
  </si>
  <si>
    <t>AT5G56250</t>
  </si>
  <si>
    <t>hapless 8</t>
  </si>
  <si>
    <t>Zm00001eb342410</t>
  </si>
  <si>
    <t>Zm00001eb342410_T001</t>
  </si>
  <si>
    <t>Zm00001e140872</t>
  </si>
  <si>
    <t>Zm00001eb282850</t>
  </si>
  <si>
    <t>Zm00001eb282850_T001</t>
  </si>
  <si>
    <t>Zm00001e031160</t>
  </si>
  <si>
    <t>Zm00001eb227330</t>
  </si>
  <si>
    <t>Zm00001eb227330_T001</t>
  </si>
  <si>
    <t>Zm00001e013207.m1</t>
  </si>
  <si>
    <t>Zm00001eb314830</t>
  </si>
  <si>
    <t>Zm00001eb314830_T001</t>
  </si>
  <si>
    <t>Zm00001e034341</t>
  </si>
  <si>
    <t>hypothetical protein LOC100382162</t>
  </si>
  <si>
    <t>Zm00001eb433520</t>
  </si>
  <si>
    <t>Zm00001eb433520_T001</t>
  </si>
  <si>
    <t>Zm00001e041916</t>
  </si>
  <si>
    <t>hypothetical protein LOC100275789</t>
  </si>
  <si>
    <t>Zm00001eb416330</t>
  </si>
  <si>
    <t>Zm00001eb416330_T002</t>
  </si>
  <si>
    <t>Zm00001e040260</t>
  </si>
  <si>
    <t>phloem-specific lectin</t>
  </si>
  <si>
    <t>AT2G02250</t>
  </si>
  <si>
    <t>phloem protein 2-B2</t>
  </si>
  <si>
    <t>Zm00001eb309260</t>
  </si>
  <si>
    <t>Zm00001eb309260_T001</t>
  </si>
  <si>
    <t>Zm00001e033746</t>
  </si>
  <si>
    <t>hypothetical protein LOC100382674</t>
  </si>
  <si>
    <t>AT5G48220</t>
  </si>
  <si>
    <t>Zm00001eb191440</t>
  </si>
  <si>
    <t>Zm00001eb191440_T003</t>
  </si>
  <si>
    <t>Zm00001e023607</t>
  </si>
  <si>
    <t>AT4G28760</t>
  </si>
  <si>
    <t>Protein of unknown function (DUF3741)</t>
  </si>
  <si>
    <t>Zm00001eb006530</t>
  </si>
  <si>
    <t>Zm00001eb253740</t>
  </si>
  <si>
    <t>Zm00001eb253740_T001</t>
  </si>
  <si>
    <t>Zm00001e015741</t>
  </si>
  <si>
    <t>hypothetical protein LOC100193744</t>
  </si>
  <si>
    <t>AT1G14860</t>
  </si>
  <si>
    <t>nudix hydrolase homolog 18</t>
  </si>
  <si>
    <t>Zm00001eb158860</t>
  </si>
  <si>
    <t>Zm00001eb158860_T001</t>
  </si>
  <si>
    <t>Zm00001e020366</t>
  </si>
  <si>
    <t>AT5G14700</t>
  </si>
  <si>
    <t>Zm00001eb162950</t>
  </si>
  <si>
    <t>Zm00001eb162950_T002</t>
  </si>
  <si>
    <t>Zm00001e020783</t>
  </si>
  <si>
    <t>hypothetical protein LOC100277160</t>
  </si>
  <si>
    <t>AT5G41270</t>
  </si>
  <si>
    <t>CONTAINS InterPro DOMAIN/s: RNAse P, Rpr2/Rpp21 subunit (InterPro:IPR007175); Has 35333 Blast hits to 34131 proteins in 2444 species: Archae - 798; Bacteria - 22429; Metazoa - 974; Fungi - 991; Plants - 531; Viruses - 0; Other Eukaryotes - 9610 (source: NCBI BLink).</t>
  </si>
  <si>
    <t>Zm00001eb099470</t>
  </si>
  <si>
    <t>Zm00001eb322150</t>
  </si>
  <si>
    <t>Zm00001eb322150_T003</t>
  </si>
  <si>
    <t>Zm00001e035049</t>
  </si>
  <si>
    <t>AT1G28340</t>
  </si>
  <si>
    <t>receptor like protein 4</t>
  </si>
  <si>
    <t>Zm00001eb231570</t>
  </si>
  <si>
    <t>Zm00001eb231570_T004</t>
  </si>
  <si>
    <t>Zm00001e013592</t>
  </si>
  <si>
    <t>glycosyltransferase</t>
  </si>
  <si>
    <t>Zm00001eb246640</t>
  </si>
  <si>
    <t>Zm00001eb172390</t>
  </si>
  <si>
    <t>Zm00001eb172390_T001</t>
  </si>
  <si>
    <t>Zm00001e021719</t>
  </si>
  <si>
    <t>hypothetical protein LOC100272856</t>
  </si>
  <si>
    <t>AT1G30760</t>
  </si>
  <si>
    <t>FAD-binding Berberine family protein</t>
  </si>
  <si>
    <t>Zm00001eb154480</t>
  </si>
  <si>
    <t>Zm00001eb154480_T002</t>
  </si>
  <si>
    <t>Zm00001e019934</t>
  </si>
  <si>
    <t>hypothetical protein LOC100194229</t>
  </si>
  <si>
    <t>AT1G10700</t>
  </si>
  <si>
    <t>phosphoribosyl pyrophosphate (PRPP) synthase 3</t>
  </si>
  <si>
    <t>Zm00001eb015630</t>
  </si>
  <si>
    <t>Zm00001eb015630_T001</t>
  </si>
  <si>
    <t>Zm00001e001540</t>
  </si>
  <si>
    <t>AT3G04070</t>
  </si>
  <si>
    <t>NAC domain containing protein 47</t>
  </si>
  <si>
    <t>Zm00001eb187850</t>
  </si>
  <si>
    <t>Zm00001eb187850_T001</t>
  </si>
  <si>
    <t>Zm00001e023280</t>
  </si>
  <si>
    <t>oligopeptide transporter 4</t>
  </si>
  <si>
    <t>AT5G64410</t>
  </si>
  <si>
    <t>Zm00001eb315790</t>
  </si>
  <si>
    <t>Zm00001eb076900</t>
  </si>
  <si>
    <t>Zm00001eb076900_T001</t>
  </si>
  <si>
    <t>Zm00001e007544</t>
  </si>
  <si>
    <t>Zm00001eb371810</t>
  </si>
  <si>
    <t>Zm00001eb193690</t>
  </si>
  <si>
    <t>Zm00001eb193690_T001</t>
  </si>
  <si>
    <t>Zm00001e023818</t>
  </si>
  <si>
    <t>hypothetical protein LOC100304305</t>
  </si>
  <si>
    <t>AT2G03220</t>
  </si>
  <si>
    <t>fucosyltransferase 1</t>
  </si>
  <si>
    <t>Zm00001eb208400</t>
  </si>
  <si>
    <t>Zm00001eb208400_T001</t>
  </si>
  <si>
    <t>Zm00001e025261</t>
  </si>
  <si>
    <t>Zm00001eb208690</t>
  </si>
  <si>
    <t>Zm00001eb208690_T001</t>
  </si>
  <si>
    <t>Zm00001e025283</t>
  </si>
  <si>
    <t>hypothetical protein LOC100279826</t>
  </si>
  <si>
    <t>Zm00001eb090620</t>
  </si>
  <si>
    <t>Zm00001eb090620_T002</t>
  </si>
  <si>
    <t>Zm00001e008912</t>
  </si>
  <si>
    <t>hypothetical protein LOC100381980</t>
  </si>
  <si>
    <t>Zm00001eb293520</t>
  </si>
  <si>
    <t>Zm00001eb293520_T004</t>
  </si>
  <si>
    <t>Zm00001e032200</t>
  </si>
  <si>
    <t>AT4G02750</t>
  </si>
  <si>
    <t>Zm00001eb292840</t>
  </si>
  <si>
    <t>Zm00001eb292840_T001</t>
  </si>
  <si>
    <t>Zm00001e032136</t>
  </si>
  <si>
    <t>O-methyltransferase ZRP4</t>
  </si>
  <si>
    <t>AT4G35160</t>
  </si>
  <si>
    <t>O-methyltransferase family protein</t>
  </si>
  <si>
    <t>Zm00001eb281370</t>
  </si>
  <si>
    <t>Zm00001eb266690</t>
  </si>
  <si>
    <t>Zm00001eb340160</t>
  </si>
  <si>
    <t>Zm00001eb340160_T001</t>
  </si>
  <si>
    <t>Zm00001e026193</t>
  </si>
  <si>
    <t>AT3G14320</t>
  </si>
  <si>
    <t>Zinc finger, C3HC4 type (RING finger) family protein</t>
  </si>
  <si>
    <t>Zm00001eb045690</t>
  </si>
  <si>
    <t>Zm00001eb045690_T001</t>
  </si>
  <si>
    <t>Zm00001e004559</t>
  </si>
  <si>
    <t>carboxy-lyase</t>
  </si>
  <si>
    <t>AT2G37210</t>
  </si>
  <si>
    <t>LOG3</t>
  </si>
  <si>
    <t>direct</t>
  </si>
  <si>
    <t>Kuroha T et al. 2009</t>
  </si>
  <si>
    <t>lysine decarboxylase family protein</t>
  </si>
  <si>
    <t>Zm00001eb084630</t>
  </si>
  <si>
    <t>Zm00001eb084630_T002</t>
  </si>
  <si>
    <t>Zm00001e008287</t>
  </si>
  <si>
    <t>AT4G13420</t>
  </si>
  <si>
    <t>high affinity K+ transporter 5</t>
  </si>
  <si>
    <t>Zm00001eb038190</t>
  </si>
  <si>
    <t>Zm00001eb038190_T001</t>
  </si>
  <si>
    <t>Zm00001e003811</t>
  </si>
  <si>
    <t>Urea Expression is Smaller Larger or equal to Control</t>
  </si>
  <si>
    <t>2022_v6_control_5_rep1</t>
  </si>
  <si>
    <t>2022_v6_control_5_rep1_FPKM</t>
  </si>
  <si>
    <t>2022_v6_control_5_rep2</t>
  </si>
  <si>
    <t>2022_v6_control_5_rep2_FPKM</t>
  </si>
  <si>
    <t>2022_v6_control_5_rep3</t>
  </si>
  <si>
    <t>2022_v6_control_5_rep3_FPKM</t>
  </si>
  <si>
    <t>2022_v6_control_5__rep4</t>
  </si>
  <si>
    <t>2022_v6_control_5__rep4_FPKM</t>
  </si>
  <si>
    <t>2022_v6_urea_8_rep1</t>
  </si>
  <si>
    <t>2022_v6_urea_8_rep1_FPKM</t>
  </si>
  <si>
    <t>2022_v6_urea_8_rep2</t>
  </si>
  <si>
    <t>2022_v6_urea_8_rep2_FPKM</t>
  </si>
  <si>
    <t>2022_v6_urea_8_rep3</t>
  </si>
  <si>
    <t>2022_v6_urea_8_rep3_FPKM</t>
  </si>
  <si>
    <t>2022_v6_urea_8_rep4</t>
  </si>
  <si>
    <t>2022_v6_urea_8_rep4_FPKM</t>
  </si>
  <si>
    <t>Zm00001eb005100</t>
  </si>
  <si>
    <t>Zm00001eb010040</t>
  </si>
  <si>
    <t>Zm00001eb010040_T003</t>
  </si>
  <si>
    <t>Zm00001e000979</t>
  </si>
  <si>
    <t>deoxymugineic acid synthase1</t>
  </si>
  <si>
    <t>Zm00001eb013660</t>
  </si>
  <si>
    <t>Zm00001eb013660_T001</t>
  </si>
  <si>
    <t>Zm00001e001340</t>
  </si>
  <si>
    <t>LOC100284511</t>
  </si>
  <si>
    <t>AT1G07080</t>
  </si>
  <si>
    <t>Thioredoxin superfamily protein</t>
  </si>
  <si>
    <t>Zm00001eb016230</t>
  </si>
  <si>
    <t>Zm00001eb021880</t>
  </si>
  <si>
    <t>Zm00001eb021880_T001</t>
  </si>
  <si>
    <t>Zm00001e002200</t>
  </si>
  <si>
    <t>mu-crystallin</t>
  </si>
  <si>
    <t>AT5G52810</t>
  </si>
  <si>
    <t>Zm00001eb034980</t>
  </si>
  <si>
    <t>Zm00001eb034980_T002</t>
  </si>
  <si>
    <t>Zm00001e003539</t>
  </si>
  <si>
    <t>ethylene-insensitive3-like protein</t>
  </si>
  <si>
    <t>AT1G73730</t>
  </si>
  <si>
    <t>EIL3</t>
  </si>
  <si>
    <t>Camehl I et al. 2026</t>
  </si>
  <si>
    <t>ETHYLENE-INSENSITIVE3-like 3</t>
  </si>
  <si>
    <t>EIL</t>
  </si>
  <si>
    <t>Zm00001eb040580</t>
  </si>
  <si>
    <t>Zm00001eb040580_T002</t>
  </si>
  <si>
    <t>Zm00001e004041</t>
  </si>
  <si>
    <t>hypothetical protein LOC100192597</t>
  </si>
  <si>
    <t>AT3G14200</t>
  </si>
  <si>
    <t>Zm00001eb053340</t>
  </si>
  <si>
    <t>Zm00001eb053340_T001</t>
  </si>
  <si>
    <t>Zm00001e005289</t>
  </si>
  <si>
    <t>LOC100284640</t>
  </si>
  <si>
    <t>AT2G23970</t>
  </si>
  <si>
    <t>Class I glutamine amidotransferase-like superfamily protein</t>
  </si>
  <si>
    <t>Zm00001eb056910</t>
  </si>
  <si>
    <t>Zm00001eb056910_T001</t>
  </si>
  <si>
    <t>Zm00001e005638</t>
  </si>
  <si>
    <t>AT4G14680</t>
  </si>
  <si>
    <t>Pseudouridine synthase/archaeosine transglycosylase-like family protein</t>
  </si>
  <si>
    <t>Zm00001eb062880</t>
  </si>
  <si>
    <t>Zm00001eb062880_T001</t>
  </si>
  <si>
    <t>Zm00001e006208</t>
  </si>
  <si>
    <t>Zm00001eb064450</t>
  </si>
  <si>
    <t>Zm00001eb064450_T001</t>
  </si>
  <si>
    <t>Zm00001e006360</t>
  </si>
  <si>
    <t>hypothetical protein LOC100272946</t>
  </si>
  <si>
    <t>AT3G07130</t>
  </si>
  <si>
    <t>purple acid phosphatase 15</t>
  </si>
  <si>
    <t>Zm00001eb068960</t>
  </si>
  <si>
    <t>Zm00001eb068960_T001</t>
  </si>
  <si>
    <t>Zm00001e006792</t>
  </si>
  <si>
    <t>RNA polymerase IV second largest subunit</t>
  </si>
  <si>
    <t>AT3G23780</t>
  </si>
  <si>
    <t>nuclear RNA polymerase D2A</t>
  </si>
  <si>
    <t>Zm00001eb074080</t>
  </si>
  <si>
    <t>Zm00001eb074080_T001</t>
  </si>
  <si>
    <t>Zm00001e007258</t>
  </si>
  <si>
    <t>hypothetical protein LOC100381942</t>
  </si>
  <si>
    <t>AT1G76140</t>
  </si>
  <si>
    <t>Prolyl oligopeptidase family protein</t>
  </si>
  <si>
    <t>Zm00001eb081030</t>
  </si>
  <si>
    <t>Zm00001eb081030_T001</t>
  </si>
  <si>
    <t>Zm00001e007931</t>
  </si>
  <si>
    <t>wound/stress protein</t>
  </si>
  <si>
    <t>AT4G39730</t>
  </si>
  <si>
    <t>Lipase/lipooxygenase, PLAT/LH2 family protein</t>
  </si>
  <si>
    <t>Zm00001eb082050</t>
  </si>
  <si>
    <t>Zm00001eb082050_T002</t>
  </si>
  <si>
    <t>Zm00001e008027</t>
  </si>
  <si>
    <t>12-oxo-phytodienoic acid reductase5</t>
  </si>
  <si>
    <t>AT1G76690</t>
  </si>
  <si>
    <t>12-oxophytodienoate reductase 2</t>
  </si>
  <si>
    <t>Zm00001eb083180</t>
  </si>
  <si>
    <t>Zm00001eb083180_T001</t>
  </si>
  <si>
    <t>Zm00001e008146</t>
  </si>
  <si>
    <t>Zm00001eb084560</t>
  </si>
  <si>
    <t>Zm00001eb084560_T001</t>
  </si>
  <si>
    <t>Zm00001e008278</t>
  </si>
  <si>
    <t>inhibitor of apoptosis-like protein</t>
  </si>
  <si>
    <t>Zm00001eb105800</t>
  </si>
  <si>
    <t>Zm00001eb105800_T001</t>
  </si>
  <si>
    <t>Zm00001e010457</t>
  </si>
  <si>
    <t>adenosine 5'-phosphosulfate reductase 2</t>
  </si>
  <si>
    <t>AT4G21990</t>
  </si>
  <si>
    <t>APS reductase 3</t>
  </si>
  <si>
    <t>Zm00001eb115490</t>
  </si>
  <si>
    <t>Zm00001eb115490_T005</t>
  </si>
  <si>
    <t>Zm00001e011337</t>
  </si>
  <si>
    <t>hypothetical protein LOC100273590</t>
  </si>
  <si>
    <t>AT5G27380</t>
  </si>
  <si>
    <t>glutathione synthetase 2</t>
  </si>
  <si>
    <t>Zm00001eb118010</t>
  </si>
  <si>
    <t>Zm00001eb118010_T001</t>
  </si>
  <si>
    <t>Zm00001e011555</t>
  </si>
  <si>
    <t>Zm00001eb121420</t>
  </si>
  <si>
    <t>Zm00001eb121420_T001</t>
  </si>
  <si>
    <t>Zm00001e016597</t>
  </si>
  <si>
    <t>hypothetical protein LOC100272718</t>
  </si>
  <si>
    <t>AT3G21360</t>
  </si>
  <si>
    <t>Zm00001eb132640</t>
  </si>
  <si>
    <t>Zm00001eb140400</t>
  </si>
  <si>
    <t>Zm00001eb140400_T001</t>
  </si>
  <si>
    <t>Zm00001e125719</t>
  </si>
  <si>
    <t>Zm00001eb146170</t>
  </si>
  <si>
    <t>Zm00001eb146170_T004</t>
  </si>
  <si>
    <t>Zm00001e019104</t>
  </si>
  <si>
    <t>hypothetical protein LOC100191532</t>
  </si>
  <si>
    <t>AT1G36370</t>
  </si>
  <si>
    <t>serine hydroxymethyltransferase 7</t>
  </si>
  <si>
    <t>Zm00001eb148590</t>
  </si>
  <si>
    <t>Zm00001eb148590_T001</t>
  </si>
  <si>
    <t>Zm00001e019351</t>
  </si>
  <si>
    <t>Zm00001eb153020</t>
  </si>
  <si>
    <t>Zm00001eb153020_T003</t>
  </si>
  <si>
    <t>Zm00001e019800</t>
  </si>
  <si>
    <t>hypothetical protein LOC100193809</t>
  </si>
  <si>
    <t>AT4G32480</t>
  </si>
  <si>
    <t>Protein of unknown function (DUF506)</t>
  </si>
  <si>
    <t>Zm00001eb154120</t>
  </si>
  <si>
    <t>Zm00001eb154120_T001</t>
  </si>
  <si>
    <t>Zm00001e019903</t>
  </si>
  <si>
    <t>pathogen-related protein</t>
  </si>
  <si>
    <t>AT1G78780</t>
  </si>
  <si>
    <t>pathogenesis-related family protein</t>
  </si>
  <si>
    <t>Zm00001eb165810</t>
  </si>
  <si>
    <t>Zm00001eb165810_T001</t>
  </si>
  <si>
    <t>Zm00001e021079</t>
  </si>
  <si>
    <t>tropinone reductase 2</t>
  </si>
  <si>
    <t>AT2G29360</t>
  </si>
  <si>
    <t>Zm00001eb166870</t>
  </si>
  <si>
    <t>Zm00001eb166870_T001</t>
  </si>
  <si>
    <t>Zm00001e021173</t>
  </si>
  <si>
    <t>AT5G19000</t>
  </si>
  <si>
    <t>BTB-POZ and MATH domain 1</t>
  </si>
  <si>
    <t>Zm00001eb171130</t>
  </si>
  <si>
    <t>Zm00001eb171130_T001</t>
  </si>
  <si>
    <t>Zm00001e021587</t>
  </si>
  <si>
    <t>F-box domain containing protein</t>
  </si>
  <si>
    <t>Zm00001eb171190</t>
  </si>
  <si>
    <t>Zm00001eb171190_T002</t>
  </si>
  <si>
    <t>Zm00001e021599</t>
  </si>
  <si>
    <t>aminotransferase y4uB</t>
  </si>
  <si>
    <t>AT3G22200</t>
  </si>
  <si>
    <t>Zm00001eb189430</t>
  </si>
  <si>
    <t>Zm00001eb192400</t>
  </si>
  <si>
    <t>Zm00001eb192400_T003</t>
  </si>
  <si>
    <t>Zm00001e023695</t>
  </si>
  <si>
    <t>hypothetical protein LOC100381464</t>
  </si>
  <si>
    <t>Zm00001eb195460</t>
  </si>
  <si>
    <t>Zm00001eb201290</t>
  </si>
  <si>
    <t>Zm00001eb201290_T002</t>
  </si>
  <si>
    <t>Zm00001e024549</t>
  </si>
  <si>
    <t>AT5G08790</t>
  </si>
  <si>
    <t>NAC (No Apical Meristem) domain transcriptional regulator superfamily protein</t>
  </si>
  <si>
    <t>Zm00001eb215080</t>
  </si>
  <si>
    <t>Zm00001eb215080_T002</t>
  </si>
  <si>
    <t>Zm00001e012056</t>
  </si>
  <si>
    <t>ATP sulfurylase</t>
  </si>
  <si>
    <t>AT3G22890</t>
  </si>
  <si>
    <t>ATP sulfurylase 1</t>
  </si>
  <si>
    <t>Zm00001eb231510</t>
  </si>
  <si>
    <t>Zm00001eb231510_T001</t>
  </si>
  <si>
    <t>Zm00001e013587</t>
  </si>
  <si>
    <t>bifunctional coenzyme A synthase</t>
  </si>
  <si>
    <t>AT2G18250</t>
  </si>
  <si>
    <t>4-phosphopantetheine adenylyltransferase</t>
  </si>
  <si>
    <t>Zm00001eb231720</t>
  </si>
  <si>
    <t>Zm00001eb233590</t>
  </si>
  <si>
    <t>Zm00001eb233590_T001</t>
  </si>
  <si>
    <t>Zm00001e013783</t>
  </si>
  <si>
    <t>Zm00001eb233790</t>
  </si>
  <si>
    <t>Zm00001eb233790_T001</t>
  </si>
  <si>
    <t>Zm00001e013804</t>
  </si>
  <si>
    <t>Zm00001eb240870</t>
  </si>
  <si>
    <t>Zm00001eb240870_T002</t>
  </si>
  <si>
    <t>Zm00001e014539</t>
  </si>
  <si>
    <t>AT4G31290</t>
  </si>
  <si>
    <t>ChaC-like family protein</t>
  </si>
  <si>
    <t>Zm00001eb251420</t>
  </si>
  <si>
    <t>Zm00001eb251420_T003</t>
  </si>
  <si>
    <t>Zm00001e015517</t>
  </si>
  <si>
    <t>AT1G31920</t>
  </si>
  <si>
    <t>Zm00001eb256560</t>
  </si>
  <si>
    <t>Zm00001eb256560_T001</t>
  </si>
  <si>
    <t>Zm00001e016013</t>
  </si>
  <si>
    <t>hypothetical protein LOC100191536</t>
  </si>
  <si>
    <t>AT2G31940</t>
  </si>
  <si>
    <t>unknown protein; INVOLVED IN: biological_process unknown; LOCATED IN: endomembrane system; EXPRESSED IN: 16 plant structures; EXPRESSED DURING: 6 growth stages; BEST Arabidopsis thaliana protein match is: unknown protein (TAIR:AT5G19875.1); Has 227 Blast hits to 227 proteins in 13 species: Archae - 0; Bacteria - 0; Metazoa - 0; Fungi - 0; Plants - 227; Viruses - 0; Other Eukaryotes - 0 (source: NCBI BLink).</t>
  </si>
  <si>
    <t>Zm00001eb258150</t>
  </si>
  <si>
    <t>Zm00001eb258150_T001</t>
  </si>
  <si>
    <t>Zm00001e016151</t>
  </si>
  <si>
    <t>Zm00001eb259650</t>
  </si>
  <si>
    <t>Zm00001eb259650_T002</t>
  </si>
  <si>
    <t>Zm00001e016301</t>
  </si>
  <si>
    <t>LOC100281320</t>
  </si>
  <si>
    <t>AT4G35900</t>
  </si>
  <si>
    <t>Basic-leucine zipper (bZIP) transcription factor family protein</t>
  </si>
  <si>
    <t>Zm00001eb277370</t>
  </si>
  <si>
    <t>Zm00001eb277370_T001</t>
  </si>
  <si>
    <t>Zm00001e030651</t>
  </si>
  <si>
    <t>LOC100281339</t>
  </si>
  <si>
    <t>AT1G10970</t>
  </si>
  <si>
    <t>zinc transporter 4 precursor</t>
  </si>
  <si>
    <t>Zm00001eb293070</t>
  </si>
  <si>
    <t>Zm00001eb293070_T002</t>
  </si>
  <si>
    <t>Zm00001e032155</t>
  </si>
  <si>
    <t>cyclic phosphodiesterase</t>
  </si>
  <si>
    <t>AT4G18930</t>
  </si>
  <si>
    <t>RNA ligase/cyclic nucleotide phosphodiesterase family protein</t>
  </si>
  <si>
    <t>Zm00001eb306140</t>
  </si>
  <si>
    <t>Zm00001eb306140_T002</t>
  </si>
  <si>
    <t>Zm00001e033392</t>
  </si>
  <si>
    <t>LOC100281459</t>
  </si>
  <si>
    <t>AT1G04180</t>
  </si>
  <si>
    <t>YUCCA 9</t>
  </si>
  <si>
    <t>Zm00001eb313760</t>
  </si>
  <si>
    <t>Zm00001eb313760_T001</t>
  </si>
  <si>
    <t>Zm00001e034233</t>
  </si>
  <si>
    <t>hypothetical protein LOC100275491</t>
  </si>
  <si>
    <t>AT1G53903</t>
  </si>
  <si>
    <t>Protein of unknown function (DUF581)</t>
  </si>
  <si>
    <t>Zm00001eb319970</t>
  </si>
  <si>
    <t>Zm00001eb326850</t>
  </si>
  <si>
    <t>Zm00001eb326850_T001</t>
  </si>
  <si>
    <t>Zm00001e035489</t>
  </si>
  <si>
    <t>hypothetical protein LOC100277236</t>
  </si>
  <si>
    <t>Zm00001eb327010</t>
  </si>
  <si>
    <t>Zm00001eb327010_T002</t>
  </si>
  <si>
    <t>Zm00001e035506</t>
  </si>
  <si>
    <t>hypothetical protein LOC100279752 (LOC100279752), mRNA</t>
  </si>
  <si>
    <t>AT2G37410</t>
  </si>
  <si>
    <t>translocase inner membrane subunit 17-2</t>
  </si>
  <si>
    <t>Zm00001eb333050</t>
  </si>
  <si>
    <t>Zm00001eb337180</t>
  </si>
  <si>
    <t>Zm00001eb347310</t>
  </si>
  <si>
    <t>Zm00001eb347310_T001</t>
  </si>
  <si>
    <t>Zm00001e026879</t>
  </si>
  <si>
    <t>lachrymatory factor synthase</t>
  </si>
  <si>
    <t>AT4G32870</t>
  </si>
  <si>
    <t>Polyketide cyclase/dehydrase and lipid transport superfamily protein</t>
  </si>
  <si>
    <t>Zm00001eb350770</t>
  </si>
  <si>
    <t>Zm00001eb352580</t>
  </si>
  <si>
    <t>Zm00001eb352580_T001</t>
  </si>
  <si>
    <t>Zm00001e027351</t>
  </si>
  <si>
    <t>AT5G44210</t>
  </si>
  <si>
    <t>erf domain protein 9</t>
  </si>
  <si>
    <t>Zm00001eb353520</t>
  </si>
  <si>
    <t>Zm00001eb353520_T002</t>
  </si>
  <si>
    <t>Zm00001e027445</t>
  </si>
  <si>
    <t>hypothetical protein LOC100217045</t>
  </si>
  <si>
    <t>AT3G16360</t>
  </si>
  <si>
    <t>AHP4</t>
  </si>
  <si>
    <t>Hwang I. et al. 2012</t>
  </si>
  <si>
    <t>HPT phosphotransmitter 4</t>
  </si>
  <si>
    <t>Zm00001eb354270</t>
  </si>
  <si>
    <t>Zm00001eb354270_T001</t>
  </si>
  <si>
    <t>Zm00001e027512</t>
  </si>
  <si>
    <t>hypothetical protein LOC100273021</t>
  </si>
  <si>
    <t>AT5G16400</t>
  </si>
  <si>
    <t>thioredoxin F2</t>
  </si>
  <si>
    <t>Zm00001eb355670</t>
  </si>
  <si>
    <t>Zm00001eb366470</t>
  </si>
  <si>
    <t>Zm00001eb366470_T001</t>
  </si>
  <si>
    <t>Zm00001e028647</t>
  </si>
  <si>
    <t>Zm00001eb368680</t>
  </si>
  <si>
    <t>Zm00001eb368680_T001</t>
  </si>
  <si>
    <t>Zm00001e028835</t>
  </si>
  <si>
    <t>hypothetical protein LOC100273033</t>
  </si>
  <si>
    <t>Zm00001eb379200</t>
  </si>
  <si>
    <t>Zm00001eb379200_T002</t>
  </si>
  <si>
    <t>Zm00001e036692</t>
  </si>
  <si>
    <t>glycerolphosphate mutase</t>
  </si>
  <si>
    <t>AT3G05170</t>
  </si>
  <si>
    <t>Phosphoglycerate mutase family protein</t>
  </si>
  <si>
    <t>Zm00001eb397270</t>
  </si>
  <si>
    <t>Zm00001eb397270_T003</t>
  </si>
  <si>
    <t>Zm00001e038447</t>
  </si>
  <si>
    <t>hypothetical protein LOC100274758</t>
  </si>
  <si>
    <t>AT2G37300</t>
  </si>
  <si>
    <t>unknown protein; Has 93 Blast hits to 62 proteins in 29 species: Archae - 0; Bacteria - 6; Metazoa - 13; Fungi - 19; Plants - 25; Viruses - 0; Other Eukaryotes - 30 (source: NCBI BLink).</t>
  </si>
  <si>
    <t>Zm00001eb397280</t>
  </si>
  <si>
    <t>Zm00001eb397280_T001</t>
  </si>
  <si>
    <t>Zm00001e038448</t>
  </si>
  <si>
    <t>IN2-1 protein</t>
  </si>
  <si>
    <t>AT5G02790</t>
  </si>
  <si>
    <t>Zm00001eb401100</t>
  </si>
  <si>
    <t>Zm00001eb401110</t>
  </si>
  <si>
    <t>Zm00001eb401110_T003</t>
  </si>
  <si>
    <t>Zm00001e038802</t>
  </si>
  <si>
    <t>hypothetical protein LOC100278811</t>
  </si>
  <si>
    <t>AT5G10070</t>
  </si>
  <si>
    <t>RNase L inhibitor protein-related</t>
  </si>
  <si>
    <t>Zm00001eb403450</t>
  </si>
  <si>
    <t>Zm00001eb406250</t>
  </si>
  <si>
    <t>Zm00001eb410450</t>
  </si>
  <si>
    <t>Zm00001eb410450_T001</t>
  </si>
  <si>
    <t>Zm00001e039711</t>
  </si>
  <si>
    <t>AT2G47870</t>
  </si>
  <si>
    <t>Zm00001eb423310</t>
  </si>
  <si>
    <t>Zm00001eb423310_T001</t>
  </si>
  <si>
    <t>Zm00001e040949</t>
  </si>
  <si>
    <t>hypothetical protein LOC100191739</t>
  </si>
  <si>
    <t>AT4G10300</t>
  </si>
  <si>
    <t>RmlC-like cupins superfamily protein</t>
  </si>
  <si>
    <t>Zm00001eb428800</t>
  </si>
  <si>
    <t>Zm00001eb428800_T001</t>
  </si>
  <si>
    <t>Zm00001e041441</t>
  </si>
  <si>
    <t>AT5G62020</t>
  </si>
  <si>
    <t>heat shock transcription factor  B2A</t>
  </si>
  <si>
    <t>HSF</t>
  </si>
  <si>
    <t>Zm00001eb007060</t>
  </si>
  <si>
    <t>Zm00001eb007060_T009</t>
  </si>
  <si>
    <t>Zm00001e000697</t>
  </si>
  <si>
    <t>hypothetical protein LOC100382106</t>
  </si>
  <si>
    <t>Zm00001eb055860</t>
  </si>
  <si>
    <t>Zm00001eb055860_T002</t>
  </si>
  <si>
    <t>Zm00001e005538</t>
  </si>
  <si>
    <t>hypothetical protein LOC100194132</t>
  </si>
  <si>
    <t>AT4G08170</t>
  </si>
  <si>
    <t>Inositol 1,3,4-trisphosphate 5/6-kinase family protein</t>
  </si>
  <si>
    <t>Zm00001eb104260</t>
  </si>
  <si>
    <t>Zm00001eb104260_T001</t>
  </si>
  <si>
    <t>Zm00001e010298</t>
  </si>
  <si>
    <t>NIN-like protein 1</t>
  </si>
  <si>
    <t>AT1G20640</t>
  </si>
  <si>
    <t>Plant regulator RWP-RK family protein</t>
  </si>
  <si>
    <t>Nin-like</t>
  </si>
  <si>
    <t>Zm00001eb121350</t>
  </si>
  <si>
    <t>Zm00001eb121350_T001</t>
  </si>
  <si>
    <t>Zm00001e016588</t>
  </si>
  <si>
    <t>AT5G43060</t>
  </si>
  <si>
    <t>Granulin repeat cysteine protease family protein</t>
  </si>
  <si>
    <t>Zm00001eb137210</t>
  </si>
  <si>
    <t>Zm00001eb239020</t>
  </si>
  <si>
    <t>Zm00001eb248230</t>
  </si>
  <si>
    <t>Zm00001eb251560</t>
  </si>
  <si>
    <t>Zm00001eb294690</t>
  </si>
  <si>
    <t>Zm00001eb294690_T003</t>
  </si>
  <si>
    <t>Zm00001e032311</t>
  </si>
  <si>
    <t>hypothetical protein LOC100383478</t>
  </si>
  <si>
    <t>AT1G48600</t>
  </si>
  <si>
    <t>Zm00001eb348240</t>
  </si>
  <si>
    <t>Zm00001eb348240_T003</t>
  </si>
  <si>
    <t>Zm00001e026956</t>
  </si>
  <si>
    <t>60S acidic ribosomal protein P2B</t>
  </si>
  <si>
    <t>AT2G27710</t>
  </si>
  <si>
    <t>60S acidic ribosomal protein family</t>
  </si>
  <si>
    <t>Zm00001eb356170</t>
  </si>
  <si>
    <t>Zm00001eb356170_T001</t>
  </si>
  <si>
    <t>Zm00001e027673</t>
  </si>
  <si>
    <t>Methionine S-methyltransferase (EC 2.1.1.12)(AdoMet:Met S-methyltransferase)</t>
  </si>
  <si>
    <t>AT5G49810</t>
  </si>
  <si>
    <t>methionine S-methyltransferase</t>
  </si>
  <si>
    <t>Zm00001eb400760</t>
  </si>
  <si>
    <t>Zm00001eb400760_T002</t>
  </si>
  <si>
    <t>Zm00001e038771</t>
  </si>
  <si>
    <t>hypothetical protein LOC100276991</t>
  </si>
  <si>
    <t>2023_v6_control_5_rep1</t>
  </si>
  <si>
    <t>2023_v6_control_5_rep1_FPKM</t>
  </si>
  <si>
    <t>2023_v6_control_5_rep2</t>
  </si>
  <si>
    <t>2023_v6_control_5_rep2_FPKM</t>
  </si>
  <si>
    <t>2023_v6_control_5_rep3</t>
  </si>
  <si>
    <t>2023_v6_control_5_rep3_FPKM</t>
  </si>
  <si>
    <t>2023_v6_control_5_rep4</t>
  </si>
  <si>
    <t>2023_v6_control_5_rep4_FPKM</t>
  </si>
  <si>
    <t>2023_v6_urea_8_rep1</t>
  </si>
  <si>
    <t>2023_v6_urea_8_rep1_FPKM</t>
  </si>
  <si>
    <t>2023_v6_urea_8_rep2</t>
  </si>
  <si>
    <t>2023_v6_urea_8_rep2_FPKM</t>
  </si>
  <si>
    <t>2023_v6_urea_8_rep3</t>
  </si>
  <si>
    <t>2023_v6_urea_8_rep3_FPKM</t>
  </si>
  <si>
    <t>2023_v6_urea_8_rep4</t>
  </si>
  <si>
    <t>2023_v6_urea_8_rep4_FPKM</t>
  </si>
  <si>
    <t>Zm00001eb008710</t>
  </si>
  <si>
    <t>Zm00001eb008710_T001</t>
  </si>
  <si>
    <t>Zm00001e000848</t>
  </si>
  <si>
    <t>ATMAP70-2</t>
  </si>
  <si>
    <t>AT1G24764</t>
  </si>
  <si>
    <t>microtubule-associated proteins 70-2</t>
  </si>
  <si>
    <t>Zm00001eb009600</t>
  </si>
  <si>
    <t>Zm00001eb009600_T001</t>
  </si>
  <si>
    <t>Zm00001e000933</t>
  </si>
  <si>
    <t>antiporter/ drug transporter/ transporter</t>
  </si>
  <si>
    <t>AT1G58340</t>
  </si>
  <si>
    <t>Zm00001eb010770</t>
  </si>
  <si>
    <t>Zm00001eb010770_T002</t>
  </si>
  <si>
    <t>Zm00001e001054</t>
  </si>
  <si>
    <t>nuclear transcription factor Y subunit C-1</t>
  </si>
  <si>
    <t>AT5G63470</t>
  </si>
  <si>
    <t>nuclear factor Y, subunit C4</t>
  </si>
  <si>
    <t>Zm00001eb016420</t>
  </si>
  <si>
    <t>Zm00001eb016420_T001</t>
  </si>
  <si>
    <t>Zm00001e001620</t>
  </si>
  <si>
    <t>hypothetical protein LOC100191792</t>
  </si>
  <si>
    <t>AT1G56220</t>
  </si>
  <si>
    <t>Dormancy/auxin associated family protein</t>
  </si>
  <si>
    <t>Zm00001eb017180</t>
  </si>
  <si>
    <t>Zm00001eb017180_T003</t>
  </si>
  <si>
    <t>Zm00001e001699</t>
  </si>
  <si>
    <t>50S ribosomal protein L6</t>
  </si>
  <si>
    <t>AT1G05190</t>
  </si>
  <si>
    <t>Ribosomal protein L6 family</t>
  </si>
  <si>
    <t>Zm00001eb028990</t>
  </si>
  <si>
    <t>Zm00001eb028990_T001</t>
  </si>
  <si>
    <t>Zm00001e002932</t>
  </si>
  <si>
    <t>Zm00001eb040400</t>
  </si>
  <si>
    <t>Zm00001eb040400_T001</t>
  </si>
  <si>
    <t>Zm00001e004026</t>
  </si>
  <si>
    <t>Zm00001eb041460</t>
  </si>
  <si>
    <t>Zm00001eb041460_T001</t>
  </si>
  <si>
    <t>Zm00001e004129</t>
  </si>
  <si>
    <t>LOC100284001</t>
  </si>
  <si>
    <t>AT3G47470</t>
  </si>
  <si>
    <t>light-harvesting chlorophyll-protein complex I subunit A4</t>
  </si>
  <si>
    <t>Zm00001eb053560</t>
  </si>
  <si>
    <t>Zm00001eb054810</t>
  </si>
  <si>
    <t>Zm00001eb054810_T001</t>
  </si>
  <si>
    <t>Zm00001e005433</t>
  </si>
  <si>
    <t>AT1G25440</t>
  </si>
  <si>
    <t>B-box type zinc finger protein with CCT domain</t>
  </si>
  <si>
    <t>Zm00001eb059950</t>
  </si>
  <si>
    <t>Zm00001eb059950_T001</t>
  </si>
  <si>
    <t>Zm00001e005914</t>
  </si>
  <si>
    <t>AT1G75290</t>
  </si>
  <si>
    <t>Zm00001eb062040</t>
  </si>
  <si>
    <t>Zm00001eb062040_T001</t>
  </si>
  <si>
    <t>Zm00001e006121</t>
  </si>
  <si>
    <t>hypothetical protein LOC100191364</t>
  </si>
  <si>
    <t>AT3G12600</t>
  </si>
  <si>
    <t>nudix hydrolase homolog 16</t>
  </si>
  <si>
    <t>Zm00001eb074380</t>
  </si>
  <si>
    <t>Zm00001eb074380_T003</t>
  </si>
  <si>
    <t>Zm00001e007288</t>
  </si>
  <si>
    <t>AT1G63440</t>
  </si>
  <si>
    <t>heavy metal atpase 5</t>
  </si>
  <si>
    <t>Zm00001eb080540</t>
  </si>
  <si>
    <t>Zm00001eb080540_T001</t>
  </si>
  <si>
    <t>Zm00001e007888</t>
  </si>
  <si>
    <t>zein protein-body ER membrane protein</t>
  </si>
  <si>
    <t>AT1G18265</t>
  </si>
  <si>
    <t>Protein of unknown function, DUF593</t>
  </si>
  <si>
    <t>Zm00001eb080680</t>
  </si>
  <si>
    <t>Zm00001eb080680_T001</t>
  </si>
  <si>
    <t>Zm00001e007903</t>
  </si>
  <si>
    <t>plastid-specific 30S ribosomal protein 3 (LOC100282135), mRNA</t>
  </si>
  <si>
    <t>AT1G68590</t>
  </si>
  <si>
    <t>Ribosomal protein PSRP-3/Ycf65</t>
  </si>
  <si>
    <t>Zm00001eb100020</t>
  </si>
  <si>
    <t>Zm00001eb100020_T001</t>
  </si>
  <si>
    <t>Zm00001e009873</t>
  </si>
  <si>
    <t>auxin-repressed protein</t>
  </si>
  <si>
    <t>Zm00001eb100050</t>
  </si>
  <si>
    <t>Zm00001eb100050_T001</t>
  </si>
  <si>
    <t>Zm00001e009876</t>
  </si>
  <si>
    <t>Zm00001eb107250</t>
  </si>
  <si>
    <t>Zm00001eb107250_T004</t>
  </si>
  <si>
    <t>Zm00001e010586</t>
  </si>
  <si>
    <t>hypothetical protein LOC100381721</t>
  </si>
  <si>
    <t>AT3G22380</t>
  </si>
  <si>
    <t>time for coffee</t>
  </si>
  <si>
    <t>Zm00001eb117130</t>
  </si>
  <si>
    <t>Zm00001eb117130_T001</t>
  </si>
  <si>
    <t>Zm00001e011474</t>
  </si>
  <si>
    <t>hypothetical protein LOC100192029</t>
  </si>
  <si>
    <t>AT2G19440</t>
  </si>
  <si>
    <t>O-Glycosyl hydrolases family 17 protein</t>
  </si>
  <si>
    <t>Zm00001eb117310</t>
  </si>
  <si>
    <t>Zm00001eb117310_T001</t>
  </si>
  <si>
    <t>Zm00001e011493</t>
  </si>
  <si>
    <t>AT3G13060</t>
  </si>
  <si>
    <t>evolutionarily conserved C-terminal region 5</t>
  </si>
  <si>
    <t>Zm00001eb122890</t>
  </si>
  <si>
    <t>Zm00001eb122890_T002</t>
  </si>
  <si>
    <t>Zm00001e016764</t>
  </si>
  <si>
    <t>AT5G33320</t>
  </si>
  <si>
    <t>Zm00001eb133480</t>
  </si>
  <si>
    <t>Zm00001eb133480_T002</t>
  </si>
  <si>
    <t>Zm00001e017846</t>
  </si>
  <si>
    <t>stromal 70 kDa heat shock-related protein</t>
  </si>
  <si>
    <t>Zm00001eb142300</t>
  </si>
  <si>
    <t>Zm00001eb142300_T003</t>
  </si>
  <si>
    <t>Zm00001e018735</t>
  </si>
  <si>
    <t>hypothetical protein LOC100191266</t>
  </si>
  <si>
    <t>AT1G07210</t>
  </si>
  <si>
    <t>Ribosomal protein S18</t>
  </si>
  <si>
    <t>Zm00001eb153360</t>
  </si>
  <si>
    <t>Zm00001eb156930</t>
  </si>
  <si>
    <t>Zm00001eb156930_T003</t>
  </si>
  <si>
    <t>Zm00001e020179</t>
  </si>
  <si>
    <t>hypothetical protein LOC100382561</t>
  </si>
  <si>
    <t>AT2G33250</t>
  </si>
  <si>
    <t>unknown protein; FUNCTIONS IN: molecular_function unknown; INVOLVED IN: biological_process unknown; LOCATED IN: chloroplast; EXPRESSED IN: 21 plant structures; EXPRESSED DURING: 13 growth stages; BEST Arabidopsis thaliana protein match is: unknown protein (TAIR:AT3G04310.1); Has 41 Blast hits to 41 proteins in 12 species: Archae - 0; Bacteria - 0; Metazoa - 0; Fungi - 0; Plants - 41; Viruses - 0; Other Eukaryotes - 0 (source: NCBI BLink).</t>
  </si>
  <si>
    <t>Zm00001eb177750</t>
  </si>
  <si>
    <t>Zm00001eb177750_T001</t>
  </si>
  <si>
    <t>Zm00001e022253</t>
  </si>
  <si>
    <t>AT1G59720</t>
  </si>
  <si>
    <t>Zm00001eb188120</t>
  </si>
  <si>
    <t>Zm00001eb188120_T003</t>
  </si>
  <si>
    <t>Zm00001e023306</t>
  </si>
  <si>
    <t>hypothetical protein LOC100279820</t>
  </si>
  <si>
    <t>AT1G32060</t>
  </si>
  <si>
    <t>phosphoribulokinase</t>
  </si>
  <si>
    <t>Zm00001eb188280</t>
  </si>
  <si>
    <t>Zm00001eb188280_T001</t>
  </si>
  <si>
    <t>Zm00001e023318</t>
  </si>
  <si>
    <t>AT4G19170</t>
  </si>
  <si>
    <t>nine-cis-epoxycarotenoid dioxygenase 4</t>
  </si>
  <si>
    <t>Zm00001eb191350</t>
  </si>
  <si>
    <t>Zm00001eb191350_T004</t>
  </si>
  <si>
    <t>Zm00001e023598</t>
  </si>
  <si>
    <t>LOC100282160</t>
  </si>
  <si>
    <t>AT4G34120</t>
  </si>
  <si>
    <t>Cystathionine beta-synthase (CBS) family protein</t>
  </si>
  <si>
    <t>Zm00001eb193020</t>
  </si>
  <si>
    <t>Zm00001eb193020_T001</t>
  </si>
  <si>
    <t>Zm00001e113217</t>
  </si>
  <si>
    <t>Zm00001eb194550</t>
  </si>
  <si>
    <t>Zm00001eb194550_T001</t>
  </si>
  <si>
    <t>Zm00001e023903</t>
  </si>
  <si>
    <t>starch synthase IIb-2 precursor</t>
  </si>
  <si>
    <t>AT3G01180</t>
  </si>
  <si>
    <t>starch synthase 2</t>
  </si>
  <si>
    <t>Zm00001eb202620</t>
  </si>
  <si>
    <t>Zm00001eb202620_T001</t>
  </si>
  <si>
    <t>Zm00001e024677</t>
  </si>
  <si>
    <t>hypothetical protein LOC100274430</t>
  </si>
  <si>
    <t>AT3G61880</t>
  </si>
  <si>
    <t>cytochrome p450 78a9</t>
  </si>
  <si>
    <t>Zm00001eb210370</t>
  </si>
  <si>
    <t>Zm00001eb210370_T003</t>
  </si>
  <si>
    <t>Zm00001e011616</t>
  </si>
  <si>
    <t>sigma-like factor6</t>
  </si>
  <si>
    <t>AT2G36990</t>
  </si>
  <si>
    <t>RNApolymerase sigma-subunit F</t>
  </si>
  <si>
    <t>Zm00001eb218730</t>
  </si>
  <si>
    <t>Zm00001eb218730_T001</t>
  </si>
  <si>
    <t>Zm00001e012408</t>
  </si>
  <si>
    <t>AT2G34710</t>
  </si>
  <si>
    <t>Homeobox-leucine zipper family protein / lipid-binding START domain-containing protein</t>
  </si>
  <si>
    <t>HD-ZIP</t>
  </si>
  <si>
    <t>Zm00001eb237760</t>
  </si>
  <si>
    <t>Zm00001eb237760_T003</t>
  </si>
  <si>
    <t>Zm00001e014239</t>
  </si>
  <si>
    <t>hypothetical protein LOC100278051 (LOC100278051), mRNA</t>
  </si>
  <si>
    <t>AT1G64050</t>
  </si>
  <si>
    <t>unknown protein; Has 524 Blast hits to 342 proteins in 101 species: Archae - 0; Bacteria - 106; Metazoa - 106; Fungi - 24; Plants - 25; Viruses - 0; Other Eukaryotes - 263 (source: NCBI BLink).</t>
  </si>
  <si>
    <t>Zm00001eb244130</t>
  </si>
  <si>
    <t>Zm00001eb244130_T002</t>
  </si>
  <si>
    <t>Zm00001e014847</t>
  </si>
  <si>
    <t>AT5G57580</t>
  </si>
  <si>
    <t>Calmodulin-binding protein</t>
  </si>
  <si>
    <t>Zm00001eb245920</t>
  </si>
  <si>
    <t>Zm00001eb245920_T002</t>
  </si>
  <si>
    <t>Zm00001e014990</t>
  </si>
  <si>
    <t>hypothetical protein LOC100382112</t>
  </si>
  <si>
    <t>AT3G26570</t>
  </si>
  <si>
    <t>phosphate transporter 2;1</t>
  </si>
  <si>
    <t>Zm00001eb252030</t>
  </si>
  <si>
    <t>Zm00001eb252030_T004</t>
  </si>
  <si>
    <t>Zm00001e015578</t>
  </si>
  <si>
    <t>hypothetical protein LOC100383920</t>
  </si>
  <si>
    <t>AT1G01050</t>
  </si>
  <si>
    <t>pyrophosphorylase 1</t>
  </si>
  <si>
    <t>Zm00001eb255850</t>
  </si>
  <si>
    <t>Zm00001eb255850_T001</t>
  </si>
  <si>
    <t>Zm00001e015945</t>
  </si>
  <si>
    <t>LOC100281795</t>
  </si>
  <si>
    <t>AT1G45474</t>
  </si>
  <si>
    <t>photosystem I light harvesting complex gene 5</t>
  </si>
  <si>
    <t>Zm00001eb271860</t>
  </si>
  <si>
    <t>Zm00001eb271860_T001</t>
  </si>
  <si>
    <t>Zm00001e030132</t>
  </si>
  <si>
    <t>Phytoene synthase, chloroplastic Precursor (EC 2.5.1.32)</t>
  </si>
  <si>
    <t>AT5G17230</t>
  </si>
  <si>
    <t>PHYTOENE SYNTHASE</t>
  </si>
  <si>
    <t>Zm00001eb282440</t>
  </si>
  <si>
    <t>Zm00001eb282440_T002</t>
  </si>
  <si>
    <t>Zm00001e031121</t>
  </si>
  <si>
    <t>hypothetical protein LOC100273011</t>
  </si>
  <si>
    <t>AT3G17470</t>
  </si>
  <si>
    <t>Ca2+-activated RelA/spot homolog</t>
  </si>
  <si>
    <t>Zm00001eb288190</t>
  </si>
  <si>
    <t>Zm00001eb288190_T002</t>
  </si>
  <si>
    <t>Zm00001e031684</t>
  </si>
  <si>
    <t>AT4G02600</t>
  </si>
  <si>
    <t>Seven transmembrane MLO family protein</t>
  </si>
  <si>
    <t>Zm00001eb300650</t>
  </si>
  <si>
    <t>Zm00001eb300650_T001</t>
  </si>
  <si>
    <t>Zm00001e032868</t>
  </si>
  <si>
    <t>Zm00001eb301430</t>
  </si>
  <si>
    <t>Zm00001eb301430_T001</t>
  </si>
  <si>
    <t>Zm00001e032939</t>
  </si>
  <si>
    <t>AT3G54540</t>
  </si>
  <si>
    <t>general control non-repressible 4</t>
  </si>
  <si>
    <t>Zm00001eb303060</t>
  </si>
  <si>
    <t>Zm00001eb303060_T001</t>
  </si>
  <si>
    <t>Zm00001e033090</t>
  </si>
  <si>
    <t>hypothetical protein LOC100280191</t>
  </si>
  <si>
    <t>AT2G41820</t>
  </si>
  <si>
    <t>Zm00001eb315460</t>
  </si>
  <si>
    <t>Zm00001eb315460_T001</t>
  </si>
  <si>
    <t>Zm00001e034408</t>
  </si>
  <si>
    <t>hypothetical protein LOC100273524</t>
  </si>
  <si>
    <t>AT5G25630</t>
  </si>
  <si>
    <t>Zm00001eb316280</t>
  </si>
  <si>
    <t>Zm00001eb316280_T002</t>
  </si>
  <si>
    <t>Zm00001e034483</t>
  </si>
  <si>
    <t>AT5G56170</t>
  </si>
  <si>
    <t>LORELEI-LIKE-GPI-ANCHORED PROTEIN 1</t>
  </si>
  <si>
    <t>Zm00001eb323140</t>
  </si>
  <si>
    <t>Zm00001eb323140_T001</t>
  </si>
  <si>
    <t>Zm00001e035146</t>
  </si>
  <si>
    <t>hypothetical protein LOC100279565</t>
  </si>
  <si>
    <t>AT4G21210</t>
  </si>
  <si>
    <t>PPDK regulatory protein</t>
  </si>
  <si>
    <t>Zm00001eb328560</t>
  </si>
  <si>
    <t>Zm00001eb328560_T001</t>
  </si>
  <si>
    <t>Zm00001e035647</t>
  </si>
  <si>
    <t>LOC100284091</t>
  </si>
  <si>
    <t>AT3G62040</t>
  </si>
  <si>
    <t>Zm00001eb329780</t>
  </si>
  <si>
    <t>Zm00001eb329780_T001</t>
  </si>
  <si>
    <t>Zm00001e035765</t>
  </si>
  <si>
    <t>rhythmically expressed protein</t>
  </si>
  <si>
    <t>AT2G41250</t>
  </si>
  <si>
    <t>Zm00001eb331630</t>
  </si>
  <si>
    <t>Zm00001eb331630_T002</t>
  </si>
  <si>
    <t>Zm00001e035953</t>
  </si>
  <si>
    <t>AT5G60100</t>
  </si>
  <si>
    <t>pseudo-response regulator 3</t>
  </si>
  <si>
    <t>Zm00001eb351560</t>
  </si>
  <si>
    <t>Zm00001eb351560_T002</t>
  </si>
  <si>
    <t>Zm00001e142422</t>
  </si>
  <si>
    <t>Zm00001eb356550</t>
  </si>
  <si>
    <t>Zm00001eb356550_T003</t>
  </si>
  <si>
    <t>Zm00001e027714</t>
  </si>
  <si>
    <t>AT4G00370</t>
  </si>
  <si>
    <t>Zm00001eb361620</t>
  </si>
  <si>
    <t>Zm00001eb361620_T002</t>
  </si>
  <si>
    <t>Zm00001e028194</t>
  </si>
  <si>
    <t>hypothetical protein LOC100191227</t>
  </si>
  <si>
    <t>AT1G73010</t>
  </si>
  <si>
    <t>phosphate starvation-induced gene 2</t>
  </si>
  <si>
    <t>Zm00001eb366250</t>
  </si>
  <si>
    <t>Zm00001eb366250_T001</t>
  </si>
  <si>
    <t>Zm00001e028622</t>
  </si>
  <si>
    <t>hypothetical protein LOC100272808</t>
  </si>
  <si>
    <t>AT3G18660</t>
  </si>
  <si>
    <t>plant glycogenin-like starch initiation protein 1</t>
  </si>
  <si>
    <t>Zm00001eb368660</t>
  </si>
  <si>
    <t>Zm00001eb368660_T001</t>
  </si>
  <si>
    <t>Zm00001e028833</t>
  </si>
  <si>
    <t>AT5G05365</t>
  </si>
  <si>
    <t>Zm00001eb397700</t>
  </si>
  <si>
    <t>Zm00001eb397700_T001</t>
  </si>
  <si>
    <t>Zm00001e038486</t>
  </si>
  <si>
    <t>Initiator binding protein</t>
  </si>
  <si>
    <t>AT1G07540</t>
  </si>
  <si>
    <t>TRF-like 2</t>
  </si>
  <si>
    <t>Zm00001eb404690</t>
  </si>
  <si>
    <t>Zm00001eb404690_T003</t>
  </si>
  <si>
    <t>Zm00001e039148</t>
  </si>
  <si>
    <t>hypothetical protein LOC100272340</t>
  </si>
  <si>
    <t>AT3G52980</t>
  </si>
  <si>
    <t>Zinc finger (CCCH-type) family protein / RNA recognition motif (RRM)-containing protein</t>
  </si>
  <si>
    <t>Zm00001eb420890</t>
  </si>
  <si>
    <t>Zm00001eb420890_T002</t>
  </si>
  <si>
    <t>Zm00001e040727</t>
  </si>
  <si>
    <t>EMB1688</t>
  </si>
  <si>
    <t>AT1G67440</t>
  </si>
  <si>
    <t>Minichromosome maintenance (MCM2/3/5) family protein</t>
  </si>
  <si>
    <t>Zm00001eb431800</t>
  </si>
  <si>
    <t>Zm00001eb431800_T006</t>
  </si>
  <si>
    <t>Zm00001e041750</t>
  </si>
  <si>
    <t>hypothetical protein LOC100191548</t>
  </si>
  <si>
    <t>AT1G58290</t>
  </si>
  <si>
    <t>Glutamyl-tRNA reductase family protein</t>
  </si>
  <si>
    <t>Zm00001eb006210</t>
  </si>
  <si>
    <t>Zm00001eb006210_T001</t>
  </si>
  <si>
    <t>Zm00001e000612</t>
  </si>
  <si>
    <t>ethylene-responsive element binding protein 2</t>
  </si>
  <si>
    <t>AT1G72360</t>
  </si>
  <si>
    <t>Zm00001eb010130</t>
  </si>
  <si>
    <t>Zm00001eb010130_T001</t>
  </si>
  <si>
    <t>Zm00001e000991</t>
  </si>
  <si>
    <t>LOC100284727</t>
  </si>
  <si>
    <t>AT1G14700</t>
  </si>
  <si>
    <t>purple acid phosphatase 3</t>
  </si>
  <si>
    <t>Zm00001eb010150</t>
  </si>
  <si>
    <t>Zm00001eb010150_T003</t>
  </si>
  <si>
    <t>Zm00001e000993</t>
  </si>
  <si>
    <t>hypothetical protein LOC100279246</t>
  </si>
  <si>
    <t>AT1G14710</t>
  </si>
  <si>
    <t>hydroxyproline-rich glycoprotein family protein</t>
  </si>
  <si>
    <t>Zm00001eb011610</t>
  </si>
  <si>
    <t>Zm00001eb011610_T001</t>
  </si>
  <si>
    <t>Zm00001e001145</t>
  </si>
  <si>
    <t>hypothetical protein LOC100277047</t>
  </si>
  <si>
    <t>AT4G08230</t>
  </si>
  <si>
    <t>glycine-rich protein</t>
  </si>
  <si>
    <t>Zm00001eb019130</t>
  </si>
  <si>
    <t>Zm00001eb019130_T002</t>
  </si>
  <si>
    <t>Zm00001e001896</t>
  </si>
  <si>
    <t>putative GTP-binding protein</t>
  </si>
  <si>
    <t>AT5G52210</t>
  </si>
  <si>
    <t>GTP-binding protein 1</t>
  </si>
  <si>
    <t>Zm00001eb022390</t>
  </si>
  <si>
    <t>Zm00001eb022390_T001</t>
  </si>
  <si>
    <t>Zm00001e102283</t>
  </si>
  <si>
    <t>Zm00001eb034810</t>
  </si>
  <si>
    <t>Zm00001eb042780</t>
  </si>
  <si>
    <t>Zm00001eb042780_T001</t>
  </si>
  <si>
    <t>Zm00001e004274</t>
  </si>
  <si>
    <t>hypothetical protein LOC100217274</t>
  </si>
  <si>
    <t>AT2G43120</t>
  </si>
  <si>
    <t>Zm00001eb054140</t>
  </si>
  <si>
    <t>Zm00001eb054140_T001</t>
  </si>
  <si>
    <t>Zm00001e005374</t>
  </si>
  <si>
    <t>AT3G06470</t>
  </si>
  <si>
    <t>GNS1/SUR4 membrane protein family</t>
  </si>
  <si>
    <t>Zm00001eb054730</t>
  </si>
  <si>
    <t>Zm00001eb054730_T001</t>
  </si>
  <si>
    <t>Zm00001e107322</t>
  </si>
  <si>
    <t>Zm00001eb057220</t>
  </si>
  <si>
    <t>Zm00001eb057220_T001</t>
  </si>
  <si>
    <t>Zm00001e005675</t>
  </si>
  <si>
    <t>AT5G45720</t>
  </si>
  <si>
    <t>AAA-type ATPase family protein</t>
  </si>
  <si>
    <t>Zm00001eb057820</t>
  </si>
  <si>
    <t>Zm00001eb057820_T002</t>
  </si>
  <si>
    <t>Zm00001e005732</t>
  </si>
  <si>
    <t>hypothetical protein LOC100191170</t>
  </si>
  <si>
    <t>AT1G69310</t>
  </si>
  <si>
    <t>WRKY DNA-binding protein 57</t>
  </si>
  <si>
    <t>Zm00001eb058270</t>
  </si>
  <si>
    <t>Zm00001eb058270_T001</t>
  </si>
  <si>
    <t>Zm00001e107668</t>
  </si>
  <si>
    <t>Zm00001eb071890</t>
  </si>
  <si>
    <t>Zm00001eb071890_T001</t>
  </si>
  <si>
    <t>Zm00001e007058</t>
  </si>
  <si>
    <t>alternative oxidase1</t>
  </si>
  <si>
    <t>AT3G22370</t>
  </si>
  <si>
    <t>alternative oxidase 1A</t>
  </si>
  <si>
    <t>Zm00001eb074680</t>
  </si>
  <si>
    <t>Zm00001eb083610</t>
  </si>
  <si>
    <t>Zm00001eb083610_T002</t>
  </si>
  <si>
    <t>Zm00001e008178</t>
  </si>
  <si>
    <t>AT5G05960</t>
  </si>
  <si>
    <t>Bifunctional inhibitor/lipid-transfer protein/seed storage 2S albumin superfamily protein</t>
  </si>
  <si>
    <t>Zm00001eb084020</t>
  </si>
  <si>
    <t>Zm00001eb084020_T001</t>
  </si>
  <si>
    <t>Zm00001e008218</t>
  </si>
  <si>
    <t>hypothetical protein LOC100273767 (LOC100273767), mRNA</t>
  </si>
  <si>
    <t>Zm00001eb099420</t>
  </si>
  <si>
    <t>Zm00001eb099610</t>
  </si>
  <si>
    <t>Zm00001eb099610_T001</t>
  </si>
  <si>
    <t>Zm00001e009835</t>
  </si>
  <si>
    <t>LOC100284831</t>
  </si>
  <si>
    <t>AT3G47480</t>
  </si>
  <si>
    <t>Zm00001eb104630</t>
  </si>
  <si>
    <t>Zm00001eb104630_T001</t>
  </si>
  <si>
    <t>Zm00001e010330</t>
  </si>
  <si>
    <t>hypothetical protein LOC100279644 (LOC100279644), mRNA</t>
  </si>
  <si>
    <t>AT3G59080</t>
  </si>
  <si>
    <t>Eukaryotic aspartyl protease family protein</t>
  </si>
  <si>
    <t>Zm00001eb116650</t>
  </si>
  <si>
    <t>Zm00001eb116650_T001</t>
  </si>
  <si>
    <t>Zm00001e011434</t>
  </si>
  <si>
    <t>hypothetical protein LOC100273022</t>
  </si>
  <si>
    <t>AT2G19130</t>
  </si>
  <si>
    <t>S-locus lectin protein kinase family protein</t>
  </si>
  <si>
    <t>Zm00001eb125880</t>
  </si>
  <si>
    <t>Zm00001eb154550</t>
  </si>
  <si>
    <t>Zm00001eb154550_T001</t>
  </si>
  <si>
    <t>Zm00001e127276</t>
  </si>
  <si>
    <t>Zm00001eb162710</t>
  </si>
  <si>
    <t>Zm00001eb162710_T001</t>
  </si>
  <si>
    <t>Zm00001e020756</t>
  </si>
  <si>
    <t>AT2G45130</t>
  </si>
  <si>
    <t>SPX domain gene 3</t>
  </si>
  <si>
    <t>Zm00001eb168560</t>
  </si>
  <si>
    <t>Zm00001eb168560_T001</t>
  </si>
  <si>
    <t>Zm00001e021334</t>
  </si>
  <si>
    <t>Zm00001eb180060</t>
  </si>
  <si>
    <t>Zm00001eb180060_T002</t>
  </si>
  <si>
    <t>Zm00001e022497</t>
  </si>
  <si>
    <t>LOC100284063</t>
  </si>
  <si>
    <t>Zm00001eb180420</t>
  </si>
  <si>
    <t>Zm00001eb183820</t>
  </si>
  <si>
    <t>Zm00001eb183820_T004</t>
  </si>
  <si>
    <t>Zm00001e022888</t>
  </si>
  <si>
    <t>hypothetical protein LOC100384710</t>
  </si>
  <si>
    <t>AT1G24540</t>
  </si>
  <si>
    <t>cytochrome P450, family 86, subfamily C, polypeptide 1</t>
  </si>
  <si>
    <t>Zm00001eb201770</t>
  </si>
  <si>
    <t>Zm00001eb201770_T001</t>
  </si>
  <si>
    <t>Zm00001e024592</t>
  </si>
  <si>
    <t>hypothetical protein LOC100279205</t>
  </si>
  <si>
    <t>AT5G53970</t>
  </si>
  <si>
    <t>Tyrosine transaminase family protein</t>
  </si>
  <si>
    <t>Zm00001eb204590</t>
  </si>
  <si>
    <t>Zm00001eb204590_T001</t>
  </si>
  <si>
    <t>Zm00001e024880</t>
  </si>
  <si>
    <t>hypothetical protein LOC100191644</t>
  </si>
  <si>
    <t>AT3G14450</t>
  </si>
  <si>
    <t>CTC-interacting domain 9</t>
  </si>
  <si>
    <t>Zm00001eb205810</t>
  </si>
  <si>
    <t>Zm00001eb205810_T003</t>
  </si>
  <si>
    <t>Zm00001e025008</t>
  </si>
  <si>
    <t>AT1G55840</t>
  </si>
  <si>
    <t>Zm00001eb209140</t>
  </si>
  <si>
    <t>Zm00001eb209140_T001</t>
  </si>
  <si>
    <t>Zm00001e025327</t>
  </si>
  <si>
    <t>hypothetical protein LOC100274621 (LOC100274621), mRNA</t>
  </si>
  <si>
    <t>Zm00001eb209390</t>
  </si>
  <si>
    <t>Zm00001eb209390_T001</t>
  </si>
  <si>
    <t>Zm00001e025356</t>
  </si>
  <si>
    <t>AT1G42480</t>
  </si>
  <si>
    <t>unknown protein; FUNCTIONS IN: molecular_function unknown; INVOLVED IN: biological_process unknown; LOCATED IN: endomembrane system; EXPRESSED IN: 24 plant structures; EXPRESSED DURING: 13 growth stages; CONTAINS InterPro DOMAIN/s: Protein of unknown function DUF3456 (InterPro:IPR021852); Has 30201 Blast hits to 17322 proteins in 780 species: Archae - 12; Bacteria - 1396; Metazoa - 17338; Fungi - 3422; Plants - 5037; Viruses - 0; Other Eukaryotes - 2996 (source: NCBI BLink).</t>
  </si>
  <si>
    <t>Zm00001eb226570</t>
  </si>
  <si>
    <t>Zm00001eb236840</t>
  </si>
  <si>
    <t>Zm00001eb236840_T001</t>
  </si>
  <si>
    <t>Zm00001e014128</t>
  </si>
  <si>
    <t>hypothetical protein LOC100274544</t>
  </si>
  <si>
    <t>Zm00001eb245520</t>
  </si>
  <si>
    <t>Zm00001eb245520_T001</t>
  </si>
  <si>
    <t>Zm00001e014958</t>
  </si>
  <si>
    <t>ATFP4</t>
  </si>
  <si>
    <t>AT5G48290</t>
  </si>
  <si>
    <t>Zm00001eb250590</t>
  </si>
  <si>
    <t>Zm00001eb250590_T004</t>
  </si>
  <si>
    <t>Zm00001e015433</t>
  </si>
  <si>
    <t>AT1G63010</t>
  </si>
  <si>
    <t>Major Facilitator Superfamily with SPX (SYG1/Pho81/XPR1) domain-containing protein</t>
  </si>
  <si>
    <t>Zm00001eb251680</t>
  </si>
  <si>
    <t>Zm00001eb251680_T001</t>
  </si>
  <si>
    <t>Zm00001e015548</t>
  </si>
  <si>
    <t>alternative oxidase AOX1 precursor</t>
  </si>
  <si>
    <t>Zm00001eb254050</t>
  </si>
  <si>
    <t>Zm00001eb254050_T001</t>
  </si>
  <si>
    <t>Zm00001e015772</t>
  </si>
  <si>
    <t>hypothetical protein LOC100191570</t>
  </si>
  <si>
    <t>AT1G70090</t>
  </si>
  <si>
    <t>glucosyl transferase family 8</t>
  </si>
  <si>
    <t>Zm00001eb281270</t>
  </si>
  <si>
    <t>Zm00001eb281270_T001</t>
  </si>
  <si>
    <t>Zm00001e148820</t>
  </si>
  <si>
    <t>Zm00001eb290550</t>
  </si>
  <si>
    <t>Zm00001eb290550_T001</t>
  </si>
  <si>
    <t>Zm00001e031915</t>
  </si>
  <si>
    <t>AT5G01830</t>
  </si>
  <si>
    <t>Zm00001eb303110</t>
  </si>
  <si>
    <t>Zm00001eb303110_T001</t>
  </si>
  <si>
    <t>Zm00001e033093</t>
  </si>
  <si>
    <t>cellulose synthase-4</t>
  </si>
  <si>
    <t>AT5G05170</t>
  </si>
  <si>
    <t>Cellulose synthase family protein</t>
  </si>
  <si>
    <t>Zm00001eb313970</t>
  </si>
  <si>
    <t>Zm00001eb313970_T001</t>
  </si>
  <si>
    <t>Zm00001e034252</t>
  </si>
  <si>
    <t>hypothetical protein LOC100274796 (LOC100274796), mRNA</t>
  </si>
  <si>
    <t>Zm00001eb317190</t>
  </si>
  <si>
    <t>Zm00001eb317190_T002</t>
  </si>
  <si>
    <t>Zm00001e034577</t>
  </si>
  <si>
    <t>LOC100283462</t>
  </si>
  <si>
    <t>AT2G24580</t>
  </si>
  <si>
    <t>FAD-dependent oxidoreductase family protein</t>
  </si>
  <si>
    <t>Zm00001eb320870</t>
  </si>
  <si>
    <t>Zm00001eb335670</t>
  </si>
  <si>
    <t>Zm00001eb335670_T001</t>
  </si>
  <si>
    <t>Zm00001e025782</t>
  </si>
  <si>
    <t>AT5G01220</t>
  </si>
  <si>
    <t>sulfoquinovosyldiacylglycerol 2</t>
  </si>
  <si>
    <t>Zm00001eb339130</t>
  </si>
  <si>
    <t>Zm00001eb339130_T002</t>
  </si>
  <si>
    <t>Zm00001e026102</t>
  </si>
  <si>
    <t>hypothetical protein LOC100192876</t>
  </si>
  <si>
    <t>AT3G48310</t>
  </si>
  <si>
    <t>cytochrome P450, family 71, subfamily A, polypeptide 22</t>
  </si>
  <si>
    <t>Zm00001eb342040</t>
  </si>
  <si>
    <t>Zm00001eb342040_T001</t>
  </si>
  <si>
    <t>Zm00001e026375</t>
  </si>
  <si>
    <t>hypothetical protein LOC100279636</t>
  </si>
  <si>
    <t>AT3G14770</t>
  </si>
  <si>
    <t>Nodulin MtN3 family protein</t>
  </si>
  <si>
    <t>Zm00001eb353710</t>
  </si>
  <si>
    <t>Zm00001eb370330</t>
  </si>
  <si>
    <t>Zm00001eb370330_T001</t>
  </si>
  <si>
    <t>Zm00001e028996</t>
  </si>
  <si>
    <t>Glutathione S-transferase 1 (EC 2.5.1.18)(GST-I)(GST-29)(GST class-phi member 1)</t>
  </si>
  <si>
    <t>Zm00001eb376530</t>
  </si>
  <si>
    <t>Zm00001eb376530_T002</t>
  </si>
  <si>
    <t>Zm00001e036461</t>
  </si>
  <si>
    <t>hypothetical protein LOC100382365</t>
  </si>
  <si>
    <t>Zm00001eb377260</t>
  </si>
  <si>
    <t>Zm00001eb377260_T001</t>
  </si>
  <si>
    <t>Zm00001e036523</t>
  </si>
  <si>
    <t>sulfate transporter 3.4</t>
  </si>
  <si>
    <t>AT3G15990</t>
  </si>
  <si>
    <t>sulfate transporter 3;4</t>
  </si>
  <si>
    <t>Zm00001eb386270</t>
  </si>
  <si>
    <t>Zm00001eb386270_T001</t>
  </si>
  <si>
    <t>Zm00001e037402</t>
  </si>
  <si>
    <t>AT5G20150</t>
  </si>
  <si>
    <t>SPX  domain gene 1</t>
  </si>
  <si>
    <t>Zm00001eb389500</t>
  </si>
  <si>
    <t>Zm00001eb389500_T001</t>
  </si>
  <si>
    <t>Zm00001e037704</t>
  </si>
  <si>
    <t>hypothetical protein LOC100382223</t>
  </si>
  <si>
    <t>AT2G24540</t>
  </si>
  <si>
    <t>Galactose oxidase/kelch repeat superfamily protein</t>
  </si>
  <si>
    <t>Zm00001eb411680</t>
  </si>
  <si>
    <t>Zm00001eb415630</t>
  </si>
  <si>
    <t>Zm00001eb425270</t>
  </si>
  <si>
    <t>Zm00001eb425270_T001</t>
  </si>
  <si>
    <t>Zm00001e041107</t>
  </si>
  <si>
    <t>acid phosphatase/vanadium-dependent haloperoxidase related</t>
  </si>
  <si>
    <t>AT1G67600</t>
  </si>
  <si>
    <t>Acid phosphatase/vanadium-dependent haloperoxidase-related protein</t>
  </si>
  <si>
    <t>Zm00001eb425700</t>
  </si>
  <si>
    <t>Zm00001eb425700_T001</t>
  </si>
  <si>
    <t>Zm00001e041146</t>
  </si>
  <si>
    <t>hypothetical protein LOC100194367</t>
  </si>
  <si>
    <t>AT3G59710</t>
  </si>
  <si>
    <t>Zm00001eb241920</t>
  </si>
  <si>
    <t>Zm00001eb241920_T002</t>
  </si>
  <si>
    <t>Zm00001e014641</t>
  </si>
  <si>
    <t>hypothetical protein LOC100191201</t>
  </si>
  <si>
    <t>AT3G02040</t>
  </si>
  <si>
    <t>senescence-related gene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</si>
</sst>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1" fontId="0" fillId="0" borderId="0" xfId="0" applyNumberFormat="1" applyAlignment="1">
      <alignment horizontal="center"/>
    </xf>
    <xf numFmtId="0" fontId="0" fillId="3" borderId="0" xfId="0" applyFill="1"/>
    <xf numFmtId="0" fontId="0" fillId="4" borderId="0" xfId="0" applyFill="1"/>
    <xf numFmtId="0" fontId="0" fillId="2" borderId="0" xfId="0" applyFill="1"/>
    <xf numFmtId="1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5" borderId="0" xfId="0" applyFill="1"/>
    <xf numFmtId="11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Fill="1"/>
    <xf numFmtId="11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7" borderId="0" xfId="0" applyFill="1"/>
    <xf numFmtId="11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/>
    <xf numFmtId="1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/>
    <xf numFmtId="11" fontId="0" fillId="9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/>
    <xf numFmtId="11" fontId="0" fillId="10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11" fontId="0" fillId="10" borderId="0" xfId="0" applyNumberFormat="1" applyFill="1"/>
    <xf numFmtId="0" fontId="1" fillId="11" borderId="0" xfId="0" applyFont="1" applyFill="1" applyAlignment="1">
      <alignment horizontal="center"/>
    </xf>
    <xf numFmtId="11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8B3FB-8FB0-40E0-9EDA-9EE780F1CE5E}">
  <dimension ref="A1:AN104"/>
  <sheetViews>
    <sheetView workbookViewId="0">
      <selection activeCell="P15" sqref="P15"/>
    </sheetView>
  </sheetViews>
  <sheetFormatPr defaultRowHeight="14.4" x14ac:dyDescent="0.3"/>
  <cols>
    <col min="3" max="3" width="9.88671875" bestFit="1" customWidth="1"/>
    <col min="4" max="4" width="11.21875" bestFit="1" customWidth="1"/>
    <col min="5" max="5" width="17.88671875" bestFit="1" customWidth="1"/>
    <col min="6" max="6" width="15.109375" bestFit="1" customWidth="1"/>
    <col min="7" max="7" width="20.5546875" bestFit="1" customWidth="1"/>
    <col min="30" max="30" width="21.5546875" bestFit="1" customWidth="1"/>
    <col min="31" max="31" width="15.5546875" bestFit="1" customWidth="1"/>
  </cols>
  <sheetData>
    <row r="1" spans="1:40" s="2" customFormat="1" x14ac:dyDescent="0.3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s="29" customFormat="1" x14ac:dyDescent="0.3">
      <c r="A2" s="29" t="s">
        <v>40</v>
      </c>
      <c r="B2" s="29">
        <v>1995</v>
      </c>
      <c r="C2" s="29" t="str">
        <f>IF(Y2&lt;0, "Down", "Up")</f>
        <v>Down</v>
      </c>
      <c r="D2" s="30" t="str">
        <f>IF(AC2&lt;0.05, "Sig", "N")</f>
        <v>Sig</v>
      </c>
      <c r="E2" s="31" t="str">
        <f>IF(AND(I2&gt;2,K2&gt;2,M2&gt;2,O2&gt;2),"Y","N")</f>
        <v>Y</v>
      </c>
      <c r="F2" s="31" t="str">
        <f>IF(AND(Q2&gt;2,S2&gt;2,U2&gt;2,W2&gt;2),"Y","N")</f>
        <v>Y</v>
      </c>
      <c r="G2" s="31" t="str">
        <f>IF(OR(E2="Y", F2="Y"), "Expressed", "N")</f>
        <v>Expressed</v>
      </c>
      <c r="H2" s="29">
        <v>2660</v>
      </c>
      <c r="I2" s="29">
        <v>38.20267274303098</v>
      </c>
      <c r="J2" s="29">
        <v>4905</v>
      </c>
      <c r="K2" s="29">
        <v>43.824257126286113</v>
      </c>
      <c r="L2" s="29">
        <v>3880</v>
      </c>
      <c r="M2" s="29">
        <v>46.28828414491938</v>
      </c>
      <c r="N2" s="29">
        <v>5775</v>
      </c>
      <c r="O2" s="29">
        <v>38.714120210919027</v>
      </c>
      <c r="P2" s="9">
        <v>2363</v>
      </c>
      <c r="Q2" s="9">
        <v>19.892773558618931</v>
      </c>
      <c r="R2" s="9">
        <v>1513</v>
      </c>
      <c r="S2" s="9">
        <v>19.25632194117491</v>
      </c>
      <c r="T2" s="9">
        <v>3719</v>
      </c>
      <c r="U2" s="9">
        <v>27.95813163608241</v>
      </c>
      <c r="V2" s="9">
        <v>5880</v>
      </c>
      <c r="W2" s="9">
        <v>31.012576643180491</v>
      </c>
      <c r="X2" s="29">
        <v>3650.7342480996572</v>
      </c>
      <c r="Y2" s="29">
        <v>-0.74070215327753097</v>
      </c>
      <c r="Z2" s="29">
        <v>0.18398985458637099</v>
      </c>
      <c r="AA2" s="29">
        <v>-4.0257771546301244</v>
      </c>
      <c r="AB2" s="29">
        <v>5.6787449836711483E-5</v>
      </c>
      <c r="AC2" s="29">
        <v>1.654579788424184E-2</v>
      </c>
      <c r="AD2" s="29" t="s">
        <v>41</v>
      </c>
      <c r="AE2" s="29" t="s">
        <v>42</v>
      </c>
      <c r="AF2" s="29" t="s">
        <v>43</v>
      </c>
      <c r="AG2" s="29" t="s">
        <v>44</v>
      </c>
      <c r="AH2" s="29" t="s">
        <v>43</v>
      </c>
      <c r="AI2" s="29" t="s">
        <v>43</v>
      </c>
      <c r="AJ2" s="29" t="s">
        <v>43</v>
      </c>
      <c r="AK2" s="29" t="s">
        <v>43</v>
      </c>
      <c r="AL2" s="29" t="s">
        <v>43</v>
      </c>
      <c r="AM2" s="29" t="s">
        <v>45</v>
      </c>
      <c r="AN2" s="29" t="s">
        <v>43</v>
      </c>
    </row>
    <row r="3" spans="1:40" s="29" customFormat="1" x14ac:dyDescent="0.3">
      <c r="A3" s="29" t="s">
        <v>58</v>
      </c>
      <c r="B3" s="29">
        <v>919</v>
      </c>
      <c r="C3" s="29" t="str">
        <f>IF(Y3&lt;0, "Down", "Up")</f>
        <v>Down</v>
      </c>
      <c r="D3" s="30" t="str">
        <f>IF(AC3&lt;0.05, "Sig", "N")</f>
        <v>Sig</v>
      </c>
      <c r="E3" s="31" t="str">
        <f>IF(AND(I3&gt;2,K3&gt;2,M3&gt;2,O3&gt;2),"Y","N")</f>
        <v>Y</v>
      </c>
      <c r="F3" s="31" t="str">
        <f>IF(AND(Q3&gt;2,S3&gt;2,U3&gt;2,W3&gt;2),"Y","N")</f>
        <v>Y</v>
      </c>
      <c r="G3" s="31" t="str">
        <f>IF(OR(E3="Y", F3="Y"), "Expressed", "N")</f>
        <v>Expressed</v>
      </c>
      <c r="H3" s="29">
        <v>1974</v>
      </c>
      <c r="I3" s="29">
        <v>61.544131660562968</v>
      </c>
      <c r="J3" s="29">
        <v>3289</v>
      </c>
      <c r="K3" s="29">
        <v>63.792087412362243</v>
      </c>
      <c r="L3" s="29">
        <v>1906</v>
      </c>
      <c r="M3" s="29">
        <v>49.361646964016117</v>
      </c>
      <c r="N3" s="29">
        <v>3815</v>
      </c>
      <c r="O3" s="29">
        <v>55.518706172489189</v>
      </c>
      <c r="P3" s="9">
        <v>1271</v>
      </c>
      <c r="Q3" s="9">
        <v>23.22761166553661</v>
      </c>
      <c r="R3" s="9">
        <v>1249</v>
      </c>
      <c r="S3" s="9">
        <v>34.508353413350022</v>
      </c>
      <c r="T3" s="9">
        <v>2161</v>
      </c>
      <c r="U3" s="9">
        <v>35.266643079729768</v>
      </c>
      <c r="V3" s="9">
        <v>2652</v>
      </c>
      <c r="W3" s="9">
        <v>30.364171302203069</v>
      </c>
      <c r="X3" s="29">
        <v>2252.2569770668879</v>
      </c>
      <c r="Y3" s="29">
        <v>-0.88106305953199904</v>
      </c>
      <c r="Z3" s="29">
        <v>0.18779366673607101</v>
      </c>
      <c r="AA3" s="29">
        <v>-4.6916548084140803</v>
      </c>
      <c r="AB3" s="29">
        <v>2.7100409496891131E-6</v>
      </c>
      <c r="AC3" s="29">
        <v>1.316012309659637E-3</v>
      </c>
      <c r="AD3" s="29" t="s">
        <v>59</v>
      </c>
      <c r="AE3" s="29" t="s">
        <v>60</v>
      </c>
      <c r="AF3" s="29" t="s">
        <v>61</v>
      </c>
      <c r="AG3" s="29" t="s">
        <v>62</v>
      </c>
      <c r="AH3" s="29" t="s">
        <v>43</v>
      </c>
      <c r="AI3" s="29" t="s">
        <v>43</v>
      </c>
      <c r="AJ3" s="29" t="s">
        <v>43</v>
      </c>
      <c r="AK3" s="29" t="s">
        <v>43</v>
      </c>
      <c r="AL3" s="29" t="s">
        <v>43</v>
      </c>
      <c r="AM3" s="29" t="s">
        <v>63</v>
      </c>
      <c r="AN3" s="29" t="s">
        <v>43</v>
      </c>
    </row>
    <row r="4" spans="1:40" s="29" customFormat="1" x14ac:dyDescent="0.3">
      <c r="A4" s="29" t="s">
        <v>76</v>
      </c>
      <c r="B4" s="29">
        <v>2118</v>
      </c>
      <c r="C4" s="29" t="str">
        <f>IF(Y4&lt;0, "Down", "Up")</f>
        <v>Down</v>
      </c>
      <c r="D4" s="30" t="str">
        <f>IF(AC4&lt;0.05, "Sig", "N")</f>
        <v>Sig</v>
      </c>
      <c r="E4" s="31" t="str">
        <f>IF(AND(I4&gt;2,K4&gt;2,M4&gt;2,O4&gt;2),"Y","N")</f>
        <v>Y</v>
      </c>
      <c r="F4" s="31" t="str">
        <f>IF(AND(Q4&gt;2,S4&gt;2,U4&gt;2,W4&gt;2),"Y","N")</f>
        <v>Y</v>
      </c>
      <c r="G4" s="31" t="str">
        <f>IF(OR(E4="Y", F4="Y"), "Expressed", "N")</f>
        <v>Expressed</v>
      </c>
      <c r="H4" s="29">
        <v>832</v>
      </c>
      <c r="I4" s="29">
        <v>11.25517837188448</v>
      </c>
      <c r="J4" s="29">
        <v>2059</v>
      </c>
      <c r="K4" s="29">
        <v>17.32801607491643</v>
      </c>
      <c r="L4" s="29">
        <v>2151</v>
      </c>
      <c r="M4" s="29">
        <v>24.171116485045289</v>
      </c>
      <c r="N4" s="29">
        <v>3067</v>
      </c>
      <c r="O4" s="29">
        <v>19.366365585465569</v>
      </c>
      <c r="P4" s="9">
        <v>1447</v>
      </c>
      <c r="Q4" s="9">
        <v>11.47405937178867</v>
      </c>
      <c r="R4" s="9">
        <v>541</v>
      </c>
      <c r="S4" s="9">
        <v>6.4855769948143394</v>
      </c>
      <c r="T4" s="9">
        <v>727</v>
      </c>
      <c r="U4" s="9">
        <v>5.1479381699374782</v>
      </c>
      <c r="V4" s="9">
        <v>2151</v>
      </c>
      <c r="W4" s="9">
        <v>10.68606666354836</v>
      </c>
      <c r="X4" s="29">
        <v>1535.8771884616069</v>
      </c>
      <c r="Y4" s="29">
        <v>-1.0642673867227059</v>
      </c>
      <c r="Z4" s="29">
        <v>0.26579429652187042</v>
      </c>
      <c r="AA4" s="29">
        <v>-4.0041016705380459</v>
      </c>
      <c r="AB4" s="29">
        <v>6.22535887456806E-5</v>
      </c>
      <c r="AC4" s="29">
        <v>1.7501995783325119E-2</v>
      </c>
      <c r="AD4" s="29" t="s">
        <v>77</v>
      </c>
      <c r="AE4" s="29" t="s">
        <v>78</v>
      </c>
      <c r="AF4" s="29" t="s">
        <v>79</v>
      </c>
      <c r="AG4" s="29" t="s">
        <v>80</v>
      </c>
      <c r="AH4" s="29" t="s">
        <v>43</v>
      </c>
      <c r="AI4" s="29" t="s">
        <v>43</v>
      </c>
      <c r="AJ4" s="29" t="s">
        <v>43</v>
      </c>
      <c r="AK4" s="29" t="s">
        <v>43</v>
      </c>
      <c r="AL4" s="29" t="s">
        <v>43</v>
      </c>
      <c r="AM4" s="29" t="s">
        <v>81</v>
      </c>
      <c r="AN4" s="29" t="s">
        <v>43</v>
      </c>
    </row>
    <row r="5" spans="1:40" s="29" customFormat="1" x14ac:dyDescent="0.3">
      <c r="A5" s="29" t="s">
        <v>88</v>
      </c>
      <c r="B5" s="29">
        <v>697</v>
      </c>
      <c r="C5" s="29" t="str">
        <f>IF(Y5&lt;0, "Down", "Up")</f>
        <v>Down</v>
      </c>
      <c r="D5" s="30" t="str">
        <f>IF(AC5&lt;0.05, "Sig", "N")</f>
        <v>Sig</v>
      </c>
      <c r="E5" s="31" t="str">
        <f>IF(AND(I5&gt;2,K5&gt;2,M5&gt;2,O5&gt;2),"Y","N")</f>
        <v>Y</v>
      </c>
      <c r="F5" s="31" t="str">
        <f>IF(AND(Q5&gt;2,S5&gt;2,U5&gt;2,W5&gt;2),"Y","N")</f>
        <v>Y</v>
      </c>
      <c r="G5" s="31" t="str">
        <f>IF(OR(E5="Y", F5="Y"), "Expressed", "N")</f>
        <v>Expressed</v>
      </c>
      <c r="H5" s="29">
        <v>1787</v>
      </c>
      <c r="I5" s="29">
        <v>73.459300062908568</v>
      </c>
      <c r="J5" s="29">
        <v>2770</v>
      </c>
      <c r="K5" s="29">
        <v>70.83786155561873</v>
      </c>
      <c r="L5" s="29">
        <v>1884</v>
      </c>
      <c r="M5" s="29">
        <v>64.33249235361086</v>
      </c>
      <c r="N5" s="29">
        <v>5224</v>
      </c>
      <c r="O5" s="29">
        <v>100.237608338463</v>
      </c>
      <c r="P5" s="9">
        <v>2073</v>
      </c>
      <c r="Q5" s="9">
        <v>49.950638202233627</v>
      </c>
      <c r="R5" s="9">
        <v>1287</v>
      </c>
      <c r="S5" s="9">
        <v>46.883829617151363</v>
      </c>
      <c r="T5" s="9">
        <v>1650</v>
      </c>
      <c r="U5" s="9">
        <v>35.503897668097117</v>
      </c>
      <c r="V5" s="9">
        <v>2395</v>
      </c>
      <c r="W5" s="9">
        <v>36.155649214693803</v>
      </c>
      <c r="X5" s="29">
        <v>2300.1921573349382</v>
      </c>
      <c r="Y5" s="29">
        <v>-0.85938258565158832</v>
      </c>
      <c r="Z5" s="29">
        <v>0.1921592239751114</v>
      </c>
      <c r="AA5" s="29">
        <v>-4.4722421743485823</v>
      </c>
      <c r="AB5" s="29">
        <v>7.7403696653861149E-6</v>
      </c>
      <c r="AC5" s="29">
        <v>3.100985597195312E-3</v>
      </c>
      <c r="AD5" s="29" t="s">
        <v>89</v>
      </c>
      <c r="AE5" s="29" t="s">
        <v>90</v>
      </c>
      <c r="AF5" s="29" t="s">
        <v>43</v>
      </c>
      <c r="AG5" s="29" t="s">
        <v>91</v>
      </c>
      <c r="AH5" s="29" t="s">
        <v>43</v>
      </c>
      <c r="AI5" s="29" t="s">
        <v>43</v>
      </c>
      <c r="AJ5" s="29" t="s">
        <v>43</v>
      </c>
      <c r="AK5" s="29" t="s">
        <v>43</v>
      </c>
      <c r="AL5" s="29" t="s">
        <v>43</v>
      </c>
      <c r="AM5" s="29" t="s">
        <v>92</v>
      </c>
      <c r="AN5" s="29" t="s">
        <v>43</v>
      </c>
    </row>
    <row r="6" spans="1:40" s="29" customFormat="1" x14ac:dyDescent="0.3">
      <c r="A6" s="29" t="s">
        <v>114</v>
      </c>
      <c r="B6" s="29">
        <v>1300</v>
      </c>
      <c r="C6" s="29" t="str">
        <f>IF(Y6&lt;0, "Down", "Up")</f>
        <v>Down</v>
      </c>
      <c r="D6" s="30" t="str">
        <f>IF(AC6&lt;0.05, "Sig", "N")</f>
        <v>Sig</v>
      </c>
      <c r="E6" s="31" t="str">
        <f>IF(AND(I6&gt;2,K6&gt;2,M6&gt;2,O6&gt;2),"Y","N")</f>
        <v>Y</v>
      </c>
      <c r="F6" s="31" t="str">
        <f>IF(AND(Q6&gt;2,S6&gt;2,U6&gt;2,W6&gt;2),"Y","N")</f>
        <v>Y</v>
      </c>
      <c r="G6" s="31" t="str">
        <f>IF(OR(E6="Y", F6="Y"), "Expressed", "N")</f>
        <v>Expressed</v>
      </c>
      <c r="H6" s="29">
        <v>276</v>
      </c>
      <c r="I6" s="29">
        <v>6.0830409675441643</v>
      </c>
      <c r="J6" s="29">
        <v>506</v>
      </c>
      <c r="K6" s="29">
        <v>6.9378613410604606</v>
      </c>
      <c r="L6" s="29">
        <v>369</v>
      </c>
      <c r="M6" s="29">
        <v>6.755620899029168</v>
      </c>
      <c r="N6" s="29">
        <v>811</v>
      </c>
      <c r="O6" s="29">
        <v>8.343298997623096</v>
      </c>
      <c r="P6" s="9">
        <v>256</v>
      </c>
      <c r="Q6" s="9">
        <v>3.3072812630156778</v>
      </c>
      <c r="R6" s="9">
        <v>148</v>
      </c>
      <c r="S6" s="9">
        <v>2.8906510836093871</v>
      </c>
      <c r="T6" s="9">
        <v>455</v>
      </c>
      <c r="U6" s="9">
        <v>5.2491974764438138</v>
      </c>
      <c r="V6" s="9">
        <v>429</v>
      </c>
      <c r="W6" s="9">
        <v>3.472300992013245</v>
      </c>
      <c r="X6" s="29">
        <v>386.44379302826587</v>
      </c>
      <c r="Y6" s="29">
        <v>-0.88922027592688613</v>
      </c>
      <c r="Z6" s="29">
        <v>0.22156901154900599</v>
      </c>
      <c r="AA6" s="29">
        <v>-4.013288093448983</v>
      </c>
      <c r="AB6" s="29">
        <v>5.9878757906362349E-5</v>
      </c>
      <c r="AC6" s="29">
        <v>1.7289317035125349E-2</v>
      </c>
      <c r="AD6" s="29" t="s">
        <v>115</v>
      </c>
      <c r="AE6" s="29" t="s">
        <v>116</v>
      </c>
      <c r="AF6" s="29" t="s">
        <v>43</v>
      </c>
      <c r="AG6" s="29" t="s">
        <v>43</v>
      </c>
      <c r="AH6" s="29" t="s">
        <v>43</v>
      </c>
      <c r="AI6" s="29" t="s">
        <v>43</v>
      </c>
      <c r="AJ6" s="29" t="s">
        <v>43</v>
      </c>
      <c r="AK6" s="29" t="s">
        <v>43</v>
      </c>
      <c r="AL6" s="29" t="s">
        <v>43</v>
      </c>
      <c r="AM6" s="29" t="s">
        <v>43</v>
      </c>
      <c r="AN6" s="29" t="s">
        <v>43</v>
      </c>
    </row>
    <row r="7" spans="1:40" s="29" customFormat="1" x14ac:dyDescent="0.3">
      <c r="A7" s="29" t="s">
        <v>131</v>
      </c>
      <c r="B7" s="29">
        <v>1610</v>
      </c>
      <c r="C7" s="29" t="str">
        <f>IF(Y7&lt;0, "Down", "Up")</f>
        <v>Down</v>
      </c>
      <c r="D7" s="30" t="str">
        <f>IF(AC7&lt;0.05, "Sig", "N")</f>
        <v>Sig</v>
      </c>
      <c r="E7" s="31" t="str">
        <f>IF(AND(I7&gt;2,K7&gt;2,M7&gt;2,O7&gt;2),"Y","N")</f>
        <v>Y</v>
      </c>
      <c r="F7" s="31" t="str">
        <f>IF(AND(Q7&gt;2,S7&gt;2,U7&gt;2,W7&gt;2),"Y","N")</f>
        <v>Y</v>
      </c>
      <c r="G7" s="31" t="str">
        <f>IF(OR(E7="Y", F7="Y"), "Expressed", "N")</f>
        <v>Expressed</v>
      </c>
      <c r="H7" s="29">
        <v>12731</v>
      </c>
      <c r="I7" s="29">
        <v>226.5643913159289</v>
      </c>
      <c r="J7" s="29">
        <v>17200</v>
      </c>
      <c r="K7" s="29">
        <v>190.42370999694589</v>
      </c>
      <c r="L7" s="29">
        <v>11122</v>
      </c>
      <c r="M7" s="29">
        <v>164.41418022640201</v>
      </c>
      <c r="N7" s="29">
        <v>28707</v>
      </c>
      <c r="O7" s="29">
        <v>238.46367847546239</v>
      </c>
      <c r="P7" s="9">
        <v>8287</v>
      </c>
      <c r="Q7" s="9">
        <v>86.446214515222721</v>
      </c>
      <c r="R7" s="9">
        <v>4959</v>
      </c>
      <c r="S7" s="9">
        <v>78.206984810746334</v>
      </c>
      <c r="T7" s="9">
        <v>11891</v>
      </c>
      <c r="U7" s="9">
        <v>110.7687794008756</v>
      </c>
      <c r="V7" s="9">
        <v>16636</v>
      </c>
      <c r="W7" s="9">
        <v>108.7242599343729</v>
      </c>
      <c r="X7" s="29">
        <v>13425.4611165817</v>
      </c>
      <c r="Y7" s="29">
        <v>-1.0780089006874469</v>
      </c>
      <c r="Z7" s="29">
        <v>0.18837204226300669</v>
      </c>
      <c r="AA7" s="29">
        <v>-5.7227648420476376</v>
      </c>
      <c r="AB7" s="29">
        <v>1.048042849964793E-8</v>
      </c>
      <c r="AC7" s="29">
        <v>1.3435909336548641E-5</v>
      </c>
      <c r="AD7" s="29" t="s">
        <v>132</v>
      </c>
      <c r="AE7" s="29" t="s">
        <v>133</v>
      </c>
      <c r="AF7" s="29" t="s">
        <v>55</v>
      </c>
      <c r="AG7" s="29" t="s">
        <v>134</v>
      </c>
      <c r="AH7" s="29" t="s">
        <v>43</v>
      </c>
      <c r="AI7" s="29" t="s">
        <v>43</v>
      </c>
      <c r="AJ7" s="29" t="s">
        <v>43</v>
      </c>
      <c r="AK7" s="29" t="s">
        <v>43</v>
      </c>
      <c r="AL7" s="29" t="s">
        <v>43</v>
      </c>
      <c r="AM7" s="29" t="s">
        <v>135</v>
      </c>
      <c r="AN7" s="29" t="s">
        <v>43</v>
      </c>
    </row>
    <row r="8" spans="1:40" s="29" customFormat="1" x14ac:dyDescent="0.3">
      <c r="A8" s="29" t="s">
        <v>154</v>
      </c>
      <c r="B8" s="29">
        <v>1174</v>
      </c>
      <c r="C8" s="29" t="str">
        <f>IF(Y8&lt;0, "Down", "Up")</f>
        <v>Down</v>
      </c>
      <c r="D8" s="30" t="str">
        <f>IF(AC8&lt;0.05, "Sig", "N")</f>
        <v>Sig</v>
      </c>
      <c r="E8" s="31" t="str">
        <f>IF(AND(I8&gt;2,K8&gt;2,M8&gt;2,O8&gt;2),"Y","N")</f>
        <v>Y</v>
      </c>
      <c r="F8" s="31" t="str">
        <f>IF(AND(Q8&gt;2,S8&gt;2,U8&gt;2,W8&gt;2),"Y","N")</f>
        <v>Y</v>
      </c>
      <c r="G8" s="31" t="str">
        <f>IF(OR(E8="Y", F8="Y"), "Expressed", "N")</f>
        <v>Expressed</v>
      </c>
      <c r="H8" s="29">
        <v>3416</v>
      </c>
      <c r="I8" s="29">
        <v>83.369035406852959</v>
      </c>
      <c r="J8" s="29">
        <v>6367</v>
      </c>
      <c r="K8" s="29">
        <v>96.668549982983663</v>
      </c>
      <c r="L8" s="29">
        <v>5296</v>
      </c>
      <c r="M8" s="29">
        <v>107.36485359306199</v>
      </c>
      <c r="N8" s="29">
        <v>8500</v>
      </c>
      <c r="O8" s="29">
        <v>96.830268144082751</v>
      </c>
      <c r="P8" s="9">
        <v>3899</v>
      </c>
      <c r="Q8" s="9">
        <v>55.777578450568193</v>
      </c>
      <c r="R8" s="9">
        <v>2621</v>
      </c>
      <c r="S8" s="9">
        <v>56.686055050775053</v>
      </c>
      <c r="T8" s="9">
        <v>4735</v>
      </c>
      <c r="U8" s="9">
        <v>60.489048554299004</v>
      </c>
      <c r="V8" s="9">
        <v>6968</v>
      </c>
      <c r="W8" s="9">
        <v>62.451585649549038</v>
      </c>
      <c r="X8" s="29">
        <v>5017.374227092896</v>
      </c>
      <c r="Y8" s="29">
        <v>-0.68050089556969129</v>
      </c>
      <c r="Z8" s="29">
        <v>0.116944398302933</v>
      </c>
      <c r="AA8" s="29">
        <v>-5.8190123293201301</v>
      </c>
      <c r="AB8" s="29">
        <v>5.9196368222035967E-9</v>
      </c>
      <c r="AC8" s="29">
        <v>8.2488852239837078E-6</v>
      </c>
      <c r="AD8" s="29" t="s">
        <v>155</v>
      </c>
      <c r="AE8" s="29" t="s">
        <v>156</v>
      </c>
      <c r="AF8" s="29" t="s">
        <v>157</v>
      </c>
      <c r="AG8" s="29" t="s">
        <v>158</v>
      </c>
      <c r="AH8" s="29" t="s">
        <v>43</v>
      </c>
      <c r="AI8" s="29" t="s">
        <v>43</v>
      </c>
      <c r="AJ8" s="29" t="s">
        <v>43</v>
      </c>
      <c r="AK8" s="29" t="s">
        <v>43</v>
      </c>
      <c r="AL8" s="29" t="s">
        <v>43</v>
      </c>
      <c r="AM8" s="29" t="s">
        <v>159</v>
      </c>
      <c r="AN8" s="29" t="s">
        <v>43</v>
      </c>
    </row>
    <row r="9" spans="1:40" s="29" customFormat="1" x14ac:dyDescent="0.3">
      <c r="A9" s="29" t="s">
        <v>160</v>
      </c>
      <c r="B9" s="29">
        <v>1704</v>
      </c>
      <c r="C9" s="29" t="str">
        <f>IF(Y9&lt;0, "Down", "Up")</f>
        <v>Down</v>
      </c>
      <c r="D9" s="30" t="str">
        <f>IF(AC9&lt;0.05, "Sig", "N")</f>
        <v>Sig</v>
      </c>
      <c r="E9" s="31" t="str">
        <f>IF(AND(I9&gt;2,K9&gt;2,M9&gt;2,O9&gt;2),"Y","N")</f>
        <v>Y</v>
      </c>
      <c r="F9" s="31" t="str">
        <f>IF(AND(Q9&gt;2,S9&gt;2,U9&gt;2,W9&gt;2),"Y","N")</f>
        <v>Y</v>
      </c>
      <c r="G9" s="31" t="str">
        <f>IF(OR(E9="Y", F9="Y"), "Expressed", "N")</f>
        <v>Expressed</v>
      </c>
      <c r="H9" s="29">
        <v>3593</v>
      </c>
      <c r="I9" s="29">
        <v>60.414702097583771</v>
      </c>
      <c r="J9" s="29">
        <v>4599</v>
      </c>
      <c r="K9" s="29">
        <v>48.107442613286317</v>
      </c>
      <c r="L9" s="29">
        <v>3609</v>
      </c>
      <c r="M9" s="29">
        <v>50.408009485055331</v>
      </c>
      <c r="N9" s="29">
        <v>5842</v>
      </c>
      <c r="O9" s="29">
        <v>45.851364865253849</v>
      </c>
      <c r="P9" s="9">
        <v>2196</v>
      </c>
      <c r="Q9" s="9">
        <v>21.643986918778332</v>
      </c>
      <c r="R9" s="9">
        <v>939</v>
      </c>
      <c r="S9" s="9">
        <v>13.991791086798861</v>
      </c>
      <c r="T9" s="9">
        <v>2951</v>
      </c>
      <c r="U9" s="9">
        <v>25.973141772276481</v>
      </c>
      <c r="V9" s="9">
        <v>4114</v>
      </c>
      <c r="W9" s="9">
        <v>25.403767038594552</v>
      </c>
      <c r="X9" s="29">
        <v>3436.3869692355129</v>
      </c>
      <c r="Y9" s="29">
        <v>-1.216400178412</v>
      </c>
      <c r="Z9" s="29">
        <v>0.20651334529143389</v>
      </c>
      <c r="AA9" s="29">
        <v>-5.8901771054814986</v>
      </c>
      <c r="AB9" s="32">
        <v>3.8578195098938098E-9</v>
      </c>
      <c r="AC9" s="29">
        <v>5.8877673948617466E-6</v>
      </c>
      <c r="AD9" s="29" t="s">
        <v>161</v>
      </c>
      <c r="AE9" s="29" t="s">
        <v>162</v>
      </c>
      <c r="AF9" s="29" t="s">
        <v>163</v>
      </c>
      <c r="AG9" s="29" t="s">
        <v>164</v>
      </c>
      <c r="AH9" s="29" t="s">
        <v>43</v>
      </c>
      <c r="AI9" s="29" t="s">
        <v>43</v>
      </c>
      <c r="AJ9" s="29" t="s">
        <v>43</v>
      </c>
      <c r="AK9" s="29" t="s">
        <v>43</v>
      </c>
      <c r="AL9" s="29" t="s">
        <v>43</v>
      </c>
      <c r="AM9" s="29" t="s">
        <v>165</v>
      </c>
      <c r="AN9" s="29" t="s">
        <v>43</v>
      </c>
    </row>
    <row r="10" spans="1:40" s="29" customFormat="1" x14ac:dyDescent="0.3">
      <c r="A10" s="29" t="s">
        <v>187</v>
      </c>
      <c r="B10" s="29">
        <v>2024</v>
      </c>
      <c r="C10" s="29" t="str">
        <f>IF(Y10&lt;0, "Down", "Up")</f>
        <v>Down</v>
      </c>
      <c r="D10" s="30" t="str">
        <f>IF(AC10&lt;0.05, "Sig", "N")</f>
        <v>Sig</v>
      </c>
      <c r="E10" s="31" t="str">
        <f>IF(AND(I10&gt;2,K10&gt;2,M10&gt;2,O10&gt;2),"Y","N")</f>
        <v>Y</v>
      </c>
      <c r="F10" s="31" t="str">
        <f>IF(AND(Q10&gt;2,S10&gt;2,U10&gt;2,W10&gt;2),"Y","N")</f>
        <v>Y</v>
      </c>
      <c r="G10" s="31" t="str">
        <f>IF(OR(E10="Y", F10="Y"), "Expressed", "N")</f>
        <v>Expressed</v>
      </c>
      <c r="H10" s="29">
        <v>748</v>
      </c>
      <c r="I10" s="29">
        <v>10.588784292905331</v>
      </c>
      <c r="J10" s="29">
        <v>1161</v>
      </c>
      <c r="K10" s="29">
        <v>10.224454883358741</v>
      </c>
      <c r="L10" s="29">
        <v>1993</v>
      </c>
      <c r="M10" s="29">
        <v>23.435760290196061</v>
      </c>
      <c r="N10" s="29">
        <v>1716</v>
      </c>
      <c r="O10" s="29">
        <v>11.338799634897629</v>
      </c>
      <c r="P10" s="9">
        <v>529</v>
      </c>
      <c r="Q10" s="9">
        <v>4.3895467757532298</v>
      </c>
      <c r="R10" s="9">
        <v>169</v>
      </c>
      <c r="S10" s="9">
        <v>2.1200861388639778</v>
      </c>
      <c r="T10" s="9">
        <v>713</v>
      </c>
      <c r="U10" s="9">
        <v>5.2832831743427997</v>
      </c>
      <c r="V10" s="9">
        <v>1228</v>
      </c>
      <c r="W10" s="9">
        <v>6.3839765513718181</v>
      </c>
      <c r="X10" s="29">
        <v>1017.382501363553</v>
      </c>
      <c r="Y10" s="29">
        <v>-1.5675436159231391</v>
      </c>
      <c r="Z10" s="29">
        <v>0.31483282351425868</v>
      </c>
      <c r="AA10" s="29">
        <v>-4.9789713741589763</v>
      </c>
      <c r="AB10" s="29">
        <v>6.3923095395376598E-7</v>
      </c>
      <c r="AC10" s="29">
        <v>4.1135414920443251E-4</v>
      </c>
      <c r="AD10" s="29" t="s">
        <v>188</v>
      </c>
      <c r="AE10" s="29" t="s">
        <v>189</v>
      </c>
      <c r="AF10" s="29" t="s">
        <v>190</v>
      </c>
      <c r="AG10" s="29" t="s">
        <v>191</v>
      </c>
      <c r="AH10" s="29" t="s">
        <v>43</v>
      </c>
      <c r="AI10" s="29" t="s">
        <v>43</v>
      </c>
      <c r="AJ10" s="29" t="s">
        <v>43</v>
      </c>
      <c r="AK10" s="29" t="s">
        <v>43</v>
      </c>
      <c r="AL10" s="29" t="s">
        <v>43</v>
      </c>
      <c r="AM10" s="29" t="s">
        <v>192</v>
      </c>
      <c r="AN10" s="29" t="s">
        <v>43</v>
      </c>
    </row>
    <row r="11" spans="1:40" s="29" customFormat="1" x14ac:dyDescent="0.3">
      <c r="A11" s="29" t="s">
        <v>208</v>
      </c>
      <c r="B11" s="29">
        <v>1847</v>
      </c>
      <c r="C11" s="29" t="str">
        <f>IF(Y11&lt;0, "Down", "Up")</f>
        <v>Down</v>
      </c>
      <c r="D11" s="30" t="str">
        <f>IF(AC11&lt;0.05, "Sig", "N")</f>
        <v>Sig</v>
      </c>
      <c r="E11" s="31" t="str">
        <f>IF(AND(I11&gt;2,K11&gt;2,M11&gt;2,O11&gt;2),"Y","N")</f>
        <v>Y</v>
      </c>
      <c r="F11" s="31" t="str">
        <f>IF(AND(Q11&gt;2,S11&gt;2,U11&gt;2,W11&gt;2),"Y","N")</f>
        <v>Y</v>
      </c>
      <c r="G11" s="31" t="str">
        <f>IF(OR(E11="Y", F11="Y"), "Expressed", "N")</f>
        <v>Expressed</v>
      </c>
      <c r="H11" s="29">
        <v>937</v>
      </c>
      <c r="I11" s="29">
        <v>14.535424076970781</v>
      </c>
      <c r="J11" s="29">
        <v>2069</v>
      </c>
      <c r="K11" s="29">
        <v>19.966964535001019</v>
      </c>
      <c r="L11" s="29">
        <v>1283</v>
      </c>
      <c r="M11" s="29">
        <v>16.532632713549621</v>
      </c>
      <c r="N11" s="29">
        <v>4227</v>
      </c>
      <c r="O11" s="29">
        <v>30.607344947576319</v>
      </c>
      <c r="P11" s="9">
        <v>1192</v>
      </c>
      <c r="Q11" s="9">
        <v>10.83886675429982</v>
      </c>
      <c r="R11" s="9">
        <v>787</v>
      </c>
      <c r="S11" s="9">
        <v>10.81895083203136</v>
      </c>
      <c r="T11" s="9">
        <v>1196</v>
      </c>
      <c r="U11" s="9">
        <v>9.7115634338723815</v>
      </c>
      <c r="V11" s="9">
        <v>2311</v>
      </c>
      <c r="W11" s="9">
        <v>13.165473236768239</v>
      </c>
      <c r="X11" s="29">
        <v>1609.646905538578</v>
      </c>
      <c r="Y11" s="29">
        <v>-0.85469123704310301</v>
      </c>
      <c r="Z11" s="29">
        <v>0.22939410047181949</v>
      </c>
      <c r="AA11" s="29">
        <v>-3.7258640709816322</v>
      </c>
      <c r="AB11" s="29">
        <v>1.9464728267021159E-4</v>
      </c>
      <c r="AC11" s="29">
        <v>3.8748108134039019E-2</v>
      </c>
      <c r="AD11" s="29" t="s">
        <v>209</v>
      </c>
      <c r="AE11" s="29" t="s">
        <v>210</v>
      </c>
      <c r="AF11" s="29" t="s">
        <v>211</v>
      </c>
      <c r="AG11" s="29" t="s">
        <v>212</v>
      </c>
      <c r="AH11" s="29" t="s">
        <v>43</v>
      </c>
      <c r="AI11" s="29" t="s">
        <v>43</v>
      </c>
      <c r="AJ11" s="29" t="s">
        <v>43</v>
      </c>
      <c r="AK11" s="29" t="s">
        <v>43</v>
      </c>
      <c r="AL11" s="29" t="s">
        <v>43</v>
      </c>
      <c r="AM11" s="29" t="s">
        <v>213</v>
      </c>
      <c r="AN11" s="29" t="s">
        <v>214</v>
      </c>
    </row>
    <row r="12" spans="1:40" s="29" customFormat="1" x14ac:dyDescent="0.3">
      <c r="A12" s="29" t="s">
        <v>238</v>
      </c>
      <c r="B12" s="29">
        <v>1514</v>
      </c>
      <c r="C12" s="29" t="str">
        <f>IF(Y12&lt;0, "Down", "Up")</f>
        <v>Down</v>
      </c>
      <c r="D12" s="30" t="str">
        <f>IF(AC12&lt;0.05, "Sig", "N")</f>
        <v>Sig</v>
      </c>
      <c r="E12" s="31" t="str">
        <f>IF(AND(I12&gt;2,K12&gt;2,M12&gt;2,O12&gt;2),"Y","N")</f>
        <v>Y</v>
      </c>
      <c r="F12" s="31" t="str">
        <f>IF(AND(Q12&gt;2,S12&gt;2,U12&gt;2,W12&gt;2),"Y","N")</f>
        <v>N</v>
      </c>
      <c r="G12" s="31" t="str">
        <f>IF(OR(E12="Y", F12="Y"), "Expressed", "N")</f>
        <v>Expressed</v>
      </c>
      <c r="H12" s="29">
        <v>154</v>
      </c>
      <c r="I12" s="29">
        <v>2.9144046907662342</v>
      </c>
      <c r="J12" s="29">
        <v>1030</v>
      </c>
      <c r="K12" s="29">
        <v>12.12634167490766</v>
      </c>
      <c r="L12" s="29">
        <v>211</v>
      </c>
      <c r="M12" s="29">
        <v>3.3169493267957968</v>
      </c>
      <c r="N12" s="29">
        <v>707</v>
      </c>
      <c r="O12" s="29">
        <v>6.2453077554134184</v>
      </c>
      <c r="P12" s="9">
        <v>207</v>
      </c>
      <c r="Q12" s="9">
        <v>2.296249039892047</v>
      </c>
      <c r="R12" s="9">
        <v>95</v>
      </c>
      <c r="S12" s="9">
        <v>1.5932173980941811</v>
      </c>
      <c r="T12" s="9">
        <v>179</v>
      </c>
      <c r="U12" s="9">
        <v>1.7731767282193669</v>
      </c>
      <c r="V12" s="9">
        <v>421</v>
      </c>
      <c r="W12" s="9">
        <v>2.925901120126448</v>
      </c>
      <c r="X12" s="29">
        <v>348.22847357479509</v>
      </c>
      <c r="Y12" s="29">
        <v>-1.5090895626012659</v>
      </c>
      <c r="Z12" s="29">
        <v>0.39024181036269878</v>
      </c>
      <c r="AA12" s="29">
        <v>-3.8670627352786391</v>
      </c>
      <c r="AB12" s="29">
        <v>1.101540979114693E-4</v>
      </c>
      <c r="AC12" s="29">
        <v>2.6544652917763839E-2</v>
      </c>
      <c r="AD12" s="29" t="s">
        <v>239</v>
      </c>
      <c r="AE12" s="29" t="s">
        <v>240</v>
      </c>
      <c r="AF12" s="29" t="s">
        <v>43</v>
      </c>
      <c r="AG12" s="29" t="s">
        <v>241</v>
      </c>
      <c r="AH12" s="29" t="s">
        <v>43</v>
      </c>
      <c r="AI12" s="29" t="s">
        <v>43</v>
      </c>
      <c r="AJ12" s="29" t="s">
        <v>43</v>
      </c>
      <c r="AK12" s="29" t="s">
        <v>43</v>
      </c>
      <c r="AL12" s="29" t="s">
        <v>43</v>
      </c>
      <c r="AM12" s="29" t="s">
        <v>242</v>
      </c>
      <c r="AN12" s="29" t="s">
        <v>243</v>
      </c>
    </row>
    <row r="13" spans="1:40" s="29" customFormat="1" x14ac:dyDescent="0.3">
      <c r="A13" s="29" t="s">
        <v>244</v>
      </c>
      <c r="B13" s="29">
        <v>2166</v>
      </c>
      <c r="C13" s="29" t="str">
        <f>IF(Y13&lt;0, "Down", "Up")</f>
        <v>Down</v>
      </c>
      <c r="D13" s="30" t="str">
        <f>IF(AC13&lt;0.05, "Sig", "N")</f>
        <v>Sig</v>
      </c>
      <c r="E13" s="31" t="str">
        <f>IF(AND(I13&gt;2,K13&gt;2,M13&gt;2,O13&gt;2),"Y","N")</f>
        <v>Y</v>
      </c>
      <c r="F13" s="31" t="str">
        <f>IF(AND(Q13&gt;2,S13&gt;2,U13&gt;2,W13&gt;2),"Y","N")</f>
        <v>Y</v>
      </c>
      <c r="G13" s="31" t="str">
        <f>IF(OR(E13="Y", F13="Y"), "Expressed", "N")</f>
        <v>Expressed</v>
      </c>
      <c r="H13" s="29">
        <v>8709</v>
      </c>
      <c r="I13" s="29">
        <v>115.2032814816679</v>
      </c>
      <c r="J13" s="29">
        <v>16244</v>
      </c>
      <c r="K13" s="29">
        <v>133.67585786028599</v>
      </c>
      <c r="L13" s="29">
        <v>11771</v>
      </c>
      <c r="M13" s="29">
        <v>129.34128285027541</v>
      </c>
      <c r="N13" s="29">
        <v>22598</v>
      </c>
      <c r="O13" s="29">
        <v>139.5313697809168</v>
      </c>
      <c r="P13" s="9">
        <v>9614</v>
      </c>
      <c r="Q13" s="9">
        <v>74.545285595247833</v>
      </c>
      <c r="R13" s="9">
        <v>5740</v>
      </c>
      <c r="S13" s="9">
        <v>67.286935645146258</v>
      </c>
      <c r="T13" s="9">
        <v>10429</v>
      </c>
      <c r="U13" s="9">
        <v>72.2119515655356</v>
      </c>
      <c r="V13" s="9">
        <v>21164</v>
      </c>
      <c r="W13" s="9">
        <v>102.8117437462832</v>
      </c>
      <c r="X13" s="29">
        <v>12483.12735154775</v>
      </c>
      <c r="Y13" s="29">
        <v>-0.68653296449481227</v>
      </c>
      <c r="Z13" s="29">
        <v>0.1623611896401832</v>
      </c>
      <c r="AA13" s="29">
        <v>-4.2284302425738103</v>
      </c>
      <c r="AB13" s="29">
        <v>2.3532745479787931E-5</v>
      </c>
      <c r="AC13" s="29">
        <v>7.7755102332701361E-3</v>
      </c>
      <c r="AD13" s="29" t="s">
        <v>245</v>
      </c>
      <c r="AE13" s="29" t="s">
        <v>246</v>
      </c>
      <c r="AF13" s="29" t="s">
        <v>247</v>
      </c>
      <c r="AG13" s="29" t="s">
        <v>248</v>
      </c>
      <c r="AH13" s="29" t="s">
        <v>43</v>
      </c>
      <c r="AI13" s="29" t="s">
        <v>43</v>
      </c>
      <c r="AJ13" s="29" t="s">
        <v>43</v>
      </c>
      <c r="AK13" s="29" t="s">
        <v>43</v>
      </c>
      <c r="AL13" s="29" t="s">
        <v>43</v>
      </c>
      <c r="AM13" s="29" t="s">
        <v>249</v>
      </c>
      <c r="AN13" s="29" t="s">
        <v>43</v>
      </c>
    </row>
    <row r="14" spans="1:40" s="29" customFormat="1" x14ac:dyDescent="0.3">
      <c r="A14" s="29" t="s">
        <v>280</v>
      </c>
      <c r="B14" s="29">
        <v>2739</v>
      </c>
      <c r="C14" s="29" t="str">
        <f>IF(Y14&lt;0, "Down", "Up")</f>
        <v>Down</v>
      </c>
      <c r="D14" s="30" t="str">
        <f>IF(AC14&lt;0.05, "Sig", "N")</f>
        <v>Sig</v>
      </c>
      <c r="E14" s="31" t="str">
        <f>IF(AND(I14&gt;2,K14&gt;2,M14&gt;2,O14&gt;2),"Y","N")</f>
        <v>Y</v>
      </c>
      <c r="F14" s="31" t="str">
        <f>IF(AND(Q14&gt;2,S14&gt;2,U14&gt;2,W14&gt;2),"Y","N")</f>
        <v>N</v>
      </c>
      <c r="G14" s="31" t="str">
        <f>IF(OR(E14="Y", F14="Y"), "Expressed", "N")</f>
        <v>Expressed</v>
      </c>
      <c r="H14" s="29">
        <v>637</v>
      </c>
      <c r="I14" s="29">
        <v>6.6635001471278024</v>
      </c>
      <c r="J14" s="29">
        <v>1026</v>
      </c>
      <c r="K14" s="29">
        <v>6.6768832113985548</v>
      </c>
      <c r="L14" s="29">
        <v>1524</v>
      </c>
      <c r="M14" s="29">
        <v>13.2426588592919</v>
      </c>
      <c r="N14" s="29">
        <v>1766</v>
      </c>
      <c r="O14" s="29">
        <v>8.6230116469658942</v>
      </c>
      <c r="P14" s="9">
        <v>327</v>
      </c>
      <c r="Q14" s="9">
        <v>2.0050732260119521</v>
      </c>
      <c r="R14" s="9">
        <v>117</v>
      </c>
      <c r="S14" s="9">
        <v>1.0846038449053901</v>
      </c>
      <c r="T14" s="9">
        <v>180</v>
      </c>
      <c r="U14" s="9">
        <v>0.9856105416574209</v>
      </c>
      <c r="V14" s="9">
        <v>2917</v>
      </c>
      <c r="W14" s="9">
        <v>11.205927836638709</v>
      </c>
      <c r="X14" s="29">
        <v>945.75274060392746</v>
      </c>
      <c r="Y14" s="29">
        <v>-1.1669172597536319</v>
      </c>
      <c r="Z14" s="29">
        <v>0.83455994730921179</v>
      </c>
      <c r="AA14" s="29">
        <v>-1.3982425870256621</v>
      </c>
      <c r="AD14" s="29" t="s">
        <v>281</v>
      </c>
      <c r="AE14" s="29" t="s">
        <v>282</v>
      </c>
      <c r="AF14" s="29" t="s">
        <v>283</v>
      </c>
      <c r="AG14" s="29" t="s">
        <v>284</v>
      </c>
      <c r="AH14" s="29" t="s">
        <v>43</v>
      </c>
      <c r="AI14" s="29" t="s">
        <v>43</v>
      </c>
      <c r="AJ14" s="29" t="s">
        <v>43</v>
      </c>
      <c r="AK14" s="29" t="s">
        <v>43</v>
      </c>
      <c r="AL14" s="29" t="s">
        <v>43</v>
      </c>
      <c r="AM14" s="29" t="s">
        <v>285</v>
      </c>
      <c r="AN14" s="29" t="s">
        <v>43</v>
      </c>
    </row>
    <row r="15" spans="1:40" s="29" customFormat="1" x14ac:dyDescent="0.3">
      <c r="A15" s="29" t="s">
        <v>286</v>
      </c>
      <c r="B15" s="29">
        <v>1849</v>
      </c>
      <c r="C15" s="29" t="str">
        <f>IF(Y15&lt;0, "Down", "Up")</f>
        <v>Down</v>
      </c>
      <c r="D15" s="30" t="str">
        <f>IF(AC15&lt;0.05, "Sig", "N")</f>
        <v>Sig</v>
      </c>
      <c r="E15" s="31" t="str">
        <f>IF(AND(I15&gt;2,K15&gt;2,M15&gt;2,O15&gt;2),"Y","N")</f>
        <v>Y</v>
      </c>
      <c r="F15" s="31" t="str">
        <f>IF(AND(Q15&gt;2,S15&gt;2,U15&gt;2,W15&gt;2),"Y","N")</f>
        <v>Y</v>
      </c>
      <c r="G15" s="31" t="str">
        <f>IF(OR(E15="Y", F15="Y"), "Expressed", "N")</f>
        <v>Expressed</v>
      </c>
      <c r="H15" s="29">
        <v>3465</v>
      </c>
      <c r="I15" s="29">
        <v>53.693453645728383</v>
      </c>
      <c r="J15" s="29">
        <v>4598</v>
      </c>
      <c r="K15" s="29">
        <v>44.325179917843428</v>
      </c>
      <c r="L15" s="29">
        <v>5885</v>
      </c>
      <c r="M15" s="29">
        <v>75.751600422732935</v>
      </c>
      <c r="N15" s="29">
        <v>7909</v>
      </c>
      <c r="O15" s="29">
        <v>57.206446317075702</v>
      </c>
      <c r="P15" s="9">
        <v>287</v>
      </c>
      <c r="Q15" s="9">
        <v>2.6068707731188092</v>
      </c>
      <c r="R15" s="9">
        <v>286</v>
      </c>
      <c r="S15" s="9">
        <v>3.9274117232323178</v>
      </c>
      <c r="T15" s="9">
        <v>450</v>
      </c>
      <c r="U15" s="9">
        <v>3.6500639177929628</v>
      </c>
      <c r="V15" s="9">
        <v>8115</v>
      </c>
      <c r="W15" s="9">
        <v>46.18011791826455</v>
      </c>
      <c r="X15" s="29">
        <v>3641.0367035069298</v>
      </c>
      <c r="Y15" s="29">
        <v>-2.0026217566024251</v>
      </c>
      <c r="Z15" s="29">
        <v>0.96442488937704784</v>
      </c>
      <c r="AA15" s="29">
        <v>-2.076493233076949</v>
      </c>
      <c r="AD15" s="29" t="s">
        <v>287</v>
      </c>
      <c r="AE15" s="29" t="s">
        <v>288</v>
      </c>
      <c r="AF15" s="29" t="s">
        <v>289</v>
      </c>
      <c r="AG15" s="29" t="s">
        <v>290</v>
      </c>
      <c r="AH15" s="29" t="s">
        <v>43</v>
      </c>
      <c r="AI15" s="29" t="s">
        <v>43</v>
      </c>
      <c r="AJ15" s="29" t="s">
        <v>43</v>
      </c>
      <c r="AK15" s="29" t="s">
        <v>43</v>
      </c>
      <c r="AL15" s="29" t="s">
        <v>43</v>
      </c>
      <c r="AM15" s="29" t="s">
        <v>291</v>
      </c>
      <c r="AN15" s="29" t="s">
        <v>43</v>
      </c>
    </row>
    <row r="16" spans="1:40" s="29" customFormat="1" x14ac:dyDescent="0.3">
      <c r="A16" s="29" t="s">
        <v>298</v>
      </c>
      <c r="B16" s="29">
        <v>2222</v>
      </c>
      <c r="C16" s="29" t="str">
        <f>IF(Y16&lt;0, "Down", "Up")</f>
        <v>Down</v>
      </c>
      <c r="D16" s="30" t="str">
        <f>IF(AC16&lt;0.05, "Sig", "N")</f>
        <v>Sig</v>
      </c>
      <c r="E16" s="31" t="str">
        <f>IF(AND(I16&gt;2,K16&gt;2,M16&gt;2,O16&gt;2),"Y","N")</f>
        <v>Y</v>
      </c>
      <c r="F16" s="31" t="str">
        <f>IF(AND(Q16&gt;2,S16&gt;2,U16&gt;2,W16&gt;2),"Y","N")</f>
        <v>Y</v>
      </c>
      <c r="G16" s="31" t="str">
        <f>IF(OR(E16="Y", F16="Y"), "Expressed", "N")</f>
        <v>Expressed</v>
      </c>
      <c r="H16" s="29">
        <v>375</v>
      </c>
      <c r="I16" s="29">
        <v>4.8355093199718562</v>
      </c>
      <c r="J16" s="29">
        <v>551</v>
      </c>
      <c r="K16" s="29">
        <v>4.4200379234973379</v>
      </c>
      <c r="L16" s="29">
        <v>498</v>
      </c>
      <c r="M16" s="29">
        <v>5.3341785032545737</v>
      </c>
      <c r="N16" s="29">
        <v>1293</v>
      </c>
      <c r="O16" s="29">
        <v>7.7824219885577932</v>
      </c>
      <c r="P16" s="9">
        <v>430</v>
      </c>
      <c r="Q16" s="9">
        <v>3.2501164245783709</v>
      </c>
      <c r="R16" s="9">
        <v>221</v>
      </c>
      <c r="S16" s="9">
        <v>2.525372978814366</v>
      </c>
      <c r="T16" s="9">
        <v>382</v>
      </c>
      <c r="U16" s="9">
        <v>2.5783636826559562</v>
      </c>
      <c r="V16" s="9">
        <v>686</v>
      </c>
      <c r="W16" s="9">
        <v>3.248504596624779</v>
      </c>
      <c r="X16" s="29">
        <v>520.5171007830329</v>
      </c>
      <c r="Y16" s="29">
        <v>-0.92652022356282271</v>
      </c>
      <c r="Z16" s="29">
        <v>0.20989118790715891</v>
      </c>
      <c r="AA16" s="29">
        <v>-4.4142883405502964</v>
      </c>
      <c r="AB16" s="29">
        <v>1.013428121316573E-5</v>
      </c>
      <c r="AC16" s="29">
        <v>3.7767873590925762E-3</v>
      </c>
      <c r="AD16" s="29" t="s">
        <v>299</v>
      </c>
      <c r="AE16" s="29" t="s">
        <v>300</v>
      </c>
      <c r="AF16" s="29" t="s">
        <v>301</v>
      </c>
      <c r="AG16" s="29" t="s">
        <v>302</v>
      </c>
      <c r="AH16" s="29" t="s">
        <v>43</v>
      </c>
      <c r="AI16" s="29" t="s">
        <v>43</v>
      </c>
      <c r="AJ16" s="29" t="s">
        <v>43</v>
      </c>
      <c r="AK16" s="29" t="s">
        <v>43</v>
      </c>
      <c r="AL16" s="29" t="s">
        <v>43</v>
      </c>
      <c r="AM16" s="29" t="s">
        <v>303</v>
      </c>
      <c r="AN16" s="29" t="s">
        <v>43</v>
      </c>
    </row>
    <row r="17" spans="1:40" s="29" customFormat="1" x14ac:dyDescent="0.3">
      <c r="A17" s="29" t="s">
        <v>304</v>
      </c>
      <c r="B17" s="29">
        <v>2308</v>
      </c>
      <c r="C17" s="29" t="str">
        <f>IF(Y17&lt;0, "Down", "Up")</f>
        <v>Down</v>
      </c>
      <c r="D17" s="30" t="str">
        <f>IF(AC17&lt;0.05, "Sig", "N")</f>
        <v>Sig</v>
      </c>
      <c r="E17" s="31" t="str">
        <f>IF(AND(I17&gt;2,K17&gt;2,M17&gt;2,O17&gt;2),"Y","N")</f>
        <v>Y</v>
      </c>
      <c r="F17" s="31" t="str">
        <f>IF(AND(Q17&gt;2,S17&gt;2,U17&gt;2,W17&gt;2),"Y","N")</f>
        <v>Y</v>
      </c>
      <c r="G17" s="31" t="str">
        <f>IF(OR(E17="Y", F17="Y"), "Expressed", "N")</f>
        <v>Expressed</v>
      </c>
      <c r="H17" s="29">
        <v>31840</v>
      </c>
      <c r="I17" s="29">
        <v>395.26855507087521</v>
      </c>
      <c r="J17" s="29">
        <v>44588</v>
      </c>
      <c r="K17" s="29">
        <v>344.3504376577817</v>
      </c>
      <c r="L17" s="29">
        <v>33205</v>
      </c>
      <c r="M17" s="29">
        <v>342.41275725054669</v>
      </c>
      <c r="N17" s="29">
        <v>66815</v>
      </c>
      <c r="O17" s="29">
        <v>387.16712538174369</v>
      </c>
      <c r="P17" s="9">
        <v>35187</v>
      </c>
      <c r="Q17" s="9">
        <v>256.04774416136212</v>
      </c>
      <c r="R17" s="9">
        <v>17490</v>
      </c>
      <c r="S17" s="9">
        <v>192.4116284370071</v>
      </c>
      <c r="T17" s="9">
        <v>32372</v>
      </c>
      <c r="U17" s="9">
        <v>210.35778745659709</v>
      </c>
      <c r="V17" s="9">
        <v>41720</v>
      </c>
      <c r="W17" s="9">
        <v>190.20061628432401</v>
      </c>
      <c r="X17" s="29">
        <v>36985.027100420273</v>
      </c>
      <c r="Y17" s="29">
        <v>-0.7753679986512465</v>
      </c>
      <c r="Z17" s="29">
        <v>0.1454601571018887</v>
      </c>
      <c r="AA17" s="29">
        <v>-5.3304493415893539</v>
      </c>
      <c r="AB17" s="29">
        <v>9.7970059580678486E-8</v>
      </c>
      <c r="AC17" s="29">
        <v>8.4863254312452584E-5</v>
      </c>
      <c r="AD17" s="29" t="s">
        <v>305</v>
      </c>
      <c r="AE17" s="29" t="s">
        <v>306</v>
      </c>
      <c r="AF17" s="29" t="s">
        <v>307</v>
      </c>
      <c r="AG17" s="29" t="s">
        <v>308</v>
      </c>
      <c r="AH17" s="29" t="s">
        <v>43</v>
      </c>
      <c r="AI17" s="29" t="s">
        <v>43</v>
      </c>
      <c r="AJ17" s="29" t="s">
        <v>43</v>
      </c>
      <c r="AK17" s="29" t="s">
        <v>43</v>
      </c>
      <c r="AL17" s="29" t="s">
        <v>43</v>
      </c>
      <c r="AM17" s="29" t="s">
        <v>309</v>
      </c>
      <c r="AN17" s="29" t="s">
        <v>43</v>
      </c>
    </row>
    <row r="18" spans="1:40" s="29" customFormat="1" x14ac:dyDescent="0.3">
      <c r="A18" s="29" t="s">
        <v>340</v>
      </c>
      <c r="B18" s="29">
        <v>1539</v>
      </c>
      <c r="C18" s="29" t="str">
        <f>IF(Y18&lt;0, "Down", "Up")</f>
        <v>Down</v>
      </c>
      <c r="D18" s="30" t="str">
        <f>IF(AC18&lt;0.05, "Sig", "N")</f>
        <v>Sig</v>
      </c>
      <c r="E18" s="31" t="str">
        <f>IF(AND(I18&gt;2,K18&gt;2,M18&gt;2,O18&gt;2),"Y","N")</f>
        <v>Y</v>
      </c>
      <c r="F18" s="31" t="str">
        <f>IF(AND(Q18&gt;2,S18&gt;2,U18&gt;2,W18&gt;2),"Y","N")</f>
        <v>N</v>
      </c>
      <c r="G18" s="31" t="str">
        <f>IF(OR(E18="Y", F18="Y"), "Expressed", "N")</f>
        <v>Expressed</v>
      </c>
      <c r="H18" s="29">
        <v>448</v>
      </c>
      <c r="I18" s="29">
        <v>8.3405445364901958</v>
      </c>
      <c r="J18" s="29">
        <v>728</v>
      </c>
      <c r="K18" s="29">
        <v>8.4316236008439613</v>
      </c>
      <c r="L18" s="29">
        <v>701</v>
      </c>
      <c r="M18" s="29">
        <v>10.840808051695269</v>
      </c>
      <c r="N18" s="29">
        <v>2738</v>
      </c>
      <c r="O18" s="29">
        <v>23.793324609987948</v>
      </c>
      <c r="P18" s="9">
        <v>308</v>
      </c>
      <c r="Q18" s="9">
        <v>3.36114009125111</v>
      </c>
      <c r="R18" s="9">
        <v>114</v>
      </c>
      <c r="S18" s="9">
        <v>1.8808040083544559</v>
      </c>
      <c r="T18" s="9">
        <v>325</v>
      </c>
      <c r="U18" s="9">
        <v>3.1671571147205779</v>
      </c>
      <c r="V18" s="9">
        <v>399</v>
      </c>
      <c r="W18" s="9">
        <v>2.7279581306501361</v>
      </c>
      <c r="X18" s="29">
        <v>661.36207078012797</v>
      </c>
      <c r="Y18" s="29">
        <v>-2.183632910302407</v>
      </c>
      <c r="Z18" s="29">
        <v>0.31920896248818698</v>
      </c>
      <c r="AA18" s="29">
        <v>-6.8407631580307422</v>
      </c>
      <c r="AB18" s="29">
        <v>7.8772398147748779E-12</v>
      </c>
      <c r="AC18" s="29">
        <v>2.5759093087617481E-8</v>
      </c>
      <c r="AD18" s="29" t="s">
        <v>341</v>
      </c>
      <c r="AE18" s="29" t="s">
        <v>342</v>
      </c>
      <c r="AF18" s="29" t="s">
        <v>343</v>
      </c>
      <c r="AG18" s="29" t="s">
        <v>344</v>
      </c>
      <c r="AH18" s="29" t="s">
        <v>43</v>
      </c>
      <c r="AI18" s="29" t="s">
        <v>43</v>
      </c>
      <c r="AJ18" s="29" t="s">
        <v>43</v>
      </c>
      <c r="AK18" s="29" t="s">
        <v>43</v>
      </c>
      <c r="AL18" s="29" t="s">
        <v>43</v>
      </c>
      <c r="AM18" s="29" t="s">
        <v>345</v>
      </c>
      <c r="AN18" s="29" t="s">
        <v>43</v>
      </c>
    </row>
    <row r="19" spans="1:40" s="29" customFormat="1" x14ac:dyDescent="0.3">
      <c r="A19" s="29" t="s">
        <v>418</v>
      </c>
      <c r="B19" s="29">
        <v>2430</v>
      </c>
      <c r="C19" s="29" t="str">
        <f>IF(Y19&lt;0, "Down", "Up")</f>
        <v>Down</v>
      </c>
      <c r="D19" s="30" t="str">
        <f>IF(AC19&lt;0.05, "Sig", "N")</f>
        <v>Sig</v>
      </c>
      <c r="E19" s="31" t="str">
        <f>IF(AND(I19&gt;2,K19&gt;2,M19&gt;2,O19&gt;2),"Y","N")</f>
        <v>Y</v>
      </c>
      <c r="F19" s="31" t="str">
        <f>IF(AND(Q19&gt;2,S19&gt;2,U19&gt;2,W19&gt;2),"Y","N")</f>
        <v>N</v>
      </c>
      <c r="G19" s="31" t="str">
        <f>IF(OR(E19="Y", F19="Y"), "Expressed", "N")</f>
        <v>Expressed</v>
      </c>
      <c r="H19" s="29">
        <v>247</v>
      </c>
      <c r="I19" s="29">
        <v>2.912364249237239</v>
      </c>
      <c r="J19" s="29">
        <v>371</v>
      </c>
      <c r="K19" s="29">
        <v>2.721360566041624</v>
      </c>
      <c r="L19" s="29">
        <v>252</v>
      </c>
      <c r="M19" s="29">
        <v>2.468178266833903</v>
      </c>
      <c r="N19" s="29">
        <v>809</v>
      </c>
      <c r="O19" s="29">
        <v>4.4524859091809681</v>
      </c>
      <c r="P19" s="9">
        <v>67</v>
      </c>
      <c r="Q19" s="9">
        <v>0.46306616192236622</v>
      </c>
      <c r="R19" s="9">
        <v>84</v>
      </c>
      <c r="S19" s="9">
        <v>0.87770853723207953</v>
      </c>
      <c r="T19" s="9">
        <v>362</v>
      </c>
      <c r="U19" s="9">
        <v>2.2342263215433991</v>
      </c>
      <c r="V19" s="9">
        <v>226</v>
      </c>
      <c r="W19" s="9">
        <v>0.97860085321735046</v>
      </c>
      <c r="X19" s="29">
        <v>287.79362636676632</v>
      </c>
      <c r="Y19" s="29">
        <v>-1.4350501053064579</v>
      </c>
      <c r="Z19" s="29">
        <v>0.38685639442842179</v>
      </c>
      <c r="AA19" s="29">
        <v>-3.7095163114124992</v>
      </c>
      <c r="AB19" s="29">
        <v>2.0765557946908979E-4</v>
      </c>
      <c r="AC19" s="29">
        <v>4.0830437558186057E-2</v>
      </c>
      <c r="AD19" s="29" t="s">
        <v>419</v>
      </c>
      <c r="AE19" s="29" t="s">
        <v>420</v>
      </c>
      <c r="AF19" s="29" t="s">
        <v>55</v>
      </c>
      <c r="AG19" s="29" t="s">
        <v>421</v>
      </c>
      <c r="AH19" s="29" t="s">
        <v>43</v>
      </c>
      <c r="AI19" s="29" t="s">
        <v>43</v>
      </c>
      <c r="AJ19" s="29" t="s">
        <v>43</v>
      </c>
      <c r="AK19" s="29" t="s">
        <v>43</v>
      </c>
      <c r="AL19" s="29" t="s">
        <v>43</v>
      </c>
      <c r="AM19" s="29" t="s">
        <v>422</v>
      </c>
      <c r="AN19" s="29" t="s">
        <v>43</v>
      </c>
    </row>
    <row r="20" spans="1:40" s="29" customFormat="1" x14ac:dyDescent="0.3">
      <c r="A20" s="29" t="s">
        <v>423</v>
      </c>
      <c r="B20" s="29">
        <v>1994</v>
      </c>
      <c r="C20" s="29" t="str">
        <f>IF(Y20&lt;0, "Down", "Up")</f>
        <v>Down</v>
      </c>
      <c r="D20" s="30" t="str">
        <f>IF(AC20&lt;0.05, "Sig", "N")</f>
        <v>Sig</v>
      </c>
      <c r="E20" s="31" t="str">
        <f>IF(AND(I20&gt;2,K20&gt;2,M20&gt;2,O20&gt;2),"Y","N")</f>
        <v>Y</v>
      </c>
      <c r="F20" s="31" t="str">
        <f>IF(AND(Q20&gt;2,S20&gt;2,U20&gt;2,W20&gt;2),"Y","N")</f>
        <v>N</v>
      </c>
      <c r="G20" s="31" t="str">
        <f>IF(OR(E20="Y", F20="Y"), "Expressed", "N")</f>
        <v>Expressed</v>
      </c>
      <c r="H20" s="29">
        <v>200</v>
      </c>
      <c r="I20" s="29">
        <v>2.8738219214917988</v>
      </c>
      <c r="J20" s="29">
        <v>444</v>
      </c>
      <c r="K20" s="29">
        <v>3.9689558458578289</v>
      </c>
      <c r="L20" s="29">
        <v>1145</v>
      </c>
      <c r="M20" s="29">
        <v>13.66666627009065</v>
      </c>
      <c r="N20" s="29">
        <v>459</v>
      </c>
      <c r="O20" s="29">
        <v>3.0785615242037458</v>
      </c>
      <c r="P20" s="9">
        <v>57</v>
      </c>
      <c r="Q20" s="9">
        <v>0.48009172358768049</v>
      </c>
      <c r="R20" s="9">
        <v>18</v>
      </c>
      <c r="S20" s="9">
        <v>0.22920530292383801</v>
      </c>
      <c r="T20" s="9">
        <v>43</v>
      </c>
      <c r="U20" s="9">
        <v>0.3234209650194641</v>
      </c>
      <c r="V20" s="9">
        <v>958</v>
      </c>
      <c r="W20" s="9">
        <v>5.0552632903995143</v>
      </c>
      <c r="X20" s="29">
        <v>398.17468868233271</v>
      </c>
      <c r="Y20" s="29">
        <v>-1.888879066291961</v>
      </c>
      <c r="Z20" s="29">
        <v>1.0883298534974739</v>
      </c>
      <c r="AA20" s="29">
        <v>-1.735575901204794</v>
      </c>
      <c r="AD20" s="29" t="s">
        <v>424</v>
      </c>
      <c r="AE20" s="29" t="s">
        <v>425</v>
      </c>
      <c r="AF20" s="29" t="s">
        <v>43</v>
      </c>
      <c r="AG20" s="29" t="s">
        <v>426</v>
      </c>
      <c r="AH20" s="29" t="s">
        <v>43</v>
      </c>
      <c r="AI20" s="29" t="s">
        <v>43</v>
      </c>
      <c r="AJ20" s="29" t="s">
        <v>43</v>
      </c>
      <c r="AK20" s="29" t="s">
        <v>43</v>
      </c>
      <c r="AL20" s="29" t="s">
        <v>43</v>
      </c>
      <c r="AM20" s="29" t="s">
        <v>427</v>
      </c>
      <c r="AN20" s="29" t="s">
        <v>43</v>
      </c>
    </row>
    <row r="21" spans="1:40" s="29" customFormat="1" x14ac:dyDescent="0.3">
      <c r="A21" s="29" t="s">
        <v>439</v>
      </c>
      <c r="B21" s="29">
        <v>632</v>
      </c>
      <c r="C21" s="29" t="str">
        <f>IF(Y21&lt;0, "Down", "Up")</f>
        <v>Down</v>
      </c>
      <c r="D21" s="30" t="str">
        <f>IF(AC21&lt;0.05, "Sig", "N")</f>
        <v>Sig</v>
      </c>
      <c r="E21" s="31" t="str">
        <f>IF(AND(I21&gt;2,K21&gt;2,M21&gt;2,O21&gt;2),"Y","N")</f>
        <v>Y</v>
      </c>
      <c r="F21" s="31" t="str">
        <f>IF(AND(Q21&gt;2,S21&gt;2,U21&gt;2,W21&gt;2),"Y","N")</f>
        <v>N</v>
      </c>
      <c r="G21" s="31" t="str">
        <f>IF(OR(E21="Y", F21="Y"), "Expressed", "N")</f>
        <v>Expressed</v>
      </c>
      <c r="H21" s="29">
        <v>157</v>
      </c>
      <c r="I21" s="29">
        <v>7.117665689069459</v>
      </c>
      <c r="J21" s="29">
        <v>453</v>
      </c>
      <c r="K21" s="29">
        <v>12.77613743855539</v>
      </c>
      <c r="L21" s="29">
        <v>77</v>
      </c>
      <c r="M21" s="29">
        <v>2.899718928993944</v>
      </c>
      <c r="N21" s="29">
        <v>242</v>
      </c>
      <c r="O21" s="29">
        <v>5.1210450152418217</v>
      </c>
      <c r="P21" s="9">
        <v>16</v>
      </c>
      <c r="Q21" s="9">
        <v>0.42518449781649342</v>
      </c>
      <c r="R21" s="9">
        <v>29</v>
      </c>
      <c r="S21" s="9">
        <v>1.165086660238559</v>
      </c>
      <c r="T21" s="9">
        <v>67</v>
      </c>
      <c r="U21" s="9">
        <v>1.5899467944020591</v>
      </c>
      <c r="V21" s="9">
        <v>27</v>
      </c>
      <c r="W21" s="9">
        <v>0.44952112957593793</v>
      </c>
      <c r="X21" s="29">
        <v>139.10667448992959</v>
      </c>
      <c r="Y21" s="29">
        <v>-2.944959123075467</v>
      </c>
      <c r="Z21" s="29">
        <v>0.49112402786980291</v>
      </c>
      <c r="AA21" s="29">
        <v>-5.9963653903249403</v>
      </c>
      <c r="AB21" s="29">
        <v>2.0178272249518149E-9</v>
      </c>
      <c r="AC21" s="29">
        <v>3.4037559241950358E-6</v>
      </c>
      <c r="AD21" s="29" t="s">
        <v>440</v>
      </c>
      <c r="AE21" s="29" t="s">
        <v>441</v>
      </c>
      <c r="AF21" s="29" t="s">
        <v>442</v>
      </c>
      <c r="AG21" s="29" t="s">
        <v>443</v>
      </c>
      <c r="AH21" s="29" t="s">
        <v>43</v>
      </c>
      <c r="AI21" s="29" t="s">
        <v>43</v>
      </c>
      <c r="AJ21" s="29" t="s">
        <v>43</v>
      </c>
      <c r="AK21" s="29" t="s">
        <v>43</v>
      </c>
      <c r="AL21" s="29" t="s">
        <v>43</v>
      </c>
      <c r="AM21" s="29" t="s">
        <v>444</v>
      </c>
      <c r="AN21" s="29" t="s">
        <v>214</v>
      </c>
    </row>
    <row r="22" spans="1:40" s="29" customFormat="1" x14ac:dyDescent="0.3">
      <c r="A22" s="29" t="s">
        <v>445</v>
      </c>
      <c r="B22" s="29">
        <v>1316</v>
      </c>
      <c r="C22" s="29" t="str">
        <f>IF(Y22&lt;0, "Down", "Up")</f>
        <v>Down</v>
      </c>
      <c r="D22" s="30" t="str">
        <f>IF(AC22&lt;0.05, "Sig", "N")</f>
        <v>Sig</v>
      </c>
      <c r="E22" s="31" t="str">
        <f>IF(AND(I22&gt;2,K22&gt;2,M22&gt;2,O22&gt;2),"Y","N")</f>
        <v>Y</v>
      </c>
      <c r="F22" s="31" t="str">
        <f>IF(AND(Q22&gt;2,S22&gt;2,U22&gt;2,W22&gt;2),"Y","N")</f>
        <v>Y</v>
      </c>
      <c r="G22" s="31" t="str">
        <f>IF(OR(E22="Y", F22="Y"), "Expressed", "N")</f>
        <v>Expressed</v>
      </c>
      <c r="H22" s="29">
        <v>728</v>
      </c>
      <c r="I22" s="29">
        <v>15.85004507423626</v>
      </c>
      <c r="J22" s="29">
        <v>1353</v>
      </c>
      <c r="K22" s="29">
        <v>18.32569096794581</v>
      </c>
      <c r="L22" s="29">
        <v>924</v>
      </c>
      <c r="M22" s="29">
        <v>16.710842216937749</v>
      </c>
      <c r="N22" s="29">
        <v>1310</v>
      </c>
      <c r="O22" s="29">
        <v>13.312993258493711</v>
      </c>
      <c r="P22" s="9">
        <v>835</v>
      </c>
      <c r="Q22" s="9">
        <v>10.65626724865691</v>
      </c>
      <c r="R22" s="9">
        <v>530</v>
      </c>
      <c r="S22" s="9">
        <v>10.225799908644481</v>
      </c>
      <c r="T22" s="9">
        <v>766</v>
      </c>
      <c r="U22" s="9">
        <v>8.7296684041597086</v>
      </c>
      <c r="V22" s="9">
        <v>1445</v>
      </c>
      <c r="W22" s="9">
        <v>11.55354824873155</v>
      </c>
      <c r="X22" s="29">
        <v>958.07097133786863</v>
      </c>
      <c r="Y22" s="29">
        <v>-0.61996107276919055</v>
      </c>
      <c r="Z22" s="29">
        <v>0.1612316161299841</v>
      </c>
      <c r="AA22" s="29">
        <v>-3.8451582118322309</v>
      </c>
      <c r="AB22" s="29">
        <v>1.204746820227894E-4</v>
      </c>
      <c r="AC22" s="29">
        <v>2.802169485285701E-2</v>
      </c>
      <c r="AD22" s="29" t="s">
        <v>446</v>
      </c>
      <c r="AE22" s="29" t="s">
        <v>447</v>
      </c>
      <c r="AF22" s="29" t="s">
        <v>448</v>
      </c>
      <c r="AG22" s="29" t="s">
        <v>449</v>
      </c>
      <c r="AH22" s="29" t="s">
        <v>43</v>
      </c>
      <c r="AI22" s="29" t="s">
        <v>43</v>
      </c>
      <c r="AJ22" s="29" t="s">
        <v>43</v>
      </c>
      <c r="AK22" s="29" t="s">
        <v>43</v>
      </c>
      <c r="AL22" s="29" t="s">
        <v>43</v>
      </c>
      <c r="AM22" s="29" t="s">
        <v>450</v>
      </c>
      <c r="AN22" s="29" t="s">
        <v>43</v>
      </c>
    </row>
    <row r="23" spans="1:40" s="29" customFormat="1" x14ac:dyDescent="0.3">
      <c r="A23" s="29" t="s">
        <v>456</v>
      </c>
      <c r="B23" s="29">
        <v>1899</v>
      </c>
      <c r="C23" s="29" t="str">
        <f>IF(Y23&lt;0, "Down", "Up")</f>
        <v>Down</v>
      </c>
      <c r="D23" s="30" t="str">
        <f>IF(AC23&lt;0.05, "Sig", "N")</f>
        <v>Sig</v>
      </c>
      <c r="E23" s="31" t="str">
        <f>IF(AND(I23&gt;2,K23&gt;2,M23&gt;2,O23&gt;2),"Y","N")</f>
        <v>Y</v>
      </c>
      <c r="F23" s="31" t="str">
        <f>IF(AND(Q23&gt;2,S23&gt;2,U23&gt;2,W23&gt;2),"Y","N")</f>
        <v>Y</v>
      </c>
      <c r="G23" s="31" t="str">
        <f>IF(OR(E23="Y", F23="Y"), "Expressed", "N")</f>
        <v>Expressed</v>
      </c>
      <c r="H23" s="29">
        <v>612</v>
      </c>
      <c r="I23" s="29">
        <v>9.2338213739079631</v>
      </c>
      <c r="J23" s="29">
        <v>877</v>
      </c>
      <c r="K23" s="29">
        <v>8.231767203191021</v>
      </c>
      <c r="L23" s="29">
        <v>1027</v>
      </c>
      <c r="M23" s="29">
        <v>12.871457752395489</v>
      </c>
      <c r="N23" s="29">
        <v>7015</v>
      </c>
      <c r="O23" s="29">
        <v>49.404102755635442</v>
      </c>
      <c r="P23" s="9">
        <v>2093</v>
      </c>
      <c r="Q23" s="9">
        <v>18.510526898489658</v>
      </c>
      <c r="R23" s="9">
        <v>1102</v>
      </c>
      <c r="S23" s="9">
        <v>14.734450359288701</v>
      </c>
      <c r="T23" s="9">
        <v>1799</v>
      </c>
      <c r="U23" s="9">
        <v>14.207938403855289</v>
      </c>
      <c r="V23" s="9">
        <v>1699</v>
      </c>
      <c r="W23" s="9">
        <v>9.413948945107478</v>
      </c>
      <c r="X23" s="29">
        <v>1789.2067496369989</v>
      </c>
      <c r="Y23" s="29">
        <v>-0.46581620385084749</v>
      </c>
      <c r="Z23" s="29">
        <v>0.64005087423687945</v>
      </c>
      <c r="AA23" s="29">
        <v>-0.72777996656317578</v>
      </c>
      <c r="AD23" s="29" t="s">
        <v>457</v>
      </c>
      <c r="AE23" s="29" t="s">
        <v>458</v>
      </c>
      <c r="AF23" s="29" t="s">
        <v>459</v>
      </c>
      <c r="AG23" s="29" t="s">
        <v>460</v>
      </c>
      <c r="AH23" s="29" t="s">
        <v>43</v>
      </c>
      <c r="AI23" s="29" t="s">
        <v>43</v>
      </c>
      <c r="AJ23" s="29" t="s">
        <v>43</v>
      </c>
      <c r="AK23" s="29" t="s">
        <v>43</v>
      </c>
      <c r="AL23" s="29" t="s">
        <v>43</v>
      </c>
      <c r="AM23" s="29" t="s">
        <v>461</v>
      </c>
      <c r="AN23" s="29" t="s">
        <v>43</v>
      </c>
    </row>
    <row r="24" spans="1:40" s="29" customFormat="1" x14ac:dyDescent="0.3">
      <c r="A24" s="29" t="s">
        <v>481</v>
      </c>
      <c r="B24" s="29">
        <v>658</v>
      </c>
      <c r="C24" s="29" t="str">
        <f>IF(Y24&lt;0, "Down", "Up")</f>
        <v>Down</v>
      </c>
      <c r="D24" s="30" t="str">
        <f>IF(AC24&lt;0.05, "Sig", "N")</f>
        <v>Sig</v>
      </c>
      <c r="E24" s="31" t="str">
        <f>IF(AND(I24&gt;2,K24&gt;2,M24&gt;2,O24&gt;2),"Y","N")</f>
        <v>Y</v>
      </c>
      <c r="F24" s="31" t="str">
        <f>IF(AND(Q24&gt;2,S24&gt;2,U24&gt;2,W24&gt;2),"Y","N")</f>
        <v>Y</v>
      </c>
      <c r="G24" s="31" t="str">
        <f>IF(OR(E24="Y", F24="Y"), "Expressed", "N")</f>
        <v>Expressed</v>
      </c>
      <c r="H24" s="29">
        <v>1603</v>
      </c>
      <c r="I24" s="29">
        <v>69.801160038463522</v>
      </c>
      <c r="J24" s="29">
        <v>3393</v>
      </c>
      <c r="K24" s="29">
        <v>91.912889067612937</v>
      </c>
      <c r="L24" s="29">
        <v>1032</v>
      </c>
      <c r="M24" s="29">
        <v>37.328115081990809</v>
      </c>
      <c r="N24" s="29">
        <v>2357</v>
      </c>
      <c r="O24" s="29">
        <v>47.906450550030037</v>
      </c>
      <c r="P24" s="9">
        <v>255</v>
      </c>
      <c r="Q24" s="9">
        <v>6.5086183195389511</v>
      </c>
      <c r="R24" s="9">
        <v>485</v>
      </c>
      <c r="S24" s="9">
        <v>18.71514322902857</v>
      </c>
      <c r="T24" s="9">
        <v>1010</v>
      </c>
      <c r="U24" s="9">
        <v>23.020796574938132</v>
      </c>
      <c r="V24" s="9">
        <v>447</v>
      </c>
      <c r="W24" s="9">
        <v>7.1480083974851274</v>
      </c>
      <c r="X24" s="29">
        <v>1384.73098857942</v>
      </c>
      <c r="Y24" s="29">
        <v>-2.141184611595405</v>
      </c>
      <c r="Z24" s="29">
        <v>0.53474690362393873</v>
      </c>
      <c r="AA24" s="29">
        <v>-4.004108480263767</v>
      </c>
      <c r="AB24" s="29">
        <v>6.2251795751332555E-5</v>
      </c>
      <c r="AC24" s="29">
        <v>1.7501995783325119E-2</v>
      </c>
      <c r="AD24" s="29" t="s">
        <v>482</v>
      </c>
      <c r="AE24" s="29" t="s">
        <v>483</v>
      </c>
      <c r="AF24" s="29" t="s">
        <v>484</v>
      </c>
      <c r="AG24" s="29" t="s">
        <v>443</v>
      </c>
      <c r="AH24" s="29" t="s">
        <v>43</v>
      </c>
      <c r="AI24" s="29" t="s">
        <v>43</v>
      </c>
      <c r="AJ24" s="29" t="s">
        <v>43</v>
      </c>
      <c r="AK24" s="29" t="s">
        <v>43</v>
      </c>
      <c r="AL24" s="29" t="s">
        <v>43</v>
      </c>
      <c r="AM24" s="29" t="s">
        <v>444</v>
      </c>
      <c r="AN24" s="29" t="s">
        <v>214</v>
      </c>
    </row>
    <row r="25" spans="1:40" s="29" customFormat="1" x14ac:dyDescent="0.3">
      <c r="A25" s="29" t="s">
        <v>501</v>
      </c>
      <c r="B25" s="29">
        <v>1205</v>
      </c>
      <c r="C25" s="29" t="str">
        <f>IF(Y25&lt;0, "Down", "Up")</f>
        <v>Down</v>
      </c>
      <c r="D25" s="30" t="str">
        <f>IF(AC25&lt;0.05, "Sig", "N")</f>
        <v>Sig</v>
      </c>
      <c r="E25" s="31" t="str">
        <f>IF(AND(I25&gt;2,K25&gt;2,M25&gt;2,O25&gt;2),"Y","N")</f>
        <v>Y</v>
      </c>
      <c r="F25" s="31" t="str">
        <f>IF(AND(Q25&gt;2,S25&gt;2,U25&gt;2,W25&gt;2),"Y","N")</f>
        <v>Y</v>
      </c>
      <c r="G25" s="31" t="str">
        <f>IF(OR(E25="Y", F25="Y"), "Expressed", "N")</f>
        <v>Expressed</v>
      </c>
      <c r="H25" s="29">
        <v>675</v>
      </c>
      <c r="I25" s="29">
        <v>16.04987807150161</v>
      </c>
      <c r="J25" s="29">
        <v>967</v>
      </c>
      <c r="K25" s="29">
        <v>14.30401241836076</v>
      </c>
      <c r="L25" s="29">
        <v>843</v>
      </c>
      <c r="M25" s="29">
        <v>16.650327661946189</v>
      </c>
      <c r="N25" s="29">
        <v>1869</v>
      </c>
      <c r="O25" s="29">
        <v>20.74352505182868</v>
      </c>
      <c r="P25" s="9">
        <v>799</v>
      </c>
      <c r="Q25" s="9">
        <v>11.13612891563273</v>
      </c>
      <c r="R25" s="9">
        <v>480</v>
      </c>
      <c r="S25" s="9">
        <v>10.11419914866131</v>
      </c>
      <c r="T25" s="9">
        <v>954</v>
      </c>
      <c r="U25" s="9">
        <v>11.87370336106081</v>
      </c>
      <c r="V25" s="9">
        <v>1168</v>
      </c>
      <c r="W25" s="9">
        <v>10.199038246376141</v>
      </c>
      <c r="X25" s="29">
        <v>924.46874076388792</v>
      </c>
      <c r="Y25" s="29">
        <v>-0.62360321024608667</v>
      </c>
      <c r="Z25" s="29">
        <v>0.1601581057102614</v>
      </c>
      <c r="AA25" s="29">
        <v>-3.8936724899471149</v>
      </c>
      <c r="AB25" s="29">
        <v>9.8737935886035837E-5</v>
      </c>
      <c r="AC25" s="29">
        <v>2.4342698808826529E-2</v>
      </c>
      <c r="AD25" s="29" t="s">
        <v>502</v>
      </c>
      <c r="AE25" s="29" t="s">
        <v>503</v>
      </c>
      <c r="AF25" s="29" t="s">
        <v>504</v>
      </c>
      <c r="AG25" s="29" t="s">
        <v>505</v>
      </c>
      <c r="AH25" s="29" t="s">
        <v>43</v>
      </c>
      <c r="AI25" s="29" t="s">
        <v>43</v>
      </c>
      <c r="AJ25" s="29" t="s">
        <v>43</v>
      </c>
      <c r="AK25" s="29" t="s">
        <v>43</v>
      </c>
      <c r="AL25" s="29" t="s">
        <v>43</v>
      </c>
      <c r="AM25" s="29" t="s">
        <v>207</v>
      </c>
      <c r="AN25" s="29" t="s">
        <v>43</v>
      </c>
    </row>
    <row r="26" spans="1:40" s="29" customFormat="1" x14ac:dyDescent="0.3">
      <c r="A26" s="29" t="s">
        <v>511</v>
      </c>
      <c r="B26" s="29">
        <v>2363</v>
      </c>
      <c r="C26" s="29" t="str">
        <f>IF(Y26&lt;0, "Down", "Up")</f>
        <v>Down</v>
      </c>
      <c r="D26" s="30" t="str">
        <f>IF(AC26&lt;0.05, "Sig", "N")</f>
        <v>Sig</v>
      </c>
      <c r="E26" s="31" t="str">
        <f>IF(AND(I26&gt;2,K26&gt;2,M26&gt;2,O26&gt;2),"Y","N")</f>
        <v>Y</v>
      </c>
      <c r="F26" s="31" t="str">
        <f>IF(AND(Q26&gt;2,S26&gt;2,U26&gt;2,W26&gt;2),"Y","N")</f>
        <v>Y</v>
      </c>
      <c r="G26" s="31" t="str">
        <f>IF(OR(E26="Y", F26="Y"), "Expressed", "N")</f>
        <v>Expressed</v>
      </c>
      <c r="H26" s="29">
        <v>1038</v>
      </c>
      <c r="I26" s="29">
        <v>12.586026546952869</v>
      </c>
      <c r="J26" s="29">
        <v>1739</v>
      </c>
      <c r="K26" s="29">
        <v>13.11759782628382</v>
      </c>
      <c r="L26" s="29">
        <v>2003</v>
      </c>
      <c r="M26" s="29">
        <v>20.174346902944851</v>
      </c>
      <c r="N26" s="29">
        <v>2117</v>
      </c>
      <c r="O26" s="29">
        <v>11.9816724290678</v>
      </c>
      <c r="P26" s="9">
        <v>1207</v>
      </c>
      <c r="Q26" s="9">
        <v>8.5786325476716243</v>
      </c>
      <c r="R26" s="9">
        <v>466</v>
      </c>
      <c r="S26" s="9">
        <v>5.0072526519500142</v>
      </c>
      <c r="T26" s="9">
        <v>1181</v>
      </c>
      <c r="U26" s="9">
        <v>7.495680091506129</v>
      </c>
      <c r="V26" s="9">
        <v>1810</v>
      </c>
      <c r="W26" s="9">
        <v>8.0596888848843573</v>
      </c>
      <c r="X26" s="29">
        <v>1410.6423671322791</v>
      </c>
      <c r="Y26" s="29">
        <v>-0.957357635311469</v>
      </c>
      <c r="Z26" s="29">
        <v>0.2052331543389852</v>
      </c>
      <c r="AA26" s="29">
        <v>-4.6647318674944396</v>
      </c>
      <c r="AB26" s="29">
        <v>3.0901971322434968E-6</v>
      </c>
      <c r="AC26" s="29">
        <v>1.478221165498568E-3</v>
      </c>
      <c r="AD26" s="29" t="s">
        <v>512</v>
      </c>
      <c r="AE26" s="29" t="s">
        <v>513</v>
      </c>
      <c r="AF26" s="29" t="s">
        <v>514</v>
      </c>
      <c r="AG26" s="29" t="s">
        <v>515</v>
      </c>
      <c r="AH26" s="29" t="s">
        <v>43</v>
      </c>
      <c r="AI26" s="29" t="s">
        <v>43</v>
      </c>
      <c r="AJ26" s="29" t="s">
        <v>43</v>
      </c>
      <c r="AK26" s="29" t="s">
        <v>43</v>
      </c>
      <c r="AL26" s="29" t="s">
        <v>43</v>
      </c>
      <c r="AM26" s="29" t="s">
        <v>516</v>
      </c>
      <c r="AN26" s="29" t="s">
        <v>43</v>
      </c>
    </row>
    <row r="27" spans="1:40" s="29" customFormat="1" x14ac:dyDescent="0.3">
      <c r="A27" s="29" t="s">
        <v>536</v>
      </c>
      <c r="B27" s="29">
        <v>2643</v>
      </c>
      <c r="C27" s="29" t="str">
        <f>IF(Y27&lt;0, "Down", "Up")</f>
        <v>Down</v>
      </c>
      <c r="D27" s="30" t="str">
        <f>IF(AC27&lt;0.05, "Sig", "N")</f>
        <v>Sig</v>
      </c>
      <c r="E27" s="31" t="str">
        <f>IF(AND(I27&gt;2,K27&gt;2,M27&gt;2,O27&gt;2),"Y","N")</f>
        <v>Y</v>
      </c>
      <c r="F27" s="31" t="str">
        <f>IF(AND(Q27&gt;2,S27&gt;2,U27&gt;2,W27&gt;2),"Y","N")</f>
        <v>Y</v>
      </c>
      <c r="G27" s="31" t="str">
        <f>IF(OR(E27="Y", F27="Y"), "Expressed", "N")</f>
        <v>Expressed</v>
      </c>
      <c r="H27" s="29">
        <v>398</v>
      </c>
      <c r="I27" s="29">
        <v>4.3146037887986184</v>
      </c>
      <c r="J27" s="29">
        <v>378</v>
      </c>
      <c r="K27" s="29">
        <v>2.549253874427873</v>
      </c>
      <c r="L27" s="29">
        <v>453</v>
      </c>
      <c r="M27" s="29">
        <v>4.0792779284424441</v>
      </c>
      <c r="N27" s="29">
        <v>843</v>
      </c>
      <c r="O27" s="29">
        <v>4.2657040100319206</v>
      </c>
      <c r="P27" s="9">
        <v>394</v>
      </c>
      <c r="Q27" s="9">
        <v>2.5036497690193289</v>
      </c>
      <c r="R27" s="9">
        <v>213</v>
      </c>
      <c r="S27" s="9">
        <v>2.0462549852528329</v>
      </c>
      <c r="T27" s="9">
        <v>388</v>
      </c>
      <c r="U27" s="9">
        <v>2.201706524901573</v>
      </c>
      <c r="V27" s="9">
        <v>505</v>
      </c>
      <c r="W27" s="9">
        <v>2.0104701968225829</v>
      </c>
      <c r="X27" s="29">
        <v>437.18836337121888</v>
      </c>
      <c r="Y27" s="29">
        <v>-0.77304536882637109</v>
      </c>
      <c r="Z27" s="29">
        <v>0.20196906257998451</v>
      </c>
      <c r="AA27" s="29">
        <v>-3.8275434809241</v>
      </c>
      <c r="AB27" s="29">
        <v>1.2942852559186789E-4</v>
      </c>
      <c r="AC27" s="29">
        <v>2.94197464199955E-2</v>
      </c>
      <c r="AD27" s="29" t="s">
        <v>537</v>
      </c>
      <c r="AE27" s="29" t="s">
        <v>538</v>
      </c>
      <c r="AF27" s="29" t="s">
        <v>539</v>
      </c>
      <c r="AG27" s="29" t="s">
        <v>540</v>
      </c>
      <c r="AH27" s="29" t="s">
        <v>43</v>
      </c>
      <c r="AI27" s="29" t="s">
        <v>43</v>
      </c>
      <c r="AJ27" s="29" t="s">
        <v>43</v>
      </c>
      <c r="AK27" s="29" t="s">
        <v>43</v>
      </c>
      <c r="AL27" s="29" t="s">
        <v>43</v>
      </c>
      <c r="AM27" s="29" t="s">
        <v>541</v>
      </c>
      <c r="AN27" s="29" t="s">
        <v>542</v>
      </c>
    </row>
    <row r="28" spans="1:40" s="29" customFormat="1" x14ac:dyDescent="0.3">
      <c r="A28" s="29" t="s">
        <v>543</v>
      </c>
      <c r="B28" s="29">
        <v>297</v>
      </c>
      <c r="C28" s="29" t="str">
        <f>IF(Y28&lt;0, "Down", "Up")</f>
        <v>Down</v>
      </c>
      <c r="D28" s="30" t="str">
        <f>IF(AC28&lt;0.05, "Sig", "N")</f>
        <v>Sig</v>
      </c>
      <c r="E28" s="31" t="str">
        <f>IF(AND(I28&gt;2,K28&gt;2,M28&gt;2,O28&gt;2),"Y","N")</f>
        <v>Y</v>
      </c>
      <c r="F28" s="31" t="str">
        <f>IF(AND(Q28&gt;2,S28&gt;2,U28&gt;2,W28&gt;2),"Y","N")</f>
        <v>Y</v>
      </c>
      <c r="G28" s="31" t="str">
        <f>IF(OR(E28="Y", F28="Y"), "Expressed", "N")</f>
        <v>Expressed</v>
      </c>
      <c r="H28" s="29">
        <v>109</v>
      </c>
      <c r="I28" s="29">
        <v>10.51538214391509</v>
      </c>
      <c r="J28" s="29">
        <v>200</v>
      </c>
      <c r="K28" s="29">
        <v>12.003060570632011</v>
      </c>
      <c r="L28" s="29">
        <v>121</v>
      </c>
      <c r="M28" s="29">
        <v>9.6964146197046173</v>
      </c>
      <c r="N28" s="29">
        <v>147</v>
      </c>
      <c r="O28" s="29">
        <v>6.6194391030974504</v>
      </c>
      <c r="P28" s="9">
        <v>103</v>
      </c>
      <c r="Q28" s="9">
        <v>5.8244549810316606</v>
      </c>
      <c r="R28" s="9">
        <v>35</v>
      </c>
      <c r="S28" s="9">
        <v>2.9921881951093621</v>
      </c>
      <c r="T28" s="9">
        <v>52</v>
      </c>
      <c r="U28" s="9">
        <v>2.6258611714774251</v>
      </c>
      <c r="V28" s="9">
        <v>62</v>
      </c>
      <c r="W28" s="9">
        <v>2.1965377155884211</v>
      </c>
      <c r="X28" s="29">
        <v>107.51589588737539</v>
      </c>
      <c r="Y28" s="29">
        <v>-1.502077195823847</v>
      </c>
      <c r="Z28" s="29">
        <v>0.34281669072275073</v>
      </c>
      <c r="AA28" s="29">
        <v>-4.3815754497164674</v>
      </c>
      <c r="AB28" s="29">
        <v>1.1782422774234321E-5</v>
      </c>
      <c r="AC28" s="29">
        <v>4.2912119308432927E-3</v>
      </c>
      <c r="AD28" s="29" t="s">
        <v>544</v>
      </c>
      <c r="AE28" s="29" t="s">
        <v>545</v>
      </c>
      <c r="AF28" s="29" t="s">
        <v>43</v>
      </c>
      <c r="AG28" s="29" t="s">
        <v>43</v>
      </c>
      <c r="AH28" s="29" t="s">
        <v>43</v>
      </c>
      <c r="AI28" s="29" t="s">
        <v>43</v>
      </c>
      <c r="AJ28" s="29" t="s">
        <v>43</v>
      </c>
      <c r="AK28" s="29" t="s">
        <v>43</v>
      </c>
      <c r="AL28" s="29" t="s">
        <v>43</v>
      </c>
      <c r="AM28" s="29" t="s">
        <v>43</v>
      </c>
      <c r="AN28" s="29" t="s">
        <v>43</v>
      </c>
    </row>
    <row r="29" spans="1:40" s="29" customFormat="1" x14ac:dyDescent="0.3">
      <c r="A29" s="29" t="s">
        <v>546</v>
      </c>
      <c r="B29" s="29">
        <v>781</v>
      </c>
      <c r="C29" s="29" t="str">
        <f>IF(Y29&lt;0, "Down", "Up")</f>
        <v>Down</v>
      </c>
      <c r="D29" s="30" t="str">
        <f>IF(AC29&lt;0.05, "Sig", "N")</f>
        <v>Sig</v>
      </c>
      <c r="E29" s="31" t="str">
        <f>IF(AND(I29&gt;2,K29&gt;2,M29&gt;2,O29&gt;2),"Y","N")</f>
        <v>Y</v>
      </c>
      <c r="F29" s="31" t="str">
        <f>IF(AND(Q29&gt;2,S29&gt;2,U29&gt;2,W29&gt;2),"Y","N")</f>
        <v>N</v>
      </c>
      <c r="G29" s="31" t="str">
        <f>IF(OR(E29="Y", F29="Y"), "Expressed", "N")</f>
        <v>Expressed</v>
      </c>
      <c r="H29" s="29">
        <v>180</v>
      </c>
      <c r="I29" s="29">
        <v>6.6035349811897346</v>
      </c>
      <c r="J29" s="29">
        <v>218</v>
      </c>
      <c r="K29" s="29">
        <v>4.9753531351225373</v>
      </c>
      <c r="L29" s="29">
        <v>118</v>
      </c>
      <c r="M29" s="29">
        <v>3.595946569477233</v>
      </c>
      <c r="N29" s="29">
        <v>327</v>
      </c>
      <c r="O29" s="29">
        <v>5.5996002530657654</v>
      </c>
      <c r="P29" s="9">
        <v>60</v>
      </c>
      <c r="Q29" s="9">
        <v>1.290252573399602</v>
      </c>
      <c r="R29" s="9">
        <v>84</v>
      </c>
      <c r="S29" s="9">
        <v>2.7308985217336148</v>
      </c>
      <c r="T29" s="9">
        <v>162</v>
      </c>
      <c r="U29" s="9">
        <v>3.1109200335975782</v>
      </c>
      <c r="V29" s="9">
        <v>113</v>
      </c>
      <c r="W29" s="9">
        <v>1.522407217233138</v>
      </c>
      <c r="X29" s="29">
        <v>159.7994122045244</v>
      </c>
      <c r="Y29" s="29">
        <v>-1.252252208912908</v>
      </c>
      <c r="Z29" s="29">
        <v>0.3330534042988289</v>
      </c>
      <c r="AA29" s="29">
        <v>-3.7599141541557022</v>
      </c>
      <c r="AB29" s="29">
        <v>1.6997167311268751E-4</v>
      </c>
      <c r="AC29" s="29">
        <v>3.5373974826374249E-2</v>
      </c>
      <c r="AD29" s="29" t="s">
        <v>547</v>
      </c>
      <c r="AE29" s="29" t="s">
        <v>548</v>
      </c>
      <c r="AF29" s="29" t="s">
        <v>549</v>
      </c>
      <c r="AG29" s="29" t="s">
        <v>43</v>
      </c>
      <c r="AH29" s="29" t="s">
        <v>43</v>
      </c>
      <c r="AI29" s="29" t="s">
        <v>43</v>
      </c>
      <c r="AJ29" s="29" t="s">
        <v>43</v>
      </c>
      <c r="AK29" s="29" t="s">
        <v>43</v>
      </c>
      <c r="AL29" s="29" t="s">
        <v>43</v>
      </c>
      <c r="AM29" s="29" t="s">
        <v>43</v>
      </c>
      <c r="AN29" s="29" t="s">
        <v>43</v>
      </c>
    </row>
    <row r="30" spans="1:40" s="29" customFormat="1" x14ac:dyDescent="0.3">
      <c r="A30" s="29" t="s">
        <v>550</v>
      </c>
      <c r="B30" s="29">
        <v>1327</v>
      </c>
      <c r="C30" s="29" t="str">
        <f>IF(Y30&lt;0, "Down", "Up")</f>
        <v>Down</v>
      </c>
      <c r="D30" s="30" t="str">
        <f>IF(AC30&lt;0.05, "Sig", "N")</f>
        <v>Sig</v>
      </c>
      <c r="E30" s="31" t="str">
        <f>IF(AND(I30&gt;2,K30&gt;2,M30&gt;2,O30&gt;2),"Y","N")</f>
        <v>Y</v>
      </c>
      <c r="F30" s="31" t="str">
        <f>IF(AND(Q30&gt;2,S30&gt;2,U30&gt;2,W30&gt;2),"Y","N")</f>
        <v>Y</v>
      </c>
      <c r="G30" s="31" t="str">
        <f>IF(OR(E30="Y", F30="Y"), "Expressed", "N")</f>
        <v>Expressed</v>
      </c>
      <c r="H30" s="29">
        <v>511</v>
      </c>
      <c r="I30" s="29">
        <v>11.0332888687013</v>
      </c>
      <c r="J30" s="29">
        <v>1005</v>
      </c>
      <c r="K30" s="29">
        <v>13.49937277477429</v>
      </c>
      <c r="L30" s="29">
        <v>687</v>
      </c>
      <c r="M30" s="29">
        <v>12.321627374179689</v>
      </c>
      <c r="N30" s="29">
        <v>1295</v>
      </c>
      <c r="O30" s="29">
        <v>13.05146163992139</v>
      </c>
      <c r="P30" s="9">
        <v>603</v>
      </c>
      <c r="Q30" s="9">
        <v>7.6316932639353032</v>
      </c>
      <c r="R30" s="9">
        <v>382</v>
      </c>
      <c r="S30" s="9">
        <v>7.3091983956924871</v>
      </c>
      <c r="T30" s="9">
        <v>766</v>
      </c>
      <c r="U30" s="9">
        <v>8.6573049132435393</v>
      </c>
      <c r="V30" s="9">
        <v>1188</v>
      </c>
      <c r="W30" s="9">
        <v>9.4199574764488929</v>
      </c>
      <c r="X30" s="29">
        <v>760.46480670538676</v>
      </c>
      <c r="Y30" s="29">
        <v>-0.57243999147411584</v>
      </c>
      <c r="Z30" s="29">
        <v>0.15330282608991899</v>
      </c>
      <c r="AA30" s="29">
        <v>-3.7340472193144971</v>
      </c>
      <c r="AB30" s="29">
        <v>1.884271430400592E-4</v>
      </c>
      <c r="AC30" s="29">
        <v>3.7981697700842122E-2</v>
      </c>
      <c r="AD30" s="29" t="s">
        <v>551</v>
      </c>
      <c r="AE30" s="29" t="s">
        <v>552</v>
      </c>
      <c r="AF30" s="29" t="s">
        <v>553</v>
      </c>
      <c r="AG30" s="29" t="s">
        <v>554</v>
      </c>
      <c r="AH30" s="29" t="s">
        <v>43</v>
      </c>
      <c r="AI30" s="29" t="s">
        <v>43</v>
      </c>
      <c r="AJ30" s="29" t="s">
        <v>43</v>
      </c>
      <c r="AK30" s="29" t="s">
        <v>43</v>
      </c>
      <c r="AL30" s="29" t="s">
        <v>43</v>
      </c>
      <c r="AM30" s="29" t="s">
        <v>555</v>
      </c>
      <c r="AN30" s="29" t="s">
        <v>43</v>
      </c>
    </row>
    <row r="31" spans="1:40" s="29" customFormat="1" x14ac:dyDescent="0.3">
      <c r="A31" s="29" t="s">
        <v>556</v>
      </c>
      <c r="B31" s="29">
        <v>3079</v>
      </c>
      <c r="C31" s="29" t="str">
        <f>IF(Y31&lt;0, "Down", "Up")</f>
        <v>Down</v>
      </c>
      <c r="D31" s="30" t="str">
        <f>IF(AC31&lt;0.05, "Sig", "N")</f>
        <v>Sig</v>
      </c>
      <c r="E31" s="31" t="str">
        <f>IF(AND(I31&gt;2,K31&gt;2,M31&gt;2,O31&gt;2),"Y","N")</f>
        <v>Y</v>
      </c>
      <c r="F31" s="31" t="str">
        <f>IF(AND(Q31&gt;2,S31&gt;2,U31&gt;2,W31&gt;2),"Y","N")</f>
        <v>Y</v>
      </c>
      <c r="G31" s="31" t="str">
        <f>IF(OR(E31="Y", F31="Y"), "Expressed", "N")</f>
        <v>Expressed</v>
      </c>
      <c r="H31" s="29">
        <v>1414</v>
      </c>
      <c r="I31" s="29">
        <v>13.158146945106971</v>
      </c>
      <c r="J31" s="29">
        <v>2514</v>
      </c>
      <c r="K31" s="29">
        <v>14.55372068779954</v>
      </c>
      <c r="L31" s="29">
        <v>1242</v>
      </c>
      <c r="M31" s="29">
        <v>9.600506889993051</v>
      </c>
      <c r="N31" s="29">
        <v>3774</v>
      </c>
      <c r="O31" s="29">
        <v>16.392776307798641</v>
      </c>
      <c r="P31" s="9">
        <v>639</v>
      </c>
      <c r="Q31" s="9">
        <v>3.485504812321274</v>
      </c>
      <c r="R31" s="9">
        <v>545</v>
      </c>
      <c r="S31" s="9">
        <v>4.4943213678038036</v>
      </c>
      <c r="T31" s="9">
        <v>1449</v>
      </c>
      <c r="U31" s="9">
        <v>7.0580310336074668</v>
      </c>
      <c r="V31" s="9">
        <v>2455</v>
      </c>
      <c r="W31" s="9">
        <v>8.3896768287544319</v>
      </c>
      <c r="X31" s="29">
        <v>1646.5727767444271</v>
      </c>
      <c r="Y31" s="29">
        <v>-1.178405553236229</v>
      </c>
      <c r="Z31" s="29">
        <v>0.27623541025089349</v>
      </c>
      <c r="AA31" s="29">
        <v>-4.2659467595625431</v>
      </c>
      <c r="AB31" s="29">
        <v>1.9905624927075881E-5</v>
      </c>
      <c r="AC31" s="29">
        <v>6.9255380966497327E-3</v>
      </c>
      <c r="AD31" s="29" t="s">
        <v>557</v>
      </c>
      <c r="AE31" s="29" t="s">
        <v>558</v>
      </c>
      <c r="AF31" s="29" t="s">
        <v>559</v>
      </c>
      <c r="AG31" s="29" t="s">
        <v>560</v>
      </c>
      <c r="AH31" s="29" t="s">
        <v>43</v>
      </c>
      <c r="AI31" s="29" t="s">
        <v>43</v>
      </c>
      <c r="AJ31" s="29" t="s">
        <v>43</v>
      </c>
      <c r="AK31" s="29" t="s">
        <v>43</v>
      </c>
      <c r="AL31" s="29" t="s">
        <v>43</v>
      </c>
      <c r="AM31" s="29" t="s">
        <v>561</v>
      </c>
      <c r="AN31" s="29" t="s">
        <v>43</v>
      </c>
    </row>
    <row r="32" spans="1:40" x14ac:dyDescent="0.3">
      <c r="A32" t="s">
        <v>46</v>
      </c>
      <c r="B32">
        <v>3229</v>
      </c>
      <c r="C32" t="str">
        <f>IF(Y32&lt;0, "Down", "Up")</f>
        <v>Up</v>
      </c>
      <c r="D32" s="7" t="str">
        <f>IF(AC32&lt;0.05, "Sig", "N")</f>
        <v>Sig</v>
      </c>
      <c r="E32" s="1" t="str">
        <f>IF(AND(I32&gt;2,K32&gt;2,M32&gt;2,O32&gt;2),"Y","N")</f>
        <v>Y</v>
      </c>
      <c r="F32" s="1" t="str">
        <f>IF(AND(Q32&gt;2,S32&gt;2,U32&gt;2,W32&gt;2),"Y","N")</f>
        <v>Y</v>
      </c>
      <c r="G32" s="1" t="str">
        <f>IF(OR(E32="Y", F32="Y"), "Expressed", "N")</f>
        <v>Expressed</v>
      </c>
      <c r="H32" s="8">
        <v>438</v>
      </c>
      <c r="I32" s="8">
        <v>3.8865215224793062</v>
      </c>
      <c r="J32" s="8">
        <v>1586</v>
      </c>
      <c r="K32" s="8">
        <v>8.7549483699468009</v>
      </c>
      <c r="L32" s="8">
        <v>604</v>
      </c>
      <c r="M32" s="8">
        <v>4.451958940796275</v>
      </c>
      <c r="N32" s="8">
        <v>1616</v>
      </c>
      <c r="O32" s="8">
        <v>6.6931971449424701</v>
      </c>
      <c r="P32" s="9">
        <v>16167</v>
      </c>
      <c r="Q32" s="9">
        <v>84.088365487726946</v>
      </c>
      <c r="R32" s="9">
        <v>10863</v>
      </c>
      <c r="S32" s="9">
        <v>85.419897252147777</v>
      </c>
      <c r="T32" s="9">
        <v>14977</v>
      </c>
      <c r="U32" s="9">
        <v>69.56353634889085</v>
      </c>
      <c r="V32" s="9">
        <v>970</v>
      </c>
      <c r="W32" s="9">
        <v>3.1608734876665521</v>
      </c>
      <c r="X32">
        <v>5979.9987422323093</v>
      </c>
      <c r="Y32">
        <v>3.3640018145362882</v>
      </c>
      <c r="Z32">
        <v>0.84607042159897938</v>
      </c>
      <c r="AA32">
        <v>3.976030515496213</v>
      </c>
      <c r="AB32">
        <v>7.0075137385961557E-5</v>
      </c>
      <c r="AC32">
        <v>1.8561224406777418E-2</v>
      </c>
      <c r="AD32" t="s">
        <v>47</v>
      </c>
      <c r="AE32" t="s">
        <v>48</v>
      </c>
      <c r="AF32" t="s">
        <v>49</v>
      </c>
      <c r="AG32" t="s">
        <v>50</v>
      </c>
      <c r="AH32" t="s">
        <v>43</v>
      </c>
      <c r="AI32" t="s">
        <v>43</v>
      </c>
      <c r="AJ32" t="s">
        <v>43</v>
      </c>
      <c r="AK32" t="s">
        <v>43</v>
      </c>
      <c r="AL32" t="s">
        <v>43</v>
      </c>
      <c r="AM32" t="s">
        <v>51</v>
      </c>
      <c r="AN32" t="s">
        <v>43</v>
      </c>
    </row>
    <row r="33" spans="1:40" x14ac:dyDescent="0.3">
      <c r="A33" t="s">
        <v>52</v>
      </c>
      <c r="B33">
        <v>3365</v>
      </c>
      <c r="C33" t="str">
        <f>IF(Y33&lt;0, "Down", "Up")</f>
        <v>Up</v>
      </c>
      <c r="D33" s="7" t="str">
        <f>IF(AC33&lt;0.05, "Sig", "N")</f>
        <v>Sig</v>
      </c>
      <c r="E33" s="1" t="str">
        <f>IF(AND(I33&gt;2,K33&gt;2,M33&gt;2,O33&gt;2),"Y","N")</f>
        <v>Y</v>
      </c>
      <c r="F33" s="1" t="str">
        <f>IF(AND(Q33&gt;2,S33&gt;2,U33&gt;2,W33&gt;2),"Y","N")</f>
        <v>Y</v>
      </c>
      <c r="G33" s="1" t="str">
        <f>IF(OR(E33="Y", F33="Y"), "Expressed", "N")</f>
        <v>Expressed</v>
      </c>
      <c r="H33" s="8">
        <v>1082</v>
      </c>
      <c r="I33" s="8">
        <v>9.2129179586834002</v>
      </c>
      <c r="J33" s="8">
        <v>4189</v>
      </c>
      <c r="K33" s="8">
        <v>22.189307216823359</v>
      </c>
      <c r="L33" s="8">
        <v>1385</v>
      </c>
      <c r="M33" s="8">
        <v>9.7959590626463378</v>
      </c>
      <c r="N33" s="8">
        <v>3269</v>
      </c>
      <c r="O33" s="8">
        <v>12.99242318206344</v>
      </c>
      <c r="P33" s="9">
        <v>26344</v>
      </c>
      <c r="Q33" s="9">
        <v>131.48347287187789</v>
      </c>
      <c r="R33" s="9">
        <v>21805</v>
      </c>
      <c r="S33" s="9">
        <v>164.53122553619031</v>
      </c>
      <c r="T33" s="9">
        <v>31955</v>
      </c>
      <c r="U33" s="9">
        <v>142.42250508152159</v>
      </c>
      <c r="V33" s="9">
        <v>3099</v>
      </c>
      <c r="W33" s="9">
        <v>9.6903604612986136</v>
      </c>
      <c r="X33">
        <v>11789.44321659637</v>
      </c>
      <c r="Y33">
        <v>3.064543867208076</v>
      </c>
      <c r="Z33">
        <v>0.77547771796244902</v>
      </c>
      <c r="AA33">
        <v>3.9518142123542881</v>
      </c>
      <c r="AB33">
        <v>7.756094735029883E-5</v>
      </c>
      <c r="AC33">
        <v>2.0375642316205551E-2</v>
      </c>
      <c r="AD33" t="s">
        <v>53</v>
      </c>
      <c r="AE33" t="s">
        <v>54</v>
      </c>
      <c r="AF33" t="s">
        <v>55</v>
      </c>
      <c r="AG33" t="s">
        <v>56</v>
      </c>
      <c r="AH33" t="s">
        <v>43</v>
      </c>
      <c r="AI33" t="s">
        <v>43</v>
      </c>
      <c r="AJ33" t="s">
        <v>43</v>
      </c>
      <c r="AK33" t="s">
        <v>43</v>
      </c>
      <c r="AL33" t="s">
        <v>43</v>
      </c>
      <c r="AM33" t="s">
        <v>57</v>
      </c>
      <c r="AN33" t="s">
        <v>43</v>
      </c>
    </row>
    <row r="34" spans="1:40" x14ac:dyDescent="0.3">
      <c r="A34" t="s">
        <v>64</v>
      </c>
      <c r="B34">
        <v>2605</v>
      </c>
      <c r="C34" t="str">
        <f>IF(Y34&lt;0, "Down", "Up")</f>
        <v>Up</v>
      </c>
      <c r="D34" s="7" t="str">
        <f>IF(AC34&lt;0.05, "Sig", "N")</f>
        <v>Sig</v>
      </c>
      <c r="E34" s="1" t="str">
        <f>IF(AND(I34&gt;2,K34&gt;2,M34&gt;2,O34&gt;2),"Y","N")</f>
        <v>Y</v>
      </c>
      <c r="F34" s="1" t="str">
        <f>IF(AND(Q34&gt;2,S34&gt;2,U34&gt;2,W34&gt;2),"Y","N")</f>
        <v>Y</v>
      </c>
      <c r="G34" s="1" t="str">
        <f>IF(OR(E34="Y", F34="Y"), "Expressed", "N")</f>
        <v>Expressed</v>
      </c>
      <c r="H34" s="8">
        <v>655</v>
      </c>
      <c r="I34" s="8">
        <v>7.2042468272606408</v>
      </c>
      <c r="J34" s="8">
        <v>1007</v>
      </c>
      <c r="K34" s="8">
        <v>6.8903327301421333</v>
      </c>
      <c r="L34" s="8">
        <v>957</v>
      </c>
      <c r="M34" s="8">
        <v>8.7435232021827822</v>
      </c>
      <c r="N34" s="8">
        <v>912</v>
      </c>
      <c r="O34" s="8">
        <v>4.6821725703354042</v>
      </c>
      <c r="P34" s="9">
        <v>3369</v>
      </c>
      <c r="Q34" s="9">
        <v>21.720399093734649</v>
      </c>
      <c r="R34" s="9">
        <v>1595</v>
      </c>
      <c r="S34" s="9">
        <v>15.54641547404696</v>
      </c>
      <c r="T34" s="9">
        <v>2003</v>
      </c>
      <c r="U34" s="9">
        <v>11.531826208189701</v>
      </c>
      <c r="V34" s="9">
        <v>2562</v>
      </c>
      <c r="W34" s="9">
        <v>10.348438482566079</v>
      </c>
      <c r="X34">
        <v>1561.0431446235259</v>
      </c>
      <c r="Y34">
        <v>1.1257926910881171</v>
      </c>
      <c r="Z34">
        <v>0.24603048894576809</v>
      </c>
      <c r="AA34">
        <v>4.5758259308108462</v>
      </c>
      <c r="AB34">
        <v>4.7434483684698224E-6</v>
      </c>
      <c r="AC34">
        <v>2.0859658470047818E-3</v>
      </c>
      <c r="AD34" t="s">
        <v>65</v>
      </c>
      <c r="AE34" t="s">
        <v>66</v>
      </c>
      <c r="AF34" t="s">
        <v>67</v>
      </c>
      <c r="AG34" t="s">
        <v>68</v>
      </c>
      <c r="AH34" t="s">
        <v>43</v>
      </c>
      <c r="AI34" t="s">
        <v>43</v>
      </c>
      <c r="AJ34" t="s">
        <v>43</v>
      </c>
      <c r="AK34" t="s">
        <v>43</v>
      </c>
      <c r="AL34" t="s">
        <v>43</v>
      </c>
      <c r="AM34" t="s">
        <v>69</v>
      </c>
      <c r="AN34" t="s">
        <v>43</v>
      </c>
    </row>
    <row r="35" spans="1:40" x14ac:dyDescent="0.3">
      <c r="A35" t="s">
        <v>70</v>
      </c>
      <c r="B35">
        <v>1121</v>
      </c>
      <c r="C35" t="str">
        <f>IF(Y35&lt;0, "Down", "Up")</f>
        <v>Up</v>
      </c>
      <c r="D35" s="7" t="str">
        <f>IF(AC35&lt;0.05, "Sig", "N")</f>
        <v>Sig</v>
      </c>
      <c r="E35" s="1" t="str">
        <f>IF(AND(I35&gt;2,K35&gt;2,M35&gt;2,O35&gt;2),"Y","N")</f>
        <v>Y</v>
      </c>
      <c r="F35" s="1" t="str">
        <f>IF(AND(Q35&gt;2,S35&gt;2,U35&gt;2,W35&gt;2),"Y","N")</f>
        <v>Y</v>
      </c>
      <c r="G35" s="1" t="str">
        <f>IF(OR(E35="Y", F35="Y"), "Expressed", "N")</f>
        <v>Expressed</v>
      </c>
      <c r="H35" s="8">
        <v>460</v>
      </c>
      <c r="I35" s="8">
        <v>11.757290005660741</v>
      </c>
      <c r="J35" s="8">
        <v>1019</v>
      </c>
      <c r="K35" s="8">
        <v>16.20268626350483</v>
      </c>
      <c r="L35" s="8">
        <v>535</v>
      </c>
      <c r="M35" s="8">
        <v>11.358746993888021</v>
      </c>
      <c r="N35" s="8">
        <v>1046</v>
      </c>
      <c r="O35" s="8">
        <v>12.479189442410259</v>
      </c>
      <c r="P35" s="9">
        <v>7035</v>
      </c>
      <c r="Q35" s="9">
        <v>105.3981545178338</v>
      </c>
      <c r="R35" s="9">
        <v>2093</v>
      </c>
      <c r="S35" s="9">
        <v>47.406831095503421</v>
      </c>
      <c r="T35" s="9">
        <v>3659</v>
      </c>
      <c r="U35" s="9">
        <v>48.953265111018013</v>
      </c>
      <c r="V35" s="9">
        <v>1526</v>
      </c>
      <c r="W35" s="9">
        <v>14.32360531401133</v>
      </c>
      <c r="X35">
        <v>2076.626810611202</v>
      </c>
      <c r="Y35">
        <v>2.067276424148671</v>
      </c>
      <c r="Z35">
        <v>0.54672714647177656</v>
      </c>
      <c r="AA35">
        <v>3.7811848880918681</v>
      </c>
      <c r="AB35">
        <v>1.5608369804972141E-4</v>
      </c>
      <c r="AC35">
        <v>3.3800557584415997E-2</v>
      </c>
      <c r="AD35" t="s">
        <v>71</v>
      </c>
      <c r="AE35" t="s">
        <v>72</v>
      </c>
      <c r="AF35" t="s">
        <v>73</v>
      </c>
      <c r="AG35" t="s">
        <v>74</v>
      </c>
      <c r="AH35" t="s">
        <v>43</v>
      </c>
      <c r="AI35" t="s">
        <v>43</v>
      </c>
      <c r="AJ35" t="s">
        <v>43</v>
      </c>
      <c r="AK35" t="s">
        <v>43</v>
      </c>
      <c r="AL35" t="s">
        <v>43</v>
      </c>
      <c r="AM35" t="s">
        <v>75</v>
      </c>
      <c r="AN35" t="s">
        <v>43</v>
      </c>
    </row>
    <row r="36" spans="1:40" x14ac:dyDescent="0.3">
      <c r="A36" t="s">
        <v>82</v>
      </c>
      <c r="B36">
        <v>1817</v>
      </c>
      <c r="C36" t="str">
        <f>IF(Y36&lt;0, "Down", "Up")</f>
        <v>Up</v>
      </c>
      <c r="D36" s="7" t="str">
        <f>IF(AC36&lt;0.05, "Sig", "N")</f>
        <v>Sig</v>
      </c>
      <c r="E36" s="1" t="str">
        <f>IF(AND(I36&gt;2,K36&gt;2,M36&gt;2,O36&gt;2),"Y","N")</f>
        <v>Y</v>
      </c>
      <c r="F36" s="1" t="str">
        <f>IF(AND(Q36&gt;2,S36&gt;2,U36&gt;2,W36&gt;2),"Y","N")</f>
        <v>Y</v>
      </c>
      <c r="G36" s="1" t="str">
        <f>IF(OR(E36="Y", F36="Y"), "Expressed", "N")</f>
        <v>Expressed</v>
      </c>
      <c r="H36" s="8">
        <v>1276</v>
      </c>
      <c r="I36" s="8">
        <v>20.121055484359189</v>
      </c>
      <c r="J36" s="8">
        <v>2106</v>
      </c>
      <c r="K36" s="8">
        <v>20.659599152008951</v>
      </c>
      <c r="L36" s="8">
        <v>1148</v>
      </c>
      <c r="M36" s="8">
        <v>15.03727760806346</v>
      </c>
      <c r="N36" s="8">
        <v>2514</v>
      </c>
      <c r="O36" s="8">
        <v>18.504214399307131</v>
      </c>
      <c r="P36" s="9">
        <v>7076</v>
      </c>
      <c r="Q36" s="9">
        <v>65.404467533684937</v>
      </c>
      <c r="R36" s="9">
        <v>5788</v>
      </c>
      <c r="S36" s="9">
        <v>80.881818164447168</v>
      </c>
      <c r="T36" s="9">
        <v>8610</v>
      </c>
      <c r="U36" s="9">
        <v>71.067835949652078</v>
      </c>
      <c r="V36" s="9">
        <v>3647</v>
      </c>
      <c r="W36" s="9">
        <v>21.1195305579832</v>
      </c>
      <c r="X36">
        <v>3958.0796649943709</v>
      </c>
      <c r="Y36">
        <v>1.6977099206121009</v>
      </c>
      <c r="Z36">
        <v>0.31499116146950479</v>
      </c>
      <c r="AA36">
        <v>5.3897065323734843</v>
      </c>
      <c r="AB36">
        <v>7.0572832786503039E-8</v>
      </c>
      <c r="AC36">
        <v>6.2829424744650629E-5</v>
      </c>
      <c r="AD36" t="s">
        <v>83</v>
      </c>
      <c r="AE36" t="s">
        <v>84</v>
      </c>
      <c r="AF36" t="s">
        <v>85</v>
      </c>
      <c r="AG36" t="s">
        <v>86</v>
      </c>
      <c r="AH36" t="s">
        <v>43</v>
      </c>
      <c r="AI36" t="s">
        <v>43</v>
      </c>
      <c r="AJ36" t="s">
        <v>43</v>
      </c>
      <c r="AK36" t="s">
        <v>43</v>
      </c>
      <c r="AL36" t="s">
        <v>43</v>
      </c>
      <c r="AM36" t="s">
        <v>87</v>
      </c>
      <c r="AN36" t="s">
        <v>43</v>
      </c>
    </row>
    <row r="37" spans="1:40" x14ac:dyDescent="0.3">
      <c r="A37" t="s">
        <v>93</v>
      </c>
      <c r="B37">
        <v>571</v>
      </c>
      <c r="C37" t="str">
        <f>IF(Y37&lt;0, "Down", "Up")</f>
        <v>Up</v>
      </c>
      <c r="D37" s="7" t="str">
        <f>IF(AC37&lt;0.05, "Sig", "N")</f>
        <v>Sig</v>
      </c>
      <c r="E37" s="1" t="str">
        <f>IF(AND(I37&gt;2,K37&gt;2,M37&gt;2,O37&gt;2),"Y","N")</f>
        <v>Y</v>
      </c>
      <c r="F37" s="1" t="str">
        <f>IF(AND(Q37&gt;2,S37&gt;2,U37&gt;2,W37&gt;2),"Y","N")</f>
        <v>Y</v>
      </c>
      <c r="G37" s="1" t="str">
        <f>IF(OR(E37="Y", F37="Y"), "Expressed", "N")</f>
        <v>Expressed</v>
      </c>
      <c r="H37" s="8">
        <v>74</v>
      </c>
      <c r="I37" s="8">
        <v>3.713219504795481</v>
      </c>
      <c r="J37" s="8">
        <v>65</v>
      </c>
      <c r="K37" s="8">
        <v>2.0290637856046501</v>
      </c>
      <c r="L37" s="8">
        <v>77</v>
      </c>
      <c r="M37" s="8">
        <v>3.2094962576605481</v>
      </c>
      <c r="N37" s="8">
        <v>96</v>
      </c>
      <c r="O37" s="8">
        <v>2.2485131432802521</v>
      </c>
      <c r="P37" s="9">
        <v>254</v>
      </c>
      <c r="Q37" s="9">
        <v>7.4708862812484744</v>
      </c>
      <c r="R37" s="9">
        <v>184</v>
      </c>
      <c r="S37" s="9">
        <v>8.1819915179552876</v>
      </c>
      <c r="T37" s="9">
        <v>251</v>
      </c>
      <c r="U37" s="9">
        <v>6.5926873484483224</v>
      </c>
      <c r="V37" s="9">
        <v>252</v>
      </c>
      <c r="W37" s="9">
        <v>4.6437395849245746</v>
      </c>
      <c r="X37">
        <v>151.01031164413899</v>
      </c>
      <c r="Y37">
        <v>1.2955394138949849</v>
      </c>
      <c r="Z37">
        <v>0.27880150856610869</v>
      </c>
      <c r="AA37">
        <v>4.6468163696746636</v>
      </c>
      <c r="AB37">
        <v>3.3709698522903539E-6</v>
      </c>
      <c r="AC37">
        <v>1.5888174083221449E-3</v>
      </c>
      <c r="AD37" t="s">
        <v>94</v>
      </c>
      <c r="AE37" t="s">
        <v>95</v>
      </c>
      <c r="AF37" t="s">
        <v>43</v>
      </c>
      <c r="AG37" t="s">
        <v>43</v>
      </c>
      <c r="AH37" t="s">
        <v>43</v>
      </c>
      <c r="AI37" t="s">
        <v>43</v>
      </c>
      <c r="AJ37" t="s">
        <v>43</v>
      </c>
      <c r="AK37" t="s">
        <v>43</v>
      </c>
      <c r="AL37" t="s">
        <v>43</v>
      </c>
      <c r="AM37" t="s">
        <v>43</v>
      </c>
      <c r="AN37" t="s">
        <v>43</v>
      </c>
    </row>
    <row r="38" spans="1:40" x14ac:dyDescent="0.3">
      <c r="A38" t="s">
        <v>96</v>
      </c>
      <c r="B38">
        <v>2592</v>
      </c>
      <c r="C38" t="str">
        <f>IF(Y38&lt;0, "Down", "Up")</f>
        <v>Up</v>
      </c>
      <c r="D38" s="7" t="str">
        <f>IF(AC38&lt;0.05, "Sig", "N")</f>
        <v>Sig</v>
      </c>
      <c r="E38" s="1" t="str">
        <f>IF(AND(I38&gt;2,K38&gt;2,M38&gt;2,O38&gt;2),"Y","N")</f>
        <v>Y</v>
      </c>
      <c r="F38" s="1" t="str">
        <f>IF(AND(Q38&gt;2,S38&gt;2,U38&gt;2,W38&gt;2),"Y","N")</f>
        <v>Y</v>
      </c>
      <c r="G38" s="1" t="str">
        <f>IF(OR(E38="Y", F38="Y"), "Expressed", "N")</f>
        <v>Expressed</v>
      </c>
      <c r="H38" s="8">
        <v>1297</v>
      </c>
      <c r="I38" s="8">
        <v>14.337056292740501</v>
      </c>
      <c r="J38" s="8">
        <v>1218</v>
      </c>
      <c r="K38" s="8">
        <v>8.3758857044441513</v>
      </c>
      <c r="L38" s="8">
        <v>986</v>
      </c>
      <c r="M38" s="8">
        <v>9.0536598627166214</v>
      </c>
      <c r="N38" s="8">
        <v>1933</v>
      </c>
      <c r="O38" s="8">
        <v>9.9737197880641357</v>
      </c>
      <c r="P38" s="9">
        <v>2739</v>
      </c>
      <c r="Q38" s="9">
        <v>17.74726983449666</v>
      </c>
      <c r="R38" s="9">
        <v>1795</v>
      </c>
      <c r="S38" s="9">
        <v>17.583558307272131</v>
      </c>
      <c r="T38" s="9">
        <v>3320</v>
      </c>
      <c r="U38" s="9">
        <v>19.210026038132121</v>
      </c>
      <c r="V38" s="9">
        <v>4748</v>
      </c>
      <c r="W38" s="9">
        <v>19.274323220724469</v>
      </c>
      <c r="X38">
        <v>2082.1649421623629</v>
      </c>
      <c r="Y38">
        <v>0.83746851865167871</v>
      </c>
      <c r="Z38">
        <v>0.19624407841418759</v>
      </c>
      <c r="AA38">
        <v>4.2674842747822419</v>
      </c>
      <c r="AB38">
        <v>1.976897015039291E-5</v>
      </c>
      <c r="AC38">
        <v>6.9255380966497327E-3</v>
      </c>
      <c r="AD38" t="s">
        <v>97</v>
      </c>
      <c r="AE38" t="s">
        <v>98</v>
      </c>
      <c r="AF38" t="s">
        <v>99</v>
      </c>
      <c r="AG38" t="s">
        <v>100</v>
      </c>
      <c r="AH38" t="s">
        <v>43</v>
      </c>
      <c r="AI38" t="s">
        <v>43</v>
      </c>
      <c r="AJ38" t="s">
        <v>43</v>
      </c>
      <c r="AK38" t="s">
        <v>43</v>
      </c>
      <c r="AL38" t="s">
        <v>43</v>
      </c>
      <c r="AM38" t="s">
        <v>101</v>
      </c>
      <c r="AN38" t="s">
        <v>43</v>
      </c>
    </row>
    <row r="39" spans="1:40" x14ac:dyDescent="0.3">
      <c r="A39" t="s">
        <v>102</v>
      </c>
      <c r="B39">
        <v>2345</v>
      </c>
      <c r="C39" t="str">
        <f>IF(Y39&lt;0, "Down", "Up")</f>
        <v>Up</v>
      </c>
      <c r="D39" s="7" t="str">
        <f>IF(AC39&lt;0.05, "Sig", "N")</f>
        <v>Sig</v>
      </c>
      <c r="E39" s="1" t="str">
        <f>IF(AND(I39&gt;2,K39&gt;2,M39&gt;2,O39&gt;2),"Y","N")</f>
        <v>N</v>
      </c>
      <c r="F39" s="1" t="str">
        <f>IF(AND(Q39&gt;2,S39&gt;2,U39&gt;2,W39&gt;2),"Y","N")</f>
        <v>Y</v>
      </c>
      <c r="G39" s="1" t="str">
        <f>IF(OR(E39="Y", F39="Y"), "Expressed", "N")</f>
        <v>Expressed</v>
      </c>
      <c r="H39" s="8">
        <v>136</v>
      </c>
      <c r="I39" s="8">
        <v>1.6616940809335441</v>
      </c>
      <c r="J39" s="8">
        <v>246</v>
      </c>
      <c r="K39" s="8">
        <v>1.869866975291079</v>
      </c>
      <c r="L39" s="8">
        <v>282</v>
      </c>
      <c r="M39" s="8">
        <v>2.8621244781713879</v>
      </c>
      <c r="N39" s="8">
        <v>322</v>
      </c>
      <c r="O39" s="8">
        <v>1.8364255665857929</v>
      </c>
      <c r="P39" s="9">
        <v>916</v>
      </c>
      <c r="Q39" s="9">
        <v>6.5603520255848036</v>
      </c>
      <c r="R39" s="9">
        <v>425</v>
      </c>
      <c r="S39" s="9">
        <v>4.6017539436817447</v>
      </c>
      <c r="T39" s="9">
        <v>783</v>
      </c>
      <c r="U39" s="9">
        <v>5.0077631727755181</v>
      </c>
      <c r="V39" s="9">
        <v>635</v>
      </c>
      <c r="W39" s="9">
        <v>2.8492745750835571</v>
      </c>
      <c r="X39">
        <v>441.61643122954598</v>
      </c>
      <c r="Y39">
        <v>1.2379627086639009</v>
      </c>
      <c r="Z39">
        <v>0.25366920891281119</v>
      </c>
      <c r="AA39">
        <v>4.880224580545768</v>
      </c>
      <c r="AB39">
        <v>1.059651028739187E-6</v>
      </c>
      <c r="AC39">
        <v>6.0646099055519545E-4</v>
      </c>
      <c r="AD39" t="s">
        <v>103</v>
      </c>
      <c r="AE39" t="s">
        <v>104</v>
      </c>
      <c r="AF39" t="s">
        <v>105</v>
      </c>
      <c r="AG39" t="s">
        <v>106</v>
      </c>
      <c r="AH39" t="s">
        <v>43</v>
      </c>
      <c r="AI39" t="s">
        <v>43</v>
      </c>
      <c r="AJ39" t="s">
        <v>43</v>
      </c>
      <c r="AK39" t="s">
        <v>43</v>
      </c>
      <c r="AL39" t="s">
        <v>43</v>
      </c>
      <c r="AM39" t="s">
        <v>107</v>
      </c>
      <c r="AN39" t="s">
        <v>43</v>
      </c>
    </row>
    <row r="40" spans="1:40" x14ac:dyDescent="0.3">
      <c r="A40" t="s">
        <v>108</v>
      </c>
      <c r="B40">
        <v>2152</v>
      </c>
      <c r="C40" t="str">
        <f>IF(Y40&lt;0, "Down", "Up")</f>
        <v>Up</v>
      </c>
      <c r="D40" s="7" t="str">
        <f>IF(AC40&lt;0.05, "Sig", "N")</f>
        <v>Sig</v>
      </c>
      <c r="E40" s="1" t="str">
        <f>IF(AND(I40&gt;2,K40&gt;2,M40&gt;2,O40&gt;2),"Y","N")</f>
        <v>Y</v>
      </c>
      <c r="F40" s="1" t="str">
        <f>IF(AND(Q40&gt;2,S40&gt;2,U40&gt;2,W40&gt;2),"Y","N")</f>
        <v>Y</v>
      </c>
      <c r="G40" s="1" t="str">
        <f>IF(OR(E40="Y", F40="Y"), "Expressed", "N")</f>
        <v>Expressed</v>
      </c>
      <c r="H40" s="8">
        <v>525</v>
      </c>
      <c r="I40" s="8">
        <v>6.9899174686656362</v>
      </c>
      <c r="J40" s="8">
        <v>836</v>
      </c>
      <c r="K40" s="8">
        <v>6.9244050074427594</v>
      </c>
      <c r="L40" s="8">
        <v>858</v>
      </c>
      <c r="M40" s="8">
        <v>9.4891492514395566</v>
      </c>
      <c r="N40" s="8">
        <v>1422</v>
      </c>
      <c r="O40" s="8">
        <v>8.837260052877749</v>
      </c>
      <c r="P40" s="9">
        <v>2531</v>
      </c>
      <c r="Q40" s="9">
        <v>19.752605751373149</v>
      </c>
      <c r="R40" s="9">
        <v>1866</v>
      </c>
      <c r="S40" s="9">
        <v>22.01641904017524</v>
      </c>
      <c r="T40" s="9">
        <v>1913</v>
      </c>
      <c r="U40" s="9">
        <v>13.33206953324086</v>
      </c>
      <c r="V40" s="9">
        <v>3040</v>
      </c>
      <c r="W40" s="9">
        <v>14.86396729711652</v>
      </c>
      <c r="X40">
        <v>1523.5136276336821</v>
      </c>
      <c r="Y40">
        <v>1.143396545290871</v>
      </c>
      <c r="Z40">
        <v>0.1905426438606935</v>
      </c>
      <c r="AA40">
        <v>6.0007383235786982</v>
      </c>
      <c r="AB40">
        <v>1.96422319901043E-9</v>
      </c>
      <c r="AC40">
        <v>3.4037559241950358E-6</v>
      </c>
      <c r="AD40" t="s">
        <v>109</v>
      </c>
      <c r="AE40" t="s">
        <v>110</v>
      </c>
      <c r="AF40" t="s">
        <v>111</v>
      </c>
      <c r="AG40" t="s">
        <v>112</v>
      </c>
      <c r="AH40" t="s">
        <v>43</v>
      </c>
      <c r="AI40" t="s">
        <v>43</v>
      </c>
      <c r="AJ40" t="s">
        <v>43</v>
      </c>
      <c r="AK40" t="s">
        <v>43</v>
      </c>
      <c r="AL40" t="s">
        <v>43</v>
      </c>
      <c r="AM40" t="s">
        <v>113</v>
      </c>
      <c r="AN40" t="s">
        <v>43</v>
      </c>
    </row>
    <row r="41" spans="1:40" x14ac:dyDescent="0.3">
      <c r="A41" t="s">
        <v>117</v>
      </c>
      <c r="B41">
        <v>635</v>
      </c>
      <c r="C41" t="str">
        <f>IF(Y41&lt;0, "Down", "Up")</f>
        <v>Up</v>
      </c>
      <c r="D41" s="7" t="str">
        <f>IF(AC41&lt;0.05, "Sig", "N")</f>
        <v>Sig</v>
      </c>
      <c r="E41" s="1" t="str">
        <f>IF(AND(I41&gt;2,K41&gt;2,M41&gt;2,O41&gt;2),"Y","N")</f>
        <v>Y</v>
      </c>
      <c r="F41" s="1" t="str">
        <f>IF(AND(Q41&gt;2,S41&gt;2,U41&gt;2,W41&gt;2),"Y","N")</f>
        <v>Y</v>
      </c>
      <c r="G41" s="1" t="str">
        <f>IF(OR(E41="Y", F41="Y"), "Expressed", "N")</f>
        <v>Expressed</v>
      </c>
      <c r="H41" s="8">
        <v>561</v>
      </c>
      <c r="I41" s="8">
        <v>25.31303079784297</v>
      </c>
      <c r="J41" s="8">
        <v>488</v>
      </c>
      <c r="K41" s="8">
        <v>13.6982329674419</v>
      </c>
      <c r="L41" s="8">
        <v>150</v>
      </c>
      <c r="M41" s="8">
        <v>5.6221158496497781</v>
      </c>
      <c r="N41" s="8">
        <v>479</v>
      </c>
      <c r="O41" s="8">
        <v>10.08839536262202</v>
      </c>
      <c r="P41" s="9">
        <v>13739</v>
      </c>
      <c r="Q41" s="9">
        <v>363.37572868075858</v>
      </c>
      <c r="R41" s="9">
        <v>9577</v>
      </c>
      <c r="S41" s="9">
        <v>382.94206273723381</v>
      </c>
      <c r="T41" s="9">
        <v>13973</v>
      </c>
      <c r="U41" s="9">
        <v>330.02041097120087</v>
      </c>
      <c r="V41" s="9">
        <v>736</v>
      </c>
      <c r="W41" s="9">
        <v>12.19572192852182</v>
      </c>
      <c r="X41">
        <v>5063.1627965619518</v>
      </c>
      <c r="Y41">
        <v>4.3072203666402347</v>
      </c>
      <c r="Z41">
        <v>0.9322857645057383</v>
      </c>
      <c r="AA41">
        <v>4.6200645023511173</v>
      </c>
      <c r="AB41">
        <v>3.8362076242933338E-6</v>
      </c>
      <c r="AC41">
        <v>1.7564350622657329E-3</v>
      </c>
      <c r="AD41" t="s">
        <v>118</v>
      </c>
      <c r="AE41" t="s">
        <v>119</v>
      </c>
      <c r="AF41" t="s">
        <v>120</v>
      </c>
      <c r="AG41" t="s">
        <v>43</v>
      </c>
      <c r="AH41" t="s">
        <v>43</v>
      </c>
      <c r="AI41" t="s">
        <v>43</v>
      </c>
      <c r="AJ41" t="s">
        <v>43</v>
      </c>
      <c r="AK41" t="s">
        <v>43</v>
      </c>
      <c r="AL41" t="s">
        <v>43</v>
      </c>
      <c r="AM41" t="s">
        <v>43</v>
      </c>
      <c r="AN41" t="s">
        <v>43</v>
      </c>
    </row>
    <row r="42" spans="1:40" x14ac:dyDescent="0.3">
      <c r="A42" t="s">
        <v>121</v>
      </c>
      <c r="B42">
        <v>1312</v>
      </c>
      <c r="C42" t="str">
        <f>IF(Y42&lt;0, "Down", "Up")</f>
        <v>Up</v>
      </c>
      <c r="D42" s="7" t="str">
        <f>IF(AC42&lt;0.05, "Sig", "N")</f>
        <v>Sig</v>
      </c>
      <c r="E42" s="1" t="str">
        <f>IF(AND(I42&gt;2,K42&gt;2,M42&gt;2,O42&gt;2),"Y","N")</f>
        <v>N</v>
      </c>
      <c r="F42" s="1" t="str">
        <f>IF(AND(Q42&gt;2,S42&gt;2,U42&gt;2,W42&gt;2),"Y","N")</f>
        <v>Y</v>
      </c>
      <c r="G42" s="1" t="str">
        <f>IF(OR(E42="Y", F42="Y"), "Expressed", "N")</f>
        <v>Expressed</v>
      </c>
      <c r="H42" s="8">
        <v>82</v>
      </c>
      <c r="I42" s="8">
        <v>1.7907502848295771</v>
      </c>
      <c r="J42" s="8">
        <v>123</v>
      </c>
      <c r="K42" s="8">
        <v>1.6710510888176759</v>
      </c>
      <c r="L42" s="8">
        <v>125</v>
      </c>
      <c r="M42" s="8">
        <v>2.2675581583635731</v>
      </c>
      <c r="N42" s="8">
        <v>233</v>
      </c>
      <c r="O42" s="8">
        <v>2.3751026908777511</v>
      </c>
      <c r="P42" s="9">
        <v>705</v>
      </c>
      <c r="Q42" s="9">
        <v>9.0246381882201216</v>
      </c>
      <c r="R42" s="9">
        <v>234</v>
      </c>
      <c r="S42" s="9">
        <v>4.5285517243839379</v>
      </c>
      <c r="T42" s="9">
        <v>324</v>
      </c>
      <c r="U42" s="9">
        <v>3.7037020521946769</v>
      </c>
      <c r="V42" s="9">
        <v>638</v>
      </c>
      <c r="W42" s="9">
        <v>5.1167036975804931</v>
      </c>
      <c r="X42">
        <v>276.20954512635888</v>
      </c>
      <c r="Y42">
        <v>1.480878121613467</v>
      </c>
      <c r="Z42">
        <v>0.27382159274351048</v>
      </c>
      <c r="AA42">
        <v>5.4081860629618408</v>
      </c>
      <c r="AB42">
        <v>6.3666265139259685E-8</v>
      </c>
      <c r="AC42">
        <v>5.8300108506093509E-5</v>
      </c>
      <c r="AD42" t="s">
        <v>122</v>
      </c>
      <c r="AE42" t="s">
        <v>123</v>
      </c>
      <c r="AF42" t="s">
        <v>43</v>
      </c>
      <c r="AG42" t="s">
        <v>43</v>
      </c>
      <c r="AH42" t="s">
        <v>43</v>
      </c>
      <c r="AI42" t="s">
        <v>43</v>
      </c>
      <c r="AJ42" t="s">
        <v>43</v>
      </c>
      <c r="AK42" t="s">
        <v>43</v>
      </c>
      <c r="AL42" t="s">
        <v>43</v>
      </c>
      <c r="AM42" t="s">
        <v>43</v>
      </c>
      <c r="AN42" t="s">
        <v>43</v>
      </c>
    </row>
    <row r="43" spans="1:40" x14ac:dyDescent="0.3">
      <c r="A43" t="s">
        <v>124</v>
      </c>
      <c r="B43">
        <v>1483</v>
      </c>
      <c r="C43" t="str">
        <f>IF(Y43&lt;0, "Down", "Up")</f>
        <v>Up</v>
      </c>
      <c r="D43" s="7" t="str">
        <f>IF(AC43&lt;0.05, "Sig", "N")</f>
        <v>Sig</v>
      </c>
      <c r="E43" s="1" t="str">
        <f>IF(AND(I43&gt;2,K43&gt;2,M43&gt;2,O43&gt;2),"Y","N")</f>
        <v>Y</v>
      </c>
      <c r="F43" s="1" t="str">
        <f>IF(AND(Q43&gt;2,S43&gt;2,U43&gt;2,W43&gt;2),"Y","N")</f>
        <v>Y</v>
      </c>
      <c r="G43" s="1" t="str">
        <f>IF(OR(E43="Y", F43="Y"), "Expressed", "N")</f>
        <v>Expressed</v>
      </c>
      <c r="H43" s="8">
        <v>1260</v>
      </c>
      <c r="I43" s="8">
        <v>24.343577708809359</v>
      </c>
      <c r="J43" s="8">
        <v>1117</v>
      </c>
      <c r="K43" s="8">
        <v>13.425500139064731</v>
      </c>
      <c r="L43" s="8">
        <v>508</v>
      </c>
      <c r="M43" s="8">
        <v>8.1527630064285255</v>
      </c>
      <c r="N43" s="8">
        <v>882</v>
      </c>
      <c r="O43" s="8">
        <v>7.9540394347401602</v>
      </c>
      <c r="P43" s="9">
        <v>3648</v>
      </c>
      <c r="Q43" s="9">
        <v>41.313139175566711</v>
      </c>
      <c r="R43" s="9">
        <v>2074</v>
      </c>
      <c r="S43" s="9">
        <v>35.50952894802186</v>
      </c>
      <c r="T43" s="9">
        <v>3238</v>
      </c>
      <c r="U43" s="9">
        <v>32.746173641701319</v>
      </c>
      <c r="V43" s="9">
        <v>6513</v>
      </c>
      <c r="W43" s="9">
        <v>46.21078559223168</v>
      </c>
      <c r="X43">
        <v>2166.7021036433489</v>
      </c>
      <c r="Y43">
        <v>1.5300729117757981</v>
      </c>
      <c r="Z43">
        <v>0.3185382530396963</v>
      </c>
      <c r="AA43">
        <v>4.8034196746383246</v>
      </c>
      <c r="AB43">
        <v>1.5597847921899751E-6</v>
      </c>
      <c r="AC43">
        <v>8.1952627196210995E-4</v>
      </c>
    </row>
    <row r="44" spans="1:40" x14ac:dyDescent="0.3">
      <c r="A44" t="s">
        <v>125</v>
      </c>
      <c r="B44">
        <v>1973</v>
      </c>
      <c r="C44" t="str">
        <f>IF(Y44&lt;0, "Down", "Up")</f>
        <v>Up</v>
      </c>
      <c r="D44" s="7" t="str">
        <f>IF(AC44&lt;0.05, "Sig", "N")</f>
        <v>Sig</v>
      </c>
      <c r="E44" s="1" t="str">
        <f>IF(AND(I44&gt;2,K44&gt;2,M44&gt;2,O44&gt;2),"Y","N")</f>
        <v>Y</v>
      </c>
      <c r="F44" s="1" t="str">
        <f>IF(AND(Q44&gt;2,S44&gt;2,U44&gt;2,W44&gt;2),"Y","N")</f>
        <v>Y</v>
      </c>
      <c r="G44" s="1" t="str">
        <f>IF(OR(E44="Y", F44="Y"), "Expressed", "N")</f>
        <v>Expressed</v>
      </c>
      <c r="H44" s="8">
        <v>1596</v>
      </c>
      <c r="I44" s="8">
        <v>23.177191724991431</v>
      </c>
      <c r="J44" s="8">
        <v>2608</v>
      </c>
      <c r="K44" s="8">
        <v>23.561283944647389</v>
      </c>
      <c r="L44" s="8">
        <v>2378</v>
      </c>
      <c r="M44" s="8">
        <v>28.685803671047999</v>
      </c>
      <c r="N44" s="8">
        <v>2895</v>
      </c>
      <c r="O44" s="8">
        <v>19.62374033268766</v>
      </c>
      <c r="P44" s="9">
        <v>5058</v>
      </c>
      <c r="Q44" s="9">
        <v>43.055264066525609</v>
      </c>
      <c r="R44" s="9">
        <v>2477</v>
      </c>
      <c r="S44" s="9">
        <v>31.876911118788058</v>
      </c>
      <c r="T44" s="9">
        <v>4587</v>
      </c>
      <c r="U44" s="9">
        <v>34.867958619140943</v>
      </c>
      <c r="V44" s="9">
        <v>9242</v>
      </c>
      <c r="W44" s="9">
        <v>49.288125709481648</v>
      </c>
      <c r="X44">
        <v>3468.8805831013169</v>
      </c>
      <c r="Y44">
        <v>0.76791253362303369</v>
      </c>
      <c r="Z44">
        <v>0.17308453827466011</v>
      </c>
      <c r="AA44">
        <v>4.436632764992952</v>
      </c>
      <c r="AB44">
        <v>9.137698583318062E-6</v>
      </c>
      <c r="AC44">
        <v>3.528472766208963E-3</v>
      </c>
      <c r="AD44" t="s">
        <v>126</v>
      </c>
      <c r="AE44" t="s">
        <v>127</v>
      </c>
      <c r="AF44" t="s">
        <v>128</v>
      </c>
      <c r="AG44" t="s">
        <v>129</v>
      </c>
      <c r="AH44" t="s">
        <v>43</v>
      </c>
      <c r="AI44" t="s">
        <v>43</v>
      </c>
      <c r="AJ44" t="s">
        <v>43</v>
      </c>
      <c r="AK44" t="s">
        <v>43</v>
      </c>
      <c r="AL44" t="s">
        <v>43</v>
      </c>
      <c r="AM44" t="s">
        <v>130</v>
      </c>
      <c r="AN44" t="s">
        <v>43</v>
      </c>
    </row>
    <row r="45" spans="1:40" x14ac:dyDescent="0.3">
      <c r="A45" t="s">
        <v>136</v>
      </c>
      <c r="B45">
        <v>6019</v>
      </c>
      <c r="C45" t="str">
        <f>IF(Y45&lt;0, "Down", "Up")</f>
        <v>Up</v>
      </c>
      <c r="D45" s="7" t="str">
        <f>IF(AC45&lt;0.05, "Sig", "N")</f>
        <v>Sig</v>
      </c>
      <c r="E45" s="1" t="str">
        <f>IF(AND(I45&gt;2,K45&gt;2,M45&gt;2,O45&gt;2),"Y","N")</f>
        <v>Y</v>
      </c>
      <c r="F45" s="1" t="str">
        <f>IF(AND(Q45&gt;2,S45&gt;2,U45&gt;2,W45&gt;2),"Y","N")</f>
        <v>Y</v>
      </c>
      <c r="G45" s="1" t="str">
        <f>IF(OR(E45="Y", F45="Y"), "Expressed", "N")</f>
        <v>Expressed</v>
      </c>
      <c r="H45" s="8">
        <v>1401</v>
      </c>
      <c r="I45" s="8">
        <v>6.6691241709154019</v>
      </c>
      <c r="J45" s="8">
        <v>1734</v>
      </c>
      <c r="K45" s="8">
        <v>5.1350325533762629</v>
      </c>
      <c r="L45" s="8">
        <v>2134</v>
      </c>
      <c r="M45" s="8">
        <v>8.4382488416701751</v>
      </c>
      <c r="N45" s="8">
        <v>1679</v>
      </c>
      <c r="O45" s="8">
        <v>3.7306684856999142</v>
      </c>
      <c r="P45" s="9">
        <v>4473</v>
      </c>
      <c r="Q45" s="9">
        <v>12.480991064954379</v>
      </c>
      <c r="R45" s="9">
        <v>2829</v>
      </c>
      <c r="S45" s="9">
        <v>11.933996724550459</v>
      </c>
      <c r="T45" s="9">
        <v>4594</v>
      </c>
      <c r="U45" s="9">
        <v>11.44699556489349</v>
      </c>
      <c r="V45" s="9">
        <v>6970</v>
      </c>
      <c r="W45" s="9">
        <v>12.18461634839791</v>
      </c>
      <c r="X45">
        <v>3001.0820718013151</v>
      </c>
      <c r="Y45">
        <v>1.0336163336706841</v>
      </c>
      <c r="Z45">
        <v>0.21249551385629711</v>
      </c>
      <c r="AA45">
        <v>4.8641795533136793</v>
      </c>
      <c r="AB45">
        <v>1.1493254510161849E-6</v>
      </c>
      <c r="AC45">
        <v>6.4624352114155646E-4</v>
      </c>
      <c r="AD45" t="s">
        <v>137</v>
      </c>
      <c r="AE45" t="s">
        <v>138</v>
      </c>
      <c r="AF45" t="s">
        <v>139</v>
      </c>
      <c r="AG45" t="s">
        <v>140</v>
      </c>
      <c r="AH45" t="s">
        <v>43</v>
      </c>
      <c r="AI45" t="s">
        <v>43</v>
      </c>
      <c r="AJ45" t="s">
        <v>43</v>
      </c>
      <c r="AK45" t="s">
        <v>43</v>
      </c>
      <c r="AL45" t="s">
        <v>43</v>
      </c>
      <c r="AM45" t="s">
        <v>141</v>
      </c>
      <c r="AN45" t="s">
        <v>43</v>
      </c>
    </row>
    <row r="46" spans="1:40" x14ac:dyDescent="0.3">
      <c r="A46" t="s">
        <v>142</v>
      </c>
      <c r="B46">
        <v>3326</v>
      </c>
      <c r="C46" t="str">
        <f>IF(Y46&lt;0, "Down", "Up")</f>
        <v>Up</v>
      </c>
      <c r="D46" s="7" t="str">
        <f>IF(AC46&lt;0.05, "Sig", "N")</f>
        <v>Sig</v>
      </c>
      <c r="E46" s="1" t="str">
        <f>IF(AND(I46&gt;2,K46&gt;2,M46&gt;2,O46&gt;2),"Y","N")</f>
        <v>Y</v>
      </c>
      <c r="F46" s="1" t="str">
        <f>IF(AND(Q46&gt;2,S46&gt;2,U46&gt;2,W46&gt;2),"Y","N")</f>
        <v>Y</v>
      </c>
      <c r="G46" s="1" t="str">
        <f>IF(OR(E46="Y", F46="Y"), "Expressed", "N")</f>
        <v>Expressed</v>
      </c>
      <c r="H46" s="8">
        <v>3949</v>
      </c>
      <c r="I46" s="8">
        <v>34.018871315896583</v>
      </c>
      <c r="J46" s="8">
        <v>5341</v>
      </c>
      <c r="K46" s="8">
        <v>28.623239496092062</v>
      </c>
      <c r="L46" s="8">
        <v>3567</v>
      </c>
      <c r="M46" s="8">
        <v>25.524845449328492</v>
      </c>
      <c r="N46" s="8">
        <v>6881</v>
      </c>
      <c r="O46" s="8">
        <v>27.66875505524159</v>
      </c>
      <c r="P46" s="9">
        <v>7319</v>
      </c>
      <c r="Q46" s="9">
        <v>36.957622041791083</v>
      </c>
      <c r="R46" s="9">
        <v>6325</v>
      </c>
      <c r="S46" s="9">
        <v>48.285373500711401</v>
      </c>
      <c r="T46" s="9">
        <v>13877</v>
      </c>
      <c r="U46" s="9">
        <v>62.574618486909031</v>
      </c>
      <c r="V46" s="9">
        <v>17919</v>
      </c>
      <c r="W46" s="9">
        <v>56.688497855177147</v>
      </c>
      <c r="X46">
        <v>7413.2297237499988</v>
      </c>
      <c r="Y46">
        <v>0.83909786244000684</v>
      </c>
      <c r="Z46">
        <v>0.198185857191256</v>
      </c>
      <c r="AA46">
        <v>4.2338937517133193</v>
      </c>
      <c r="AB46">
        <v>2.296794892417269E-5</v>
      </c>
      <c r="AC46">
        <v>7.7241917894316997E-3</v>
      </c>
      <c r="AD46" t="s">
        <v>143</v>
      </c>
      <c r="AE46" t="s">
        <v>144</v>
      </c>
      <c r="AF46" t="s">
        <v>145</v>
      </c>
      <c r="AG46" t="s">
        <v>146</v>
      </c>
      <c r="AH46" t="s">
        <v>43</v>
      </c>
      <c r="AI46" t="s">
        <v>43</v>
      </c>
      <c r="AJ46" t="s">
        <v>43</v>
      </c>
      <c r="AK46" t="s">
        <v>43</v>
      </c>
      <c r="AL46" t="s">
        <v>43</v>
      </c>
      <c r="AM46" t="s">
        <v>147</v>
      </c>
      <c r="AN46" t="s">
        <v>43</v>
      </c>
    </row>
    <row r="47" spans="1:40" x14ac:dyDescent="0.3">
      <c r="A47" t="s">
        <v>148</v>
      </c>
      <c r="B47">
        <v>5962</v>
      </c>
      <c r="C47" t="str">
        <f>IF(Y47&lt;0, "Down", "Up")</f>
        <v>Up</v>
      </c>
      <c r="D47" s="7" t="str">
        <f>IF(AC47&lt;0.05, "Sig", "N")</f>
        <v>Sig</v>
      </c>
      <c r="E47" s="1" t="str">
        <f>IF(AND(I47&gt;2,K47&gt;2,M47&gt;2,O47&gt;2),"Y","N")</f>
        <v>Y</v>
      </c>
      <c r="F47" s="1" t="str">
        <f>IF(AND(Q47&gt;2,S47&gt;2,U47&gt;2,W47&gt;2),"Y","N")</f>
        <v>Y</v>
      </c>
      <c r="G47" s="1" t="str">
        <f>IF(OR(E47="Y", F47="Y"), "Expressed", "N")</f>
        <v>Expressed</v>
      </c>
      <c r="H47" s="8">
        <v>1304</v>
      </c>
      <c r="I47" s="8">
        <v>6.2667249149084707</v>
      </c>
      <c r="J47" s="8">
        <v>2472</v>
      </c>
      <c r="K47" s="8">
        <v>7.3905191395411718</v>
      </c>
      <c r="L47" s="8">
        <v>1499</v>
      </c>
      <c r="M47" s="8">
        <v>5.984004588199582</v>
      </c>
      <c r="N47" s="8">
        <v>2940</v>
      </c>
      <c r="O47" s="8">
        <v>6.5950131285472757</v>
      </c>
      <c r="P47" s="9">
        <v>3272</v>
      </c>
      <c r="Q47" s="9">
        <v>9.2171327131490894</v>
      </c>
      <c r="R47" s="9">
        <v>2338</v>
      </c>
      <c r="S47" s="9">
        <v>9.95703068025691</v>
      </c>
      <c r="T47" s="9">
        <v>3413</v>
      </c>
      <c r="U47" s="9">
        <v>8.5855709910877156</v>
      </c>
      <c r="V47" s="9">
        <v>5721</v>
      </c>
      <c r="W47" s="9">
        <v>10.096791790078459</v>
      </c>
      <c r="X47">
        <v>2650.7738133650191</v>
      </c>
      <c r="Y47">
        <v>0.54715115997244712</v>
      </c>
      <c r="Z47">
        <v>0.14074078156246039</v>
      </c>
      <c r="AA47">
        <v>3.887651851141829</v>
      </c>
      <c r="AB47">
        <v>1.012186651700839E-4</v>
      </c>
      <c r="AC47">
        <v>2.4680810450617149E-2</v>
      </c>
      <c r="AD47" t="s">
        <v>149</v>
      </c>
      <c r="AE47" t="s">
        <v>150</v>
      </c>
      <c r="AF47" t="s">
        <v>151</v>
      </c>
      <c r="AG47" t="s">
        <v>152</v>
      </c>
      <c r="AH47" t="s">
        <v>43</v>
      </c>
      <c r="AI47" t="s">
        <v>43</v>
      </c>
      <c r="AJ47" t="s">
        <v>43</v>
      </c>
      <c r="AK47" t="s">
        <v>43</v>
      </c>
      <c r="AL47" t="s">
        <v>43</v>
      </c>
      <c r="AM47" t="s">
        <v>153</v>
      </c>
      <c r="AN47" t="s">
        <v>43</v>
      </c>
    </row>
    <row r="48" spans="1:40" x14ac:dyDescent="0.3">
      <c r="A48" t="s">
        <v>166</v>
      </c>
      <c r="B48">
        <v>2374</v>
      </c>
      <c r="C48" t="str">
        <f>IF(Y48&lt;0, "Down", "Up")</f>
        <v>Up</v>
      </c>
      <c r="D48" s="7" t="str">
        <f>IF(AC48&lt;0.05, "Sig", "N")</f>
        <v>Sig</v>
      </c>
      <c r="E48" s="1" t="str">
        <f>IF(AND(I48&gt;2,K48&gt;2,M48&gt;2,O48&gt;2),"Y","N")</f>
        <v>Y</v>
      </c>
      <c r="F48" s="1" t="str">
        <f>IF(AND(Q48&gt;2,S48&gt;2,U48&gt;2,W48&gt;2),"Y","N")</f>
        <v>Y</v>
      </c>
      <c r="G48" s="1" t="str">
        <f>IF(OR(E48="Y", F48="Y"), "Expressed", "N")</f>
        <v>Expressed</v>
      </c>
      <c r="H48" s="8">
        <v>2322</v>
      </c>
      <c r="I48" s="8">
        <v>28.024412208082751</v>
      </c>
      <c r="J48" s="8">
        <v>2568</v>
      </c>
      <c r="K48" s="8">
        <v>19.281142133485162</v>
      </c>
      <c r="L48" s="8">
        <v>2540</v>
      </c>
      <c r="M48" s="8">
        <v>25.46450618899221</v>
      </c>
      <c r="N48" s="8">
        <v>4040</v>
      </c>
      <c r="O48" s="8">
        <v>22.75940773064368</v>
      </c>
      <c r="P48" s="9">
        <v>6399</v>
      </c>
      <c r="Q48" s="9">
        <v>45.269522434855013</v>
      </c>
      <c r="R48" s="9">
        <v>3584</v>
      </c>
      <c r="S48" s="9">
        <v>38.332275122250223</v>
      </c>
      <c r="T48" s="9">
        <v>4480</v>
      </c>
      <c r="U48" s="9">
        <v>28.30232843238451</v>
      </c>
      <c r="V48" s="9">
        <v>8723</v>
      </c>
      <c r="W48" s="9">
        <v>38.662379762236768</v>
      </c>
      <c r="X48">
        <v>4045.5975249290741</v>
      </c>
      <c r="Y48">
        <v>0.67479401069375722</v>
      </c>
      <c r="Z48">
        <v>0.1790208457633724</v>
      </c>
      <c r="AA48">
        <v>3.7693599749031002</v>
      </c>
      <c r="AB48">
        <v>1.636666970224057E-4</v>
      </c>
      <c r="AC48">
        <v>3.4738527414358303E-2</v>
      </c>
      <c r="AD48" t="s">
        <v>167</v>
      </c>
      <c r="AE48" t="s">
        <v>168</v>
      </c>
      <c r="AF48" t="s">
        <v>169</v>
      </c>
      <c r="AG48" t="s">
        <v>170</v>
      </c>
      <c r="AH48" t="s">
        <v>43</v>
      </c>
      <c r="AI48" t="s">
        <v>43</v>
      </c>
      <c r="AJ48" t="s">
        <v>43</v>
      </c>
      <c r="AK48" t="s">
        <v>43</v>
      </c>
      <c r="AL48" t="s">
        <v>43</v>
      </c>
      <c r="AM48" t="s">
        <v>171</v>
      </c>
      <c r="AN48" t="s">
        <v>43</v>
      </c>
    </row>
    <row r="49" spans="1:40" x14ac:dyDescent="0.3">
      <c r="A49" t="s">
        <v>172</v>
      </c>
      <c r="B49">
        <v>1640</v>
      </c>
      <c r="C49" t="str">
        <f>IF(Y49&lt;0, "Down", "Up")</f>
        <v>Up</v>
      </c>
      <c r="D49" s="7" t="str">
        <f>IF(AC49&lt;0.05, "Sig", "N")</f>
        <v>Sig</v>
      </c>
      <c r="E49" s="1" t="str">
        <f>IF(AND(I49&gt;2,K49&gt;2,M49&gt;2,O49&gt;2),"Y","N")</f>
        <v>Y</v>
      </c>
      <c r="F49" s="1" t="str">
        <f>IF(AND(Q49&gt;2,S49&gt;2,U49&gt;2,W49&gt;2),"Y","N")</f>
        <v>Y</v>
      </c>
      <c r="G49" s="1" t="str">
        <f>IF(OR(E49="Y", F49="Y"), "Expressed", "N")</f>
        <v>Expressed</v>
      </c>
      <c r="H49" s="8">
        <v>356</v>
      </c>
      <c r="I49" s="8">
        <v>6.2195814770666296</v>
      </c>
      <c r="J49" s="8">
        <v>428</v>
      </c>
      <c r="K49" s="8">
        <v>4.6517714862696922</v>
      </c>
      <c r="L49" s="8">
        <v>570</v>
      </c>
      <c r="M49" s="8">
        <v>8.2720521617103149</v>
      </c>
      <c r="N49" s="8">
        <v>678</v>
      </c>
      <c r="O49" s="8">
        <v>5.5289944185926716</v>
      </c>
      <c r="P49" s="9">
        <v>1612</v>
      </c>
      <c r="Q49" s="9">
        <v>16.50804738656549</v>
      </c>
      <c r="R49" s="9">
        <v>234</v>
      </c>
      <c r="S49" s="9">
        <v>3.6228413795071508</v>
      </c>
      <c r="T49" s="9">
        <v>275</v>
      </c>
      <c r="U49" s="9">
        <v>2.5148594181568789</v>
      </c>
      <c r="V49" s="9">
        <v>635</v>
      </c>
      <c r="W49" s="9">
        <v>4.0741151698603293</v>
      </c>
      <c r="X49">
        <v>577.44351881866066</v>
      </c>
      <c r="Y49">
        <v>0.12580646160762379</v>
      </c>
      <c r="Z49">
        <v>0.61830174758643852</v>
      </c>
      <c r="AA49">
        <v>0.2034709785290329</v>
      </c>
      <c r="AD49" t="s">
        <v>173</v>
      </c>
      <c r="AE49" t="s">
        <v>174</v>
      </c>
      <c r="AF49" t="s">
        <v>175</v>
      </c>
      <c r="AG49" t="s">
        <v>176</v>
      </c>
      <c r="AH49" t="s">
        <v>43</v>
      </c>
      <c r="AI49" t="s">
        <v>43</v>
      </c>
      <c r="AJ49" t="s">
        <v>43</v>
      </c>
      <c r="AK49" t="s">
        <v>43</v>
      </c>
      <c r="AL49" t="s">
        <v>43</v>
      </c>
      <c r="AM49" t="s">
        <v>177</v>
      </c>
      <c r="AN49" t="s">
        <v>43</v>
      </c>
    </row>
    <row r="50" spans="1:40" x14ac:dyDescent="0.3">
      <c r="A50" t="s">
        <v>178</v>
      </c>
      <c r="B50">
        <v>1550</v>
      </c>
      <c r="C50" t="str">
        <f>IF(Y50&lt;0, "Down", "Up")</f>
        <v>Up</v>
      </c>
      <c r="D50" s="7" t="str">
        <f>IF(AC50&lt;0.05, "Sig", "N")</f>
        <v>Sig</v>
      </c>
      <c r="E50" s="1" t="str">
        <f>IF(AND(I50&gt;2,K50&gt;2,M50&gt;2,O50&gt;2),"Y","N")</f>
        <v>Y</v>
      </c>
      <c r="F50" s="1" t="str">
        <f>IF(AND(Q50&gt;2,S50&gt;2,U50&gt;2,W50&gt;2),"Y","N")</f>
        <v>Y</v>
      </c>
      <c r="G50" s="1" t="str">
        <f>IF(OR(E50="Y", F50="Y"), "Expressed", "N")</f>
        <v>Expressed</v>
      </c>
      <c r="H50" s="8">
        <v>1623</v>
      </c>
      <c r="I50" s="8">
        <v>30.00142154609965</v>
      </c>
      <c r="J50" s="8">
        <v>4820</v>
      </c>
      <c r="K50" s="8">
        <v>55.428584933169518</v>
      </c>
      <c r="L50" s="8">
        <v>4965</v>
      </c>
      <c r="M50" s="8">
        <v>76.237704507008942</v>
      </c>
      <c r="N50" s="8">
        <v>2950</v>
      </c>
      <c r="O50" s="8">
        <v>25.453682555096911</v>
      </c>
      <c r="P50" s="9">
        <v>34487</v>
      </c>
      <c r="Q50" s="9">
        <v>373.67860784503068</v>
      </c>
      <c r="R50" s="9">
        <v>23152</v>
      </c>
      <c r="S50" s="9">
        <v>379.25745446400128</v>
      </c>
      <c r="T50" s="9">
        <v>12943</v>
      </c>
      <c r="U50" s="9">
        <v>125.23569205089819</v>
      </c>
      <c r="V50" s="9">
        <v>47485</v>
      </c>
      <c r="W50" s="9">
        <v>322.35036677565768</v>
      </c>
      <c r="X50">
        <v>14906.512615996669</v>
      </c>
      <c r="Y50">
        <v>2.7186847238388712</v>
      </c>
      <c r="Z50">
        <v>0.3439365982726354</v>
      </c>
      <c r="AA50">
        <v>7.9046101446982222</v>
      </c>
      <c r="AB50">
        <v>2.6877343377870199E-15</v>
      </c>
      <c r="AC50">
        <v>2.0764154631403769E-11</v>
      </c>
      <c r="AD50" t="s">
        <v>179</v>
      </c>
      <c r="AE50" t="s">
        <v>180</v>
      </c>
      <c r="AF50" t="s">
        <v>181</v>
      </c>
      <c r="AG50" t="s">
        <v>43</v>
      </c>
      <c r="AH50" t="s">
        <v>43</v>
      </c>
      <c r="AI50" t="s">
        <v>43</v>
      </c>
      <c r="AJ50" t="s">
        <v>43</v>
      </c>
      <c r="AK50" t="s">
        <v>43</v>
      </c>
      <c r="AL50" t="s">
        <v>43</v>
      </c>
      <c r="AM50" t="s">
        <v>43</v>
      </c>
      <c r="AN50" t="s">
        <v>43</v>
      </c>
    </row>
    <row r="51" spans="1:40" x14ac:dyDescent="0.3">
      <c r="A51" t="s">
        <v>182</v>
      </c>
      <c r="B51">
        <v>1669</v>
      </c>
      <c r="C51" t="str">
        <f>IF(Y51&lt;0, "Down", "Up")</f>
        <v>Up</v>
      </c>
      <c r="D51" s="7" t="str">
        <f>IF(AC51&lt;0.05, "Sig", "N")</f>
        <v>Sig</v>
      </c>
      <c r="E51" s="1" t="str">
        <f>IF(AND(I51&gt;2,K51&gt;2,M51&gt;2,O51&gt;2),"Y","N")</f>
        <v>Y</v>
      </c>
      <c r="F51" s="1" t="str">
        <f>IF(AND(Q51&gt;2,S51&gt;2,U51&gt;2,W51&gt;2),"Y","N")</f>
        <v>Y</v>
      </c>
      <c r="G51" s="1" t="str">
        <f>IF(OR(E51="Y", F51="Y"), "Expressed", "N")</f>
        <v>Expressed</v>
      </c>
      <c r="H51" s="8">
        <v>832</v>
      </c>
      <c r="I51" s="8">
        <v>14.28308435689115</v>
      </c>
      <c r="J51" s="8">
        <v>1705</v>
      </c>
      <c r="K51" s="8">
        <v>18.209016857577861</v>
      </c>
      <c r="L51" s="8">
        <v>1471</v>
      </c>
      <c r="M51" s="8">
        <v>20.976768857280259</v>
      </c>
      <c r="N51" s="8">
        <v>1468</v>
      </c>
      <c r="O51" s="8">
        <v>11.76332306686588</v>
      </c>
      <c r="P51" s="9">
        <v>4258</v>
      </c>
      <c r="Q51" s="9">
        <v>42.847337251200621</v>
      </c>
      <c r="R51" s="9">
        <v>2452</v>
      </c>
      <c r="S51" s="9">
        <v>37.30280064981978</v>
      </c>
      <c r="T51" s="9">
        <v>2051</v>
      </c>
      <c r="U51" s="9">
        <v>18.430375801054971</v>
      </c>
      <c r="V51" s="9">
        <v>8151</v>
      </c>
      <c r="W51" s="9">
        <v>51.387558120267911</v>
      </c>
      <c r="X51">
        <v>2484.5919724989299</v>
      </c>
      <c r="Y51">
        <v>1.2264660009638131</v>
      </c>
      <c r="Z51">
        <v>0.27138824239858123</v>
      </c>
      <c r="AA51">
        <v>4.5192304210531464</v>
      </c>
      <c r="AB51">
        <v>6.2064818615121E-6</v>
      </c>
      <c r="AC51">
        <v>2.5833473202787382E-3</v>
      </c>
      <c r="AD51" t="s">
        <v>183</v>
      </c>
      <c r="AE51" t="s">
        <v>184</v>
      </c>
      <c r="AF51" t="s">
        <v>185</v>
      </c>
      <c r="AG51" t="s">
        <v>43</v>
      </c>
      <c r="AH51" t="s">
        <v>43</v>
      </c>
      <c r="AI51" t="s">
        <v>43</v>
      </c>
      <c r="AJ51" t="s">
        <v>43</v>
      </c>
      <c r="AK51" t="s">
        <v>43</v>
      </c>
      <c r="AL51" t="s">
        <v>43</v>
      </c>
      <c r="AM51" t="s">
        <v>43</v>
      </c>
      <c r="AN51" t="s">
        <v>43</v>
      </c>
    </row>
    <row r="52" spans="1:40" x14ac:dyDescent="0.3">
      <c r="A52" t="s">
        <v>186</v>
      </c>
      <c r="B52">
        <v>1423</v>
      </c>
      <c r="C52" t="str">
        <f>IF(Y52&lt;0, "Down", "Up")</f>
        <v>Up</v>
      </c>
      <c r="D52" s="7" t="str">
        <f>IF(AC52&lt;0.05, "Sig", "N")</f>
        <v>Sig</v>
      </c>
      <c r="E52" s="1" t="str">
        <f>IF(AND(I52&gt;2,K52&gt;2,M52&gt;2,O52&gt;2),"Y","N")</f>
        <v>Y</v>
      </c>
      <c r="F52" s="1" t="str">
        <f>IF(AND(Q52&gt;2,S52&gt;2,U52&gt;2,W52&gt;2),"Y","N")</f>
        <v>Y</v>
      </c>
      <c r="G52" s="1" t="str">
        <f>IF(OR(E52="Y", F52="Y"), "Expressed", "N")</f>
        <v>Expressed</v>
      </c>
      <c r="H52" s="8">
        <v>293</v>
      </c>
      <c r="I52" s="8">
        <v>5.8995343185390432</v>
      </c>
      <c r="J52" s="8">
        <v>1618</v>
      </c>
      <c r="K52" s="8">
        <v>20.26712138079737</v>
      </c>
      <c r="L52" s="8">
        <v>1049</v>
      </c>
      <c r="M52" s="8">
        <v>17.54497867973512</v>
      </c>
      <c r="N52" s="8">
        <v>715</v>
      </c>
      <c r="O52" s="8">
        <v>6.71987891222558</v>
      </c>
      <c r="P52" s="9">
        <v>7523</v>
      </c>
      <c r="Q52" s="9">
        <v>88.789309623613804</v>
      </c>
      <c r="R52" s="9">
        <v>5289</v>
      </c>
      <c r="S52" s="9">
        <v>94.372612370007516</v>
      </c>
      <c r="T52" s="9">
        <v>2736</v>
      </c>
      <c r="U52" s="9">
        <v>28.836069261219301</v>
      </c>
      <c r="V52" s="9">
        <v>9352</v>
      </c>
      <c r="W52" s="9">
        <v>69.151725712446733</v>
      </c>
      <c r="X52">
        <v>3271.1506343539008</v>
      </c>
      <c r="Y52">
        <v>2.5098245831902481</v>
      </c>
      <c r="Z52">
        <v>0.51403025985647921</v>
      </c>
      <c r="AA52">
        <v>4.8826397572217024</v>
      </c>
      <c r="AB52">
        <v>1.0467499983140811E-6</v>
      </c>
      <c r="AC52">
        <v>6.0646099055519545E-4</v>
      </c>
    </row>
    <row r="53" spans="1:40" x14ac:dyDescent="0.3">
      <c r="A53" t="s">
        <v>193</v>
      </c>
      <c r="B53">
        <v>2293</v>
      </c>
      <c r="C53" t="str">
        <f>IF(Y53&lt;0, "Down", "Up")</f>
        <v>Up</v>
      </c>
      <c r="D53" s="7" t="str">
        <f>IF(AC53&lt;0.05, "Sig", "N")</f>
        <v>Sig</v>
      </c>
      <c r="E53" s="1" t="str">
        <f>IF(AND(I53&gt;2,K53&gt;2,M53&gt;2,O53&gt;2),"Y","N")</f>
        <v>Y</v>
      </c>
      <c r="F53" s="1" t="str">
        <f>IF(AND(Q53&gt;2,S53&gt;2,U53&gt;2,W53&gt;2),"Y","N")</f>
        <v>Y</v>
      </c>
      <c r="G53" s="1" t="str">
        <f>IF(OR(E53="Y", F53="Y"), "Expressed", "N")</f>
        <v>Expressed</v>
      </c>
      <c r="H53" s="8">
        <v>822</v>
      </c>
      <c r="I53" s="8">
        <v>10.2712375691577</v>
      </c>
      <c r="J53" s="8">
        <v>1677</v>
      </c>
      <c r="K53" s="8">
        <v>13.036093273776959</v>
      </c>
      <c r="L53" s="8">
        <v>1322</v>
      </c>
      <c r="M53" s="8">
        <v>13.72175488386539</v>
      </c>
      <c r="N53" s="8">
        <v>1703</v>
      </c>
      <c r="O53" s="8">
        <v>9.9327818868866284</v>
      </c>
      <c r="P53" s="9">
        <v>3672</v>
      </c>
      <c r="Q53" s="9">
        <v>26.895098256125369</v>
      </c>
      <c r="R53" s="9">
        <v>2149</v>
      </c>
      <c r="S53" s="9">
        <v>23.796312903783392</v>
      </c>
      <c r="T53" s="9">
        <v>2538</v>
      </c>
      <c r="U53" s="9">
        <v>16.60016596500455</v>
      </c>
      <c r="V53" s="9">
        <v>4392</v>
      </c>
      <c r="W53" s="9">
        <v>20.154020744191371</v>
      </c>
      <c r="X53">
        <v>2132.6404446454981</v>
      </c>
      <c r="Y53">
        <v>0.91979618079794001</v>
      </c>
      <c r="Z53">
        <v>0.17981037995274021</v>
      </c>
      <c r="AA53">
        <v>5.1153675390691644</v>
      </c>
      <c r="AB53">
        <v>3.1313062815692418E-7</v>
      </c>
      <c r="AC53">
        <v>2.5010712497293788E-4</v>
      </c>
      <c r="AD53" t="s">
        <v>194</v>
      </c>
      <c r="AE53" t="s">
        <v>195</v>
      </c>
      <c r="AF53" t="s">
        <v>196</v>
      </c>
      <c r="AG53" t="s">
        <v>197</v>
      </c>
      <c r="AH53" t="s">
        <v>43</v>
      </c>
      <c r="AI53" t="s">
        <v>43</v>
      </c>
      <c r="AJ53" t="s">
        <v>43</v>
      </c>
      <c r="AK53" t="s">
        <v>43</v>
      </c>
      <c r="AL53" t="s">
        <v>43</v>
      </c>
      <c r="AM53" t="s">
        <v>198</v>
      </c>
      <c r="AN53" t="s">
        <v>43</v>
      </c>
    </row>
    <row r="54" spans="1:40" x14ac:dyDescent="0.3">
      <c r="A54" t="s">
        <v>199</v>
      </c>
      <c r="B54">
        <v>384</v>
      </c>
      <c r="C54" t="str">
        <f>IF(Y54&lt;0, "Down", "Up")</f>
        <v>Up</v>
      </c>
      <c r="D54" s="7" t="str">
        <f>IF(AC54&lt;0.05, "Sig", "N")</f>
        <v>Sig</v>
      </c>
      <c r="E54" s="1" t="str">
        <f>IF(AND(I54&gt;2,K54&gt;2,M54&gt;2,O54&gt;2),"Y","N")</f>
        <v>Y</v>
      </c>
      <c r="F54" s="1" t="str">
        <f>IF(AND(Q54&gt;2,S54&gt;2,U54&gt;2,W54&gt;2),"Y","N")</f>
        <v>Y</v>
      </c>
      <c r="G54" s="1" t="str">
        <f>IF(OR(E54="Y", F54="Y"), "Expressed", "N")</f>
        <v>Expressed</v>
      </c>
      <c r="H54" s="8">
        <v>101</v>
      </c>
      <c r="I54" s="8">
        <v>7.536074115324471</v>
      </c>
      <c r="J54" s="8">
        <v>166</v>
      </c>
      <c r="K54" s="8">
        <v>7.7054022428815037</v>
      </c>
      <c r="L54" s="8">
        <v>144</v>
      </c>
      <c r="M54" s="8">
        <v>8.9251089113190236</v>
      </c>
      <c r="N54" s="8">
        <v>137</v>
      </c>
      <c r="O54" s="8">
        <v>4.7714419937984012</v>
      </c>
      <c r="P54" s="9">
        <v>531</v>
      </c>
      <c r="Q54" s="9">
        <v>23.224042316281359</v>
      </c>
      <c r="R54" s="9">
        <v>269</v>
      </c>
      <c r="S54" s="9">
        <v>17.78682228213335</v>
      </c>
      <c r="T54" s="9">
        <v>286</v>
      </c>
      <c r="U54" s="9">
        <v>11.170167248980141</v>
      </c>
      <c r="V54" s="9">
        <v>730</v>
      </c>
      <c r="W54" s="9">
        <v>20.002996560682359</v>
      </c>
      <c r="X54">
        <v>268.77192746988459</v>
      </c>
      <c r="Y54">
        <v>1.3458675249623651</v>
      </c>
      <c r="Z54">
        <v>0.26429556918502772</v>
      </c>
      <c r="AA54">
        <v>5.0922818309532518</v>
      </c>
      <c r="AB54">
        <v>3.5377969562868791E-7</v>
      </c>
      <c r="AC54">
        <v>2.6368928476510337E-4</v>
      </c>
      <c r="AD54" t="s">
        <v>200</v>
      </c>
      <c r="AE54" t="s">
        <v>201</v>
      </c>
      <c r="AF54" t="s">
        <v>43</v>
      </c>
      <c r="AG54" t="s">
        <v>43</v>
      </c>
      <c r="AH54" t="s">
        <v>43</v>
      </c>
      <c r="AI54" t="s">
        <v>43</v>
      </c>
      <c r="AJ54" t="s">
        <v>43</v>
      </c>
      <c r="AK54" t="s">
        <v>43</v>
      </c>
      <c r="AL54" t="s">
        <v>43</v>
      </c>
      <c r="AM54" t="s">
        <v>43</v>
      </c>
      <c r="AN54" t="s">
        <v>43</v>
      </c>
    </row>
    <row r="55" spans="1:40" x14ac:dyDescent="0.3">
      <c r="A55" t="s">
        <v>202</v>
      </c>
      <c r="B55">
        <v>998</v>
      </c>
      <c r="C55" t="str">
        <f>IF(Y55&lt;0, "Down", "Up")</f>
        <v>Up</v>
      </c>
      <c r="D55" s="7" t="str">
        <f>IF(AC55&lt;0.05, "Sig", "N")</f>
        <v>Sig</v>
      </c>
      <c r="E55" s="1" t="str">
        <f>IF(AND(I55&gt;2,K55&gt;2,M55&gt;2,O55&gt;2),"Y","N")</f>
        <v>Y</v>
      </c>
      <c r="F55" s="1" t="str">
        <f>IF(AND(Q55&gt;2,S55&gt;2,U55&gt;2,W55&gt;2),"Y","N")</f>
        <v>Y</v>
      </c>
      <c r="G55" s="1" t="str">
        <f>IF(OR(E55="Y", F55="Y"), "Expressed", "N")</f>
        <v>Expressed</v>
      </c>
      <c r="H55" s="8">
        <v>248</v>
      </c>
      <c r="I55" s="8">
        <v>7.1199370042121872</v>
      </c>
      <c r="J55" s="8">
        <v>242</v>
      </c>
      <c r="K55" s="8">
        <v>4.3221842457595452</v>
      </c>
      <c r="L55" s="8">
        <v>354</v>
      </c>
      <c r="M55" s="8">
        <v>8.4421871866584741</v>
      </c>
      <c r="N55" s="8">
        <v>360</v>
      </c>
      <c r="O55" s="8">
        <v>4.8242773226942282</v>
      </c>
      <c r="P55" s="9">
        <v>552</v>
      </c>
      <c r="Q55" s="9">
        <v>9.2893013931771762</v>
      </c>
      <c r="R55" s="9">
        <v>527</v>
      </c>
      <c r="S55" s="9">
        <v>13.40779570885549</v>
      </c>
      <c r="T55" s="9">
        <v>983</v>
      </c>
      <c r="U55" s="9">
        <v>14.772290636542429</v>
      </c>
      <c r="V55" s="9">
        <v>911</v>
      </c>
      <c r="W55" s="9">
        <v>9.6048648925853701</v>
      </c>
      <c r="X55">
        <v>497.00138152359648</v>
      </c>
      <c r="Y55">
        <v>0.96694604172168508</v>
      </c>
      <c r="Z55">
        <v>0.25023541088411849</v>
      </c>
      <c r="AA55">
        <v>3.8641455192345582</v>
      </c>
      <c r="AB55">
        <v>1.114787515070217E-4</v>
      </c>
      <c r="AC55">
        <v>2.6663387953731691E-2</v>
      </c>
      <c r="AD55" t="s">
        <v>203</v>
      </c>
      <c r="AE55" t="s">
        <v>204</v>
      </c>
      <c r="AF55" t="s">
        <v>205</v>
      </c>
      <c r="AG55" t="s">
        <v>206</v>
      </c>
      <c r="AH55" t="s">
        <v>43</v>
      </c>
      <c r="AI55" t="s">
        <v>43</v>
      </c>
      <c r="AJ55" t="s">
        <v>43</v>
      </c>
      <c r="AK55" t="s">
        <v>43</v>
      </c>
      <c r="AL55" t="s">
        <v>43</v>
      </c>
      <c r="AM55" t="s">
        <v>207</v>
      </c>
      <c r="AN55" t="s">
        <v>43</v>
      </c>
    </row>
    <row r="56" spans="1:40" x14ac:dyDescent="0.3">
      <c r="A56" t="s">
        <v>215</v>
      </c>
      <c r="B56">
        <v>1182</v>
      </c>
      <c r="C56" t="str">
        <f>IF(Y56&lt;0, "Down", "Up")</f>
        <v>Up</v>
      </c>
      <c r="D56" s="7" t="str">
        <f>IF(AC56&lt;0.05, "Sig", "N")</f>
        <v>Sig</v>
      </c>
      <c r="E56" s="1" t="str">
        <f>IF(AND(I56&gt;2,K56&gt;2,M56&gt;2,O56&gt;2),"Y","N")</f>
        <v>Y</v>
      </c>
      <c r="F56" s="1" t="str">
        <f>IF(AND(Q56&gt;2,S56&gt;2,U56&gt;2,W56&gt;2),"Y","N")</f>
        <v>Y</v>
      </c>
      <c r="G56" s="1" t="str">
        <f>IF(OR(E56="Y", F56="Y"), "Expressed", "N")</f>
        <v>Expressed</v>
      </c>
      <c r="H56" s="8">
        <v>182</v>
      </c>
      <c r="I56" s="8">
        <v>4.4117299741317506</v>
      </c>
      <c r="J56" s="8">
        <v>160</v>
      </c>
      <c r="K56" s="8">
        <v>2.4127979624214602</v>
      </c>
      <c r="L56" s="8">
        <v>205</v>
      </c>
      <c r="M56" s="8">
        <v>4.1277999477053573</v>
      </c>
      <c r="N56" s="8">
        <v>212</v>
      </c>
      <c r="O56" s="8">
        <v>2.3987152162679868</v>
      </c>
      <c r="P56" s="9">
        <v>395</v>
      </c>
      <c r="Q56" s="9">
        <v>5.612471342793433</v>
      </c>
      <c r="R56" s="9">
        <v>309</v>
      </c>
      <c r="S56" s="9">
        <v>6.6377105929362212</v>
      </c>
      <c r="T56" s="9">
        <v>454</v>
      </c>
      <c r="U56" s="9">
        <v>5.7605406195443356</v>
      </c>
      <c r="V56" s="9">
        <v>813</v>
      </c>
      <c r="W56" s="9">
        <v>7.2372986374064707</v>
      </c>
      <c r="X56">
        <v>316.51115603527597</v>
      </c>
      <c r="Y56">
        <v>0.95394442831219273</v>
      </c>
      <c r="Z56">
        <v>0.24302507935576889</v>
      </c>
      <c r="AA56">
        <v>3.925292117344382</v>
      </c>
      <c r="AB56">
        <v>8.6624551586500978E-5</v>
      </c>
      <c r="AC56">
        <v>2.2034260939264728E-2</v>
      </c>
      <c r="AD56" t="s">
        <v>216</v>
      </c>
      <c r="AE56" t="s">
        <v>217</v>
      </c>
      <c r="AF56" t="s">
        <v>218</v>
      </c>
      <c r="AG56" t="s">
        <v>219</v>
      </c>
      <c r="AH56" t="s">
        <v>43</v>
      </c>
      <c r="AI56" t="s">
        <v>43</v>
      </c>
      <c r="AJ56" t="s">
        <v>43</v>
      </c>
      <c r="AK56" t="s">
        <v>43</v>
      </c>
      <c r="AL56" t="s">
        <v>43</v>
      </c>
      <c r="AM56" t="s">
        <v>220</v>
      </c>
      <c r="AN56" t="s">
        <v>43</v>
      </c>
    </row>
    <row r="57" spans="1:40" x14ac:dyDescent="0.3">
      <c r="A57" t="s">
        <v>221</v>
      </c>
      <c r="B57">
        <v>1745</v>
      </c>
      <c r="C57" t="str">
        <f>IF(Y57&lt;0, "Down", "Up")</f>
        <v>Up</v>
      </c>
      <c r="D57" s="7" t="str">
        <f>IF(AC57&lt;0.05, "Sig", "N")</f>
        <v>Sig</v>
      </c>
      <c r="E57" s="1" t="str">
        <f>IF(AND(I57&gt;2,K57&gt;2,M57&gt;2,O57&gt;2),"Y","N")</f>
        <v>Y</v>
      </c>
      <c r="F57" s="1" t="str">
        <f>IF(AND(Q57&gt;2,S57&gt;2,U57&gt;2,W57&gt;2),"Y","N")</f>
        <v>Y</v>
      </c>
      <c r="G57" s="1" t="str">
        <f>IF(OR(E57="Y", F57="Y"), "Expressed", "N")</f>
        <v>Expressed</v>
      </c>
      <c r="H57" s="8">
        <v>824</v>
      </c>
      <c r="I57" s="8">
        <v>13.529657166299801</v>
      </c>
      <c r="J57" s="8">
        <v>908</v>
      </c>
      <c r="K57" s="8">
        <v>9.2748921560050395</v>
      </c>
      <c r="L57" s="8">
        <v>797</v>
      </c>
      <c r="M57" s="8">
        <v>10.87039052885771</v>
      </c>
      <c r="N57" s="8">
        <v>1999</v>
      </c>
      <c r="O57" s="8">
        <v>15.32066683751931</v>
      </c>
      <c r="P57" s="9">
        <v>28636</v>
      </c>
      <c r="Q57" s="9">
        <v>275.60775904824499</v>
      </c>
      <c r="R57" s="9">
        <v>29392</v>
      </c>
      <c r="S57" s="9">
        <v>427.67219718222429</v>
      </c>
      <c r="T57" s="9">
        <v>32057</v>
      </c>
      <c r="U57" s="9">
        <v>275.519481788554</v>
      </c>
      <c r="V57" s="9">
        <v>1761</v>
      </c>
      <c r="W57" s="9">
        <v>10.61860214801654</v>
      </c>
      <c r="X57">
        <v>12656.2704584317</v>
      </c>
      <c r="Y57">
        <v>4.3573487331042884</v>
      </c>
      <c r="Z57">
        <v>0.86439313886820113</v>
      </c>
      <c r="AA57">
        <v>5.0409339653130658</v>
      </c>
      <c r="AB57">
        <v>4.632653152275637E-7</v>
      </c>
      <c r="AC57">
        <v>3.2277507289224809E-4</v>
      </c>
      <c r="AD57" t="s">
        <v>222</v>
      </c>
      <c r="AE57" t="s">
        <v>223</v>
      </c>
      <c r="AF57" t="s">
        <v>224</v>
      </c>
      <c r="AG57" t="s">
        <v>225</v>
      </c>
      <c r="AH57" t="s">
        <v>43</v>
      </c>
      <c r="AI57" t="s">
        <v>43</v>
      </c>
      <c r="AJ57" t="s">
        <v>43</v>
      </c>
      <c r="AK57" t="s">
        <v>43</v>
      </c>
      <c r="AL57" t="s">
        <v>43</v>
      </c>
      <c r="AM57" t="s">
        <v>226</v>
      </c>
      <c r="AN57" t="s">
        <v>43</v>
      </c>
    </row>
    <row r="58" spans="1:40" x14ac:dyDescent="0.3">
      <c r="A58" t="s">
        <v>227</v>
      </c>
      <c r="B58">
        <v>4886</v>
      </c>
      <c r="C58" t="str">
        <f>IF(Y58&lt;0, "Down", "Up")</f>
        <v>Up</v>
      </c>
      <c r="D58" s="7" t="str">
        <f>IF(AC58&lt;0.05, "Sig", "N")</f>
        <v>Sig</v>
      </c>
      <c r="E58" s="1" t="str">
        <f>IF(AND(I58&gt;2,K58&gt;2,M58&gt;2,O58&gt;2),"Y","N")</f>
        <v>Y</v>
      </c>
      <c r="F58" s="1" t="str">
        <f>IF(AND(Q58&gt;2,S58&gt;2,U58&gt;2,W58&gt;2),"Y","N")</f>
        <v>Y</v>
      </c>
      <c r="G58" s="1" t="str">
        <f>IF(OR(E58="Y", F58="Y"), "Expressed", "N")</f>
        <v>Expressed</v>
      </c>
      <c r="H58" s="8">
        <v>1024</v>
      </c>
      <c r="I58" s="8">
        <v>6.0048409059860406</v>
      </c>
      <c r="J58" s="8">
        <v>2266</v>
      </c>
      <c r="K58" s="8">
        <v>8.2665613693783104</v>
      </c>
      <c r="L58" s="8">
        <v>1593</v>
      </c>
      <c r="M58" s="8">
        <v>7.7596935438565717</v>
      </c>
      <c r="N58" s="8">
        <v>1881</v>
      </c>
      <c r="O58" s="8">
        <v>5.1486768958361004</v>
      </c>
      <c r="P58" s="9">
        <v>2891</v>
      </c>
      <c r="Q58" s="9">
        <v>9.9373170560592623</v>
      </c>
      <c r="R58" s="9">
        <v>1999</v>
      </c>
      <c r="S58" s="9">
        <v>10.38811243787506</v>
      </c>
      <c r="T58" s="9">
        <v>3649</v>
      </c>
      <c r="U58" s="9">
        <v>11.200702644022851</v>
      </c>
      <c r="V58" s="9">
        <v>5422</v>
      </c>
      <c r="W58" s="9">
        <v>11.67641373540717</v>
      </c>
      <c r="X58">
        <v>2383.070191768034</v>
      </c>
      <c r="Y58">
        <v>0.69442782814034232</v>
      </c>
      <c r="Z58">
        <v>0.1732882290193915</v>
      </c>
      <c r="AA58">
        <v>4.0073571763644349</v>
      </c>
      <c r="AB58">
        <v>6.1401969607509968E-5</v>
      </c>
      <c r="AC58">
        <v>1.7501995783325119E-2</v>
      </c>
      <c r="AD58" t="s">
        <v>228</v>
      </c>
      <c r="AE58" t="s">
        <v>229</v>
      </c>
      <c r="AF58" t="s">
        <v>230</v>
      </c>
      <c r="AG58" t="s">
        <v>231</v>
      </c>
      <c r="AH58" t="s">
        <v>43</v>
      </c>
      <c r="AI58" t="s">
        <v>43</v>
      </c>
      <c r="AJ58" t="s">
        <v>43</v>
      </c>
      <c r="AK58" t="s">
        <v>43</v>
      </c>
      <c r="AL58" t="s">
        <v>43</v>
      </c>
      <c r="AM58" t="s">
        <v>130</v>
      </c>
      <c r="AN58" t="s">
        <v>43</v>
      </c>
    </row>
    <row r="59" spans="1:40" x14ac:dyDescent="0.3">
      <c r="A59" t="s">
        <v>232</v>
      </c>
      <c r="B59">
        <v>2101</v>
      </c>
      <c r="C59" t="str">
        <f>IF(Y59&lt;0, "Down", "Up")</f>
        <v>Up</v>
      </c>
      <c r="D59" s="7" t="str">
        <f>IF(AC59&lt;0.05, "Sig", "N")</f>
        <v>Sig</v>
      </c>
      <c r="E59" s="1" t="str">
        <f>IF(AND(I59&gt;2,K59&gt;2,M59&gt;2,O59&gt;2),"Y","N")</f>
        <v>Y</v>
      </c>
      <c r="F59" s="1" t="str">
        <f>IF(AND(Q59&gt;2,S59&gt;2,U59&gt;2,W59&gt;2),"Y","N")</f>
        <v>Y</v>
      </c>
      <c r="G59" s="1" t="str">
        <f>IF(OR(E59="Y", F59="Y"), "Expressed", "N")</f>
        <v>Expressed</v>
      </c>
      <c r="H59" s="8">
        <v>196</v>
      </c>
      <c r="I59" s="8">
        <v>2.672914275690411</v>
      </c>
      <c r="J59" s="8">
        <v>597</v>
      </c>
      <c r="K59" s="8">
        <v>5.064851658063283</v>
      </c>
      <c r="L59" s="8">
        <v>184</v>
      </c>
      <c r="M59" s="8">
        <v>2.0843662252041248</v>
      </c>
      <c r="N59" s="8">
        <v>438</v>
      </c>
      <c r="O59" s="8">
        <v>2.7881001115942041</v>
      </c>
      <c r="P59" s="9">
        <v>15993</v>
      </c>
      <c r="Q59" s="9">
        <v>127.8434265142206</v>
      </c>
      <c r="R59" s="9">
        <v>18561</v>
      </c>
      <c r="S59" s="9">
        <v>224.3120624404595</v>
      </c>
      <c r="T59" s="9">
        <v>32522</v>
      </c>
      <c r="U59" s="9">
        <v>232.15394074781489</v>
      </c>
      <c r="V59" s="9">
        <v>566</v>
      </c>
      <c r="W59" s="9">
        <v>2.8346131877742149</v>
      </c>
      <c r="X59">
        <v>8827.2755027108033</v>
      </c>
      <c r="Y59">
        <v>5.5585817416534704</v>
      </c>
      <c r="Z59">
        <v>1.0045256603029431</v>
      </c>
      <c r="AA59">
        <v>5.5335388246599102</v>
      </c>
      <c r="AB59">
        <v>3.138334752424393E-8</v>
      </c>
      <c r="AC59">
        <v>3.3527876271733932E-5</v>
      </c>
      <c r="AD59" t="s">
        <v>233</v>
      </c>
      <c r="AE59" t="s">
        <v>234</v>
      </c>
      <c r="AF59" t="s">
        <v>235</v>
      </c>
      <c r="AG59" t="s">
        <v>236</v>
      </c>
      <c r="AH59" t="s">
        <v>43</v>
      </c>
      <c r="AI59" t="s">
        <v>43</v>
      </c>
      <c r="AJ59" t="s">
        <v>43</v>
      </c>
      <c r="AK59" t="s">
        <v>43</v>
      </c>
      <c r="AL59" t="s">
        <v>43</v>
      </c>
      <c r="AM59" t="s">
        <v>237</v>
      </c>
      <c r="AN59" t="s">
        <v>43</v>
      </c>
    </row>
    <row r="60" spans="1:40" x14ac:dyDescent="0.3">
      <c r="A60" t="s">
        <v>250</v>
      </c>
      <c r="B60">
        <v>2521</v>
      </c>
      <c r="C60" t="str">
        <f>IF(Y60&lt;0, "Down", "Up")</f>
        <v>Up</v>
      </c>
      <c r="D60" s="7" t="str">
        <f>IF(AC60&lt;0.05, "Sig", "N")</f>
        <v>Sig</v>
      </c>
      <c r="E60" s="1" t="str">
        <f>IF(AND(I60&gt;2,K60&gt;2,M60&gt;2,O60&gt;2),"Y","N")</f>
        <v>Y</v>
      </c>
      <c r="F60" s="1" t="str">
        <f>IF(AND(Q60&gt;2,S60&gt;2,U60&gt;2,W60&gt;2),"Y","N")</f>
        <v>Y</v>
      </c>
      <c r="G60" s="1" t="str">
        <f>IF(OR(E60="Y", F60="Y"), "Expressed", "N")</f>
        <v>Expressed</v>
      </c>
      <c r="H60" s="8">
        <v>5024</v>
      </c>
      <c r="I60" s="8">
        <v>57.099433120087561</v>
      </c>
      <c r="J60" s="8">
        <v>9664</v>
      </c>
      <c r="K60" s="8">
        <v>68.328600702722269</v>
      </c>
      <c r="L60" s="8">
        <v>6467</v>
      </c>
      <c r="M60" s="8">
        <v>61.053739869893029</v>
      </c>
      <c r="N60" s="8">
        <v>11576</v>
      </c>
      <c r="O60" s="8">
        <v>61.410972959290149</v>
      </c>
      <c r="P60" s="9">
        <v>27580</v>
      </c>
      <c r="Q60" s="9">
        <v>183.73670914964941</v>
      </c>
      <c r="R60" s="9">
        <v>15260</v>
      </c>
      <c r="S60" s="9">
        <v>153.69473770769599</v>
      </c>
      <c r="T60" s="9">
        <v>26160</v>
      </c>
      <c r="U60" s="9">
        <v>155.62872554402469</v>
      </c>
      <c r="V60" s="9">
        <v>12388</v>
      </c>
      <c r="W60" s="9">
        <v>51.704908693111292</v>
      </c>
      <c r="X60">
        <v>13857.39637446517</v>
      </c>
      <c r="Y60">
        <v>1.1547681296706129</v>
      </c>
      <c r="Z60">
        <v>0.29028798757583463</v>
      </c>
      <c r="AA60">
        <v>3.978008664133724</v>
      </c>
      <c r="AB60">
        <v>6.9494840068828109E-5</v>
      </c>
      <c r="AC60">
        <v>1.856091353504951E-2</v>
      </c>
      <c r="AD60" t="s">
        <v>251</v>
      </c>
      <c r="AE60" t="s">
        <v>252</v>
      </c>
      <c r="AF60" t="s">
        <v>253</v>
      </c>
      <c r="AG60" t="s">
        <v>254</v>
      </c>
      <c r="AH60" t="s">
        <v>43</v>
      </c>
      <c r="AI60" t="s">
        <v>43</v>
      </c>
      <c r="AJ60" t="s">
        <v>43</v>
      </c>
      <c r="AK60" t="s">
        <v>43</v>
      </c>
      <c r="AL60" t="s">
        <v>43</v>
      </c>
      <c r="AM60" t="s">
        <v>255</v>
      </c>
      <c r="AN60" t="s">
        <v>43</v>
      </c>
    </row>
    <row r="61" spans="1:40" x14ac:dyDescent="0.3">
      <c r="A61" t="s">
        <v>256</v>
      </c>
      <c r="B61">
        <v>3058</v>
      </c>
      <c r="C61" t="str">
        <f>IF(Y61&lt;0, "Down", "Up")</f>
        <v>Up</v>
      </c>
      <c r="D61" s="7" t="str">
        <f>IF(AC61&lt;0.05, "Sig", "N")</f>
        <v>Sig</v>
      </c>
      <c r="E61" s="1" t="str">
        <f>IF(AND(I61&gt;2,K61&gt;2,M61&gt;2,O61&gt;2),"Y","N")</f>
        <v>N</v>
      </c>
      <c r="F61" s="1" t="str">
        <f>IF(AND(Q61&gt;2,S61&gt;2,U61&gt;2,W61&gt;2),"Y","N")</f>
        <v>Y</v>
      </c>
      <c r="G61" s="1" t="str">
        <f>IF(OR(E61="Y", F61="Y"), "Expressed", "N")</f>
        <v>Expressed</v>
      </c>
      <c r="H61" s="8">
        <v>110</v>
      </c>
      <c r="I61" s="8">
        <v>1.03064764594508</v>
      </c>
      <c r="J61" s="8">
        <v>360</v>
      </c>
      <c r="K61" s="8">
        <v>2.0983767760169632</v>
      </c>
      <c r="L61" s="8">
        <v>280</v>
      </c>
      <c r="M61" s="8">
        <v>2.1792286855629621</v>
      </c>
      <c r="N61" s="8">
        <v>268</v>
      </c>
      <c r="O61" s="8">
        <v>1.1720809805220269</v>
      </c>
      <c r="P61" s="9">
        <v>1390</v>
      </c>
      <c r="Q61" s="9">
        <v>7.633994392614313</v>
      </c>
      <c r="R61" s="9">
        <v>822</v>
      </c>
      <c r="S61" s="9">
        <v>6.8251412951960102</v>
      </c>
      <c r="T61" s="9">
        <v>896</v>
      </c>
      <c r="U61" s="9">
        <v>4.3943575996390329</v>
      </c>
      <c r="V61" s="9">
        <v>780</v>
      </c>
      <c r="W61" s="9">
        <v>2.6838642544843441</v>
      </c>
      <c r="X61">
        <v>593.14549409042161</v>
      </c>
      <c r="Y61">
        <v>1.7598796967678509</v>
      </c>
      <c r="Z61">
        <v>0.32099593480360639</v>
      </c>
      <c r="AA61">
        <v>5.4825606992331259</v>
      </c>
      <c r="AB61">
        <v>4.1921309388418801E-8</v>
      </c>
      <c r="AC61">
        <v>4.1986811434338213E-5</v>
      </c>
    </row>
    <row r="62" spans="1:40" x14ac:dyDescent="0.3">
      <c r="A62" t="s">
        <v>257</v>
      </c>
      <c r="B62">
        <v>2772</v>
      </c>
      <c r="C62" t="str">
        <f>IF(Y62&lt;0, "Down", "Up")</f>
        <v>Up</v>
      </c>
      <c r="D62" s="7" t="str">
        <f>IF(AC62&lt;0.05, "Sig", "N")</f>
        <v>Sig</v>
      </c>
      <c r="E62" s="1" t="str">
        <f>IF(AND(I62&gt;2,K62&gt;2,M62&gt;2,O62&gt;2),"Y","N")</f>
        <v>Y</v>
      </c>
      <c r="F62" s="1" t="str">
        <f>IF(AND(Q62&gt;2,S62&gt;2,U62&gt;2,W62&gt;2),"Y","N")</f>
        <v>Y</v>
      </c>
      <c r="G62" s="1" t="str">
        <f>IF(OR(E62="Y", F62="Y"), "Expressed", "N")</f>
        <v>Expressed</v>
      </c>
      <c r="H62" s="8">
        <v>339</v>
      </c>
      <c r="I62" s="8">
        <v>3.5039789123072249</v>
      </c>
      <c r="J62" s="8">
        <v>594</v>
      </c>
      <c r="K62" s="8">
        <v>3.8195453458689719</v>
      </c>
      <c r="L62" s="8">
        <v>521</v>
      </c>
      <c r="M62" s="8">
        <v>4.4732869098578272</v>
      </c>
      <c r="N62" s="8">
        <v>712</v>
      </c>
      <c r="O62" s="8">
        <v>3.4351608173508641</v>
      </c>
      <c r="P62" s="9">
        <v>1410</v>
      </c>
      <c r="Q62" s="9">
        <v>8.542803248877922</v>
      </c>
      <c r="R62" s="9">
        <v>1000</v>
      </c>
      <c r="S62" s="9">
        <v>9.1597597809470273</v>
      </c>
      <c r="T62" s="9">
        <v>1172</v>
      </c>
      <c r="U62" s="9">
        <v>6.3410218948589474</v>
      </c>
      <c r="V62" s="9">
        <v>2113</v>
      </c>
      <c r="W62" s="9">
        <v>8.0206524073243095</v>
      </c>
      <c r="X62">
        <v>908.47735885378825</v>
      </c>
      <c r="Y62">
        <v>1.098880774506817</v>
      </c>
      <c r="Z62">
        <v>0.16070480551443631</v>
      </c>
      <c r="AA62">
        <v>6.837883727180162</v>
      </c>
      <c r="AB62">
        <v>8.0371585296778413E-12</v>
      </c>
      <c r="AC62">
        <v>2.5759093087617481E-8</v>
      </c>
      <c r="AD62" t="s">
        <v>258</v>
      </c>
      <c r="AE62" t="s">
        <v>259</v>
      </c>
      <c r="AF62" t="s">
        <v>260</v>
      </c>
      <c r="AG62" t="s">
        <v>261</v>
      </c>
      <c r="AH62" t="s">
        <v>43</v>
      </c>
      <c r="AI62" t="s">
        <v>43</v>
      </c>
      <c r="AJ62" t="s">
        <v>43</v>
      </c>
      <c r="AK62" t="s">
        <v>43</v>
      </c>
      <c r="AL62" t="s">
        <v>43</v>
      </c>
      <c r="AM62" t="s">
        <v>262</v>
      </c>
      <c r="AN62" t="s">
        <v>43</v>
      </c>
    </row>
    <row r="63" spans="1:40" x14ac:dyDescent="0.3">
      <c r="A63" t="s">
        <v>263</v>
      </c>
      <c r="B63">
        <v>4683</v>
      </c>
      <c r="C63" t="str">
        <f>IF(Y63&lt;0, "Down", "Up")</f>
        <v>Up</v>
      </c>
      <c r="D63" s="7" t="str">
        <f>IF(AC63&lt;0.05, "Sig", "N")</f>
        <v>Sig</v>
      </c>
      <c r="E63" s="1" t="str">
        <f>IF(AND(I63&gt;2,K63&gt;2,M63&gt;2,O63&gt;2),"Y","N")</f>
        <v>Y</v>
      </c>
      <c r="F63" s="1" t="str">
        <f>IF(AND(Q63&gt;2,S63&gt;2,U63&gt;2,W63&gt;2),"Y","N")</f>
        <v>Y</v>
      </c>
      <c r="G63" s="1" t="str">
        <f>IF(OR(E63="Y", F63="Y"), "Expressed", "N")</f>
        <v>Expressed</v>
      </c>
      <c r="H63" s="8">
        <v>646</v>
      </c>
      <c r="I63" s="8">
        <v>3.9524225803968629</v>
      </c>
      <c r="J63" s="8">
        <v>846</v>
      </c>
      <c r="K63" s="8">
        <v>3.220065134633932</v>
      </c>
      <c r="L63" s="8">
        <v>1208</v>
      </c>
      <c r="M63" s="8">
        <v>6.1393873242926214</v>
      </c>
      <c r="N63" s="8">
        <v>974</v>
      </c>
      <c r="O63" s="8">
        <v>2.781602735710472</v>
      </c>
      <c r="P63" s="9">
        <v>4443</v>
      </c>
      <c r="Q63" s="9">
        <v>15.93406824472515</v>
      </c>
      <c r="R63" s="9">
        <v>2733</v>
      </c>
      <c r="S63" s="9">
        <v>14.81810896652612</v>
      </c>
      <c r="T63" s="9">
        <v>3531</v>
      </c>
      <c r="U63" s="9">
        <v>11.308328781503381</v>
      </c>
      <c r="V63" s="9">
        <v>1731</v>
      </c>
      <c r="W63" s="9">
        <v>3.8893438013543031</v>
      </c>
      <c r="X63">
        <v>2010.768981830352</v>
      </c>
      <c r="Y63">
        <v>1.546979813255861</v>
      </c>
      <c r="Z63">
        <v>0.3445195349632636</v>
      </c>
      <c r="AA63">
        <v>4.4902528195413254</v>
      </c>
      <c r="AB63">
        <v>7.1138685766934956E-6</v>
      </c>
      <c r="AC63">
        <v>2.886069466873753E-3</v>
      </c>
      <c r="AD63" t="s">
        <v>264</v>
      </c>
      <c r="AE63" t="s">
        <v>265</v>
      </c>
      <c r="AF63" t="s">
        <v>43</v>
      </c>
      <c r="AG63" t="s">
        <v>266</v>
      </c>
      <c r="AH63" t="s">
        <v>43</v>
      </c>
      <c r="AI63" t="s">
        <v>43</v>
      </c>
      <c r="AJ63" t="s">
        <v>43</v>
      </c>
      <c r="AK63" t="s">
        <v>43</v>
      </c>
      <c r="AL63" t="s">
        <v>43</v>
      </c>
      <c r="AM63" t="s">
        <v>267</v>
      </c>
      <c r="AN63" t="s">
        <v>43</v>
      </c>
    </row>
    <row r="64" spans="1:40" x14ac:dyDescent="0.3">
      <c r="A64" t="s">
        <v>268</v>
      </c>
      <c r="B64">
        <v>1996</v>
      </c>
      <c r="C64" t="str">
        <f>IF(Y64&lt;0, "Down", "Up")</f>
        <v>Up</v>
      </c>
      <c r="D64" s="7" t="str">
        <f>IF(AC64&lt;0.05, "Sig", "N")</f>
        <v>Sig</v>
      </c>
      <c r="E64" s="1" t="str">
        <f>IF(AND(I64&gt;2,K64&gt;2,M64&gt;2,O64&gt;2),"Y","N")</f>
        <v>Y</v>
      </c>
      <c r="F64" s="1" t="str">
        <f>IF(AND(Q64&gt;2,S64&gt;2,U64&gt;2,W64&gt;2),"Y","N")</f>
        <v>Y</v>
      </c>
      <c r="G64" s="1" t="str">
        <f>IF(OR(E64="Y", F64="Y"), "Expressed", "N")</f>
        <v>Expressed</v>
      </c>
      <c r="H64" s="8">
        <v>496</v>
      </c>
      <c r="I64" s="8">
        <v>7.1199370042121872</v>
      </c>
      <c r="J64" s="8">
        <v>1000</v>
      </c>
      <c r="K64" s="8">
        <v>8.9301327391726151</v>
      </c>
      <c r="L64" s="8">
        <v>753</v>
      </c>
      <c r="M64" s="8">
        <v>8.9787668807257504</v>
      </c>
      <c r="N64" s="8">
        <v>1182</v>
      </c>
      <c r="O64" s="8">
        <v>7.9198552714230246</v>
      </c>
      <c r="P64" s="9">
        <v>1353</v>
      </c>
      <c r="Q64" s="9">
        <v>11.3844427400079</v>
      </c>
      <c r="R64" s="9">
        <v>1007</v>
      </c>
      <c r="S64" s="9">
        <v>12.8099148755384</v>
      </c>
      <c r="T64" s="9">
        <v>1498</v>
      </c>
      <c r="U64" s="9">
        <v>11.255794187965691</v>
      </c>
      <c r="V64" s="9">
        <v>2085</v>
      </c>
      <c r="W64" s="9">
        <v>10.991297091679749</v>
      </c>
      <c r="X64">
        <v>1097.4783813425599</v>
      </c>
      <c r="Y64">
        <v>0.51818084634869699</v>
      </c>
      <c r="Z64">
        <v>0.1359412578164983</v>
      </c>
      <c r="AA64">
        <v>3.8117997043117602</v>
      </c>
      <c r="AB64">
        <v>1.379586495004611E-4</v>
      </c>
      <c r="AC64">
        <v>3.1076848224338718E-2</v>
      </c>
      <c r="AD64" t="s">
        <v>269</v>
      </c>
      <c r="AE64" t="s">
        <v>270</v>
      </c>
      <c r="AF64" t="s">
        <v>271</v>
      </c>
      <c r="AG64" t="s">
        <v>272</v>
      </c>
      <c r="AH64" t="s">
        <v>43</v>
      </c>
      <c r="AI64" t="s">
        <v>43</v>
      </c>
      <c r="AJ64" t="s">
        <v>43</v>
      </c>
      <c r="AK64" t="s">
        <v>43</v>
      </c>
      <c r="AL64" t="s">
        <v>43</v>
      </c>
      <c r="AM64" t="s">
        <v>273</v>
      </c>
      <c r="AN64" t="s">
        <v>43</v>
      </c>
    </row>
    <row r="65" spans="1:40" x14ac:dyDescent="0.3">
      <c r="A65" t="s">
        <v>274</v>
      </c>
      <c r="B65">
        <v>1196</v>
      </c>
      <c r="C65" t="str">
        <f>IF(Y65&lt;0, "Down", "Up")</f>
        <v>Up</v>
      </c>
      <c r="D65" s="7" t="str">
        <f>IF(AC65&lt;0.05, "Sig", "N")</f>
        <v>Sig</v>
      </c>
      <c r="E65" s="1" t="str">
        <f>IF(AND(I65&gt;2,K65&gt;2,M65&gt;2,O65&gt;2),"Y","N")</f>
        <v>Y</v>
      </c>
      <c r="F65" s="1" t="str">
        <f>IF(AND(Q65&gt;2,S65&gt;2,U65&gt;2,W65&gt;2),"Y","N")</f>
        <v>Y</v>
      </c>
      <c r="G65" s="1" t="str">
        <f>IF(OR(E65="Y", F65="Y"), "Expressed", "N")</f>
        <v>Expressed</v>
      </c>
      <c r="H65" s="8">
        <v>953</v>
      </c>
      <c r="I65" s="8">
        <v>22.830568848730259</v>
      </c>
      <c r="J65" s="8">
        <v>937</v>
      </c>
      <c r="K65" s="8">
        <v>13.964547337544371</v>
      </c>
      <c r="L65" s="8">
        <v>842</v>
      </c>
      <c r="M65" s="8">
        <v>16.755722861383759</v>
      </c>
      <c r="N65" s="8">
        <v>1803</v>
      </c>
      <c r="O65" s="8">
        <v>20.16159343364934</v>
      </c>
      <c r="P65" s="9">
        <v>1736</v>
      </c>
      <c r="Q65" s="9">
        <v>24.3777185487229</v>
      </c>
      <c r="R65" s="9">
        <v>1740</v>
      </c>
      <c r="S65" s="9">
        <v>36.939871368098807</v>
      </c>
      <c r="T65" s="9">
        <v>2579</v>
      </c>
      <c r="U65" s="9">
        <v>32.340373367770177</v>
      </c>
      <c r="V65" s="9">
        <v>5594</v>
      </c>
      <c r="W65" s="9">
        <v>49.214684679543147</v>
      </c>
      <c r="X65">
        <v>1801.7073721815991</v>
      </c>
      <c r="Y65">
        <v>0.97508219386987971</v>
      </c>
      <c r="Z65">
        <v>0.237771406751346</v>
      </c>
      <c r="AA65">
        <v>4.1009228451492934</v>
      </c>
      <c r="AB65">
        <v>4.1150575759231027E-5</v>
      </c>
      <c r="AC65">
        <v>1.293015640277799E-2</v>
      </c>
      <c r="AD65" t="s">
        <v>275</v>
      </c>
      <c r="AE65" t="s">
        <v>276</v>
      </c>
      <c r="AF65" t="s">
        <v>277</v>
      </c>
      <c r="AG65" t="s">
        <v>278</v>
      </c>
      <c r="AH65" t="s">
        <v>43</v>
      </c>
      <c r="AI65" t="s">
        <v>43</v>
      </c>
      <c r="AJ65" t="s">
        <v>43</v>
      </c>
      <c r="AK65" t="s">
        <v>43</v>
      </c>
      <c r="AL65" t="s">
        <v>43</v>
      </c>
      <c r="AM65" t="s">
        <v>279</v>
      </c>
      <c r="AN65" t="s">
        <v>43</v>
      </c>
    </row>
    <row r="66" spans="1:40" x14ac:dyDescent="0.3">
      <c r="A66" t="s">
        <v>292</v>
      </c>
      <c r="B66">
        <v>4754</v>
      </c>
      <c r="C66" t="str">
        <f>IF(Y66&lt;0, "Down", "Up")</f>
        <v>Up</v>
      </c>
      <c r="D66" s="7" t="str">
        <f>IF(AC66&lt;0.05, "Sig", "N")</f>
        <v>Sig</v>
      </c>
      <c r="E66" s="1" t="str">
        <f>IF(AND(I66&gt;2,K66&gt;2,M66&gt;2,O66&gt;2),"Y","N")</f>
        <v>Y</v>
      </c>
      <c r="F66" s="1" t="str">
        <f>IF(AND(Q66&gt;2,S66&gt;2,U66&gt;2,W66&gt;2),"Y","N")</f>
        <v>Y</v>
      </c>
      <c r="G66" s="1" t="str">
        <f>IF(OR(E66="Y", F66="Y"), "Expressed", "N")</f>
        <v>Expressed</v>
      </c>
      <c r="H66" s="8">
        <v>3454</v>
      </c>
      <c r="I66" s="8">
        <v>20.81700120757715</v>
      </c>
      <c r="J66" s="8">
        <v>6363</v>
      </c>
      <c r="K66" s="8">
        <v>23.857294804424331</v>
      </c>
      <c r="L66" s="8">
        <v>6244</v>
      </c>
      <c r="M66" s="8">
        <v>31.259784065222821</v>
      </c>
      <c r="N66" s="8">
        <v>5438</v>
      </c>
      <c r="O66" s="8">
        <v>15.298199902216609</v>
      </c>
      <c r="P66" s="9">
        <v>18362</v>
      </c>
      <c r="Q66" s="9">
        <v>64.86871920105277</v>
      </c>
      <c r="R66" s="9">
        <v>11858</v>
      </c>
      <c r="S66" s="9">
        <v>63.332929757973581</v>
      </c>
      <c r="T66" s="9">
        <v>24413</v>
      </c>
      <c r="U66" s="9">
        <v>77.017043086978077</v>
      </c>
      <c r="V66" s="9">
        <v>8777</v>
      </c>
      <c r="W66" s="9">
        <v>19.42631137217797</v>
      </c>
      <c r="X66">
        <v>10412.00631575875</v>
      </c>
      <c r="Y66">
        <v>1.3320834760905</v>
      </c>
      <c r="Z66">
        <v>0.32709275679378907</v>
      </c>
      <c r="AA66">
        <v>4.0724945704936308</v>
      </c>
      <c r="AB66">
        <v>4.6512284768448667E-5</v>
      </c>
      <c r="AC66">
        <v>1.4197321207893141E-2</v>
      </c>
      <c r="AD66" t="s">
        <v>293</v>
      </c>
      <c r="AE66" t="s">
        <v>294</v>
      </c>
      <c r="AF66" t="s">
        <v>295</v>
      </c>
      <c r="AG66" t="s">
        <v>296</v>
      </c>
      <c r="AH66" t="s">
        <v>43</v>
      </c>
      <c r="AI66" t="s">
        <v>43</v>
      </c>
      <c r="AJ66" t="s">
        <v>43</v>
      </c>
      <c r="AK66" t="s">
        <v>43</v>
      </c>
      <c r="AL66" t="s">
        <v>43</v>
      </c>
      <c r="AM66" t="s">
        <v>297</v>
      </c>
      <c r="AN66" t="s">
        <v>43</v>
      </c>
    </row>
    <row r="67" spans="1:40" x14ac:dyDescent="0.3">
      <c r="A67" t="s">
        <v>310</v>
      </c>
      <c r="B67">
        <v>1219</v>
      </c>
      <c r="C67" t="str">
        <f>IF(Y67&lt;0, "Down", "Up")</f>
        <v>Up</v>
      </c>
      <c r="D67" s="7" t="str">
        <f>IF(AC67&lt;0.05, "Sig", "N")</f>
        <v>Sig</v>
      </c>
      <c r="E67" s="1" t="str">
        <f>IF(AND(I67&gt;2,K67&gt;2,M67&gt;2,O67&gt;2),"Y","N")</f>
        <v>Y</v>
      </c>
      <c r="F67" s="1" t="str">
        <f>IF(AND(Q67&gt;2,S67&gt;2,U67&gt;2,W67&gt;2),"Y","N")</f>
        <v>Y</v>
      </c>
      <c r="G67" s="1" t="str">
        <f>IF(OR(E67="Y", F67="Y"), "Expressed", "N")</f>
        <v>Expressed</v>
      </c>
      <c r="H67" s="8">
        <v>242</v>
      </c>
      <c r="I67" s="8">
        <v>5.6880927833142927</v>
      </c>
      <c r="J67" s="8">
        <v>585</v>
      </c>
      <c r="K67" s="8">
        <v>8.5540269025613576</v>
      </c>
      <c r="L67" s="8">
        <v>268</v>
      </c>
      <c r="M67" s="8">
        <v>5.2325494957254541</v>
      </c>
      <c r="N67" s="8">
        <v>680</v>
      </c>
      <c r="O67" s="8">
        <v>7.4604583954817496</v>
      </c>
      <c r="P67" s="9">
        <v>3720</v>
      </c>
      <c r="Q67" s="9">
        <v>51.252346274943022</v>
      </c>
      <c r="R67" s="9">
        <v>4120</v>
      </c>
      <c r="S67" s="9">
        <v>85.816504466509315</v>
      </c>
      <c r="T67" s="9">
        <v>6790</v>
      </c>
      <c r="U67" s="9">
        <v>83.539319969655452</v>
      </c>
      <c r="V67" s="9">
        <v>567</v>
      </c>
      <c r="W67" s="9">
        <v>4.8942120030614014</v>
      </c>
      <c r="X67">
        <v>2151.3954096132702</v>
      </c>
      <c r="Y67">
        <v>3.087327449522693</v>
      </c>
      <c r="Z67">
        <v>0.75652677526967427</v>
      </c>
      <c r="AA67">
        <v>4.0809229103916023</v>
      </c>
      <c r="AB67">
        <v>4.4857231979191798E-5</v>
      </c>
      <c r="AC67">
        <v>1.395800276634075E-2</v>
      </c>
      <c r="AD67" t="s">
        <v>311</v>
      </c>
      <c r="AE67" t="s">
        <v>312</v>
      </c>
      <c r="AF67" t="s">
        <v>313</v>
      </c>
      <c r="AG67" t="s">
        <v>314</v>
      </c>
      <c r="AH67" t="s">
        <v>43</v>
      </c>
      <c r="AI67" t="s">
        <v>43</v>
      </c>
      <c r="AJ67" t="s">
        <v>43</v>
      </c>
      <c r="AK67" t="s">
        <v>43</v>
      </c>
      <c r="AL67" t="s">
        <v>43</v>
      </c>
      <c r="AM67" t="s">
        <v>315</v>
      </c>
      <c r="AN67" t="s">
        <v>43</v>
      </c>
    </row>
    <row r="68" spans="1:40" x14ac:dyDescent="0.3">
      <c r="A68" t="s">
        <v>316</v>
      </c>
      <c r="B68">
        <v>1090</v>
      </c>
      <c r="C68" t="str">
        <f>IF(Y68&lt;0, "Down", "Up")</f>
        <v>Up</v>
      </c>
      <c r="D68" s="7" t="str">
        <f>IF(AC68&lt;0.05, "Sig", "N")</f>
        <v>Sig</v>
      </c>
      <c r="E68" s="1" t="str">
        <f>IF(AND(I68&gt;2,K68&gt;2,M68&gt;2,O68&gt;2),"Y","N")</f>
        <v>Y</v>
      </c>
      <c r="F68" s="1" t="str">
        <f>IF(AND(Q68&gt;2,S68&gt;2,U68&gt;2,W68&gt;2),"Y","N")</f>
        <v>Y</v>
      </c>
      <c r="G68" s="1" t="str">
        <f>IF(OR(E68="Y", F68="Y"), "Expressed", "N")</f>
        <v>Expressed</v>
      </c>
      <c r="H68" s="8">
        <v>232</v>
      </c>
      <c r="I68" s="8">
        <v>6.0984083094379731</v>
      </c>
      <c r="J68" s="8">
        <v>277</v>
      </c>
      <c r="K68" s="8">
        <v>4.529723807730849</v>
      </c>
      <c r="L68" s="8">
        <v>217</v>
      </c>
      <c r="M68" s="8">
        <v>4.7382229572017813</v>
      </c>
      <c r="N68" s="8">
        <v>659</v>
      </c>
      <c r="O68" s="8">
        <v>8.0857297608159673</v>
      </c>
      <c r="P68" s="9">
        <v>688</v>
      </c>
      <c r="Q68" s="9">
        <v>10.600746708863319</v>
      </c>
      <c r="R68" s="9">
        <v>414</v>
      </c>
      <c r="S68" s="9">
        <v>9.6438656905440876</v>
      </c>
      <c r="T68" s="9">
        <v>809</v>
      </c>
      <c r="U68" s="9">
        <v>11.131325710204569</v>
      </c>
      <c r="V68" s="9">
        <v>1084</v>
      </c>
      <c r="W68" s="9">
        <v>10.46420426839688</v>
      </c>
      <c r="X68">
        <v>494.11007763148308</v>
      </c>
      <c r="Y68">
        <v>0.85019631117154948</v>
      </c>
      <c r="Z68">
        <v>0.21366184686871639</v>
      </c>
      <c r="AA68">
        <v>3.9791676596989678</v>
      </c>
      <c r="AB68">
        <v>6.9156959700755578E-5</v>
      </c>
      <c r="AC68">
        <v>1.856091353504951E-2</v>
      </c>
      <c r="AD68" t="s">
        <v>317</v>
      </c>
      <c r="AE68" t="s">
        <v>318</v>
      </c>
      <c r="AF68" t="s">
        <v>319</v>
      </c>
      <c r="AG68" t="s">
        <v>320</v>
      </c>
      <c r="AH68" t="s">
        <v>43</v>
      </c>
      <c r="AI68" t="s">
        <v>43</v>
      </c>
      <c r="AJ68" t="s">
        <v>43</v>
      </c>
      <c r="AK68" t="s">
        <v>43</v>
      </c>
      <c r="AL68" t="s">
        <v>43</v>
      </c>
      <c r="AM68" t="s">
        <v>321</v>
      </c>
      <c r="AN68" t="s">
        <v>322</v>
      </c>
    </row>
    <row r="69" spans="1:40" x14ac:dyDescent="0.3">
      <c r="A69" t="s">
        <v>323</v>
      </c>
      <c r="B69">
        <v>2685</v>
      </c>
      <c r="C69" t="str">
        <f>IF(Y69&lt;0, "Down", "Up")</f>
        <v>Up</v>
      </c>
      <c r="D69" s="7" t="str">
        <f>IF(AC69&lt;0.05, "Sig", "N")</f>
        <v>Sig</v>
      </c>
      <c r="E69" s="1" t="str">
        <f>IF(AND(I69&gt;2,K69&gt;2,M69&gt;2,O69&gt;2),"Y","N")</f>
        <v>Y</v>
      </c>
      <c r="F69" s="1" t="str">
        <f>IF(AND(Q69&gt;2,S69&gt;2,U69&gt;2,W69&gt;2),"Y","N")</f>
        <v>Y</v>
      </c>
      <c r="G69" s="1" t="str">
        <f>IF(OR(E69="Y", F69="Y"), "Expressed", "N")</f>
        <v>Expressed</v>
      </c>
      <c r="H69" s="8">
        <v>681</v>
      </c>
      <c r="I69" s="8">
        <v>7.2670447312860613</v>
      </c>
      <c r="J69" s="8">
        <v>1250</v>
      </c>
      <c r="K69" s="8">
        <v>8.298205282769338</v>
      </c>
      <c r="L69" s="8">
        <v>904</v>
      </c>
      <c r="M69" s="8">
        <v>8.0132076532165328</v>
      </c>
      <c r="N69" s="8">
        <v>1601</v>
      </c>
      <c r="O69" s="8">
        <v>7.9745713404160892</v>
      </c>
      <c r="P69" s="9">
        <v>2534</v>
      </c>
      <c r="Q69" s="9">
        <v>15.85027632772673</v>
      </c>
      <c r="R69" s="9">
        <v>1351</v>
      </c>
      <c r="S69" s="9">
        <v>12.77580778635857</v>
      </c>
      <c r="T69" s="9">
        <v>1888</v>
      </c>
      <c r="U69" s="9">
        <v>10.54587372761471</v>
      </c>
      <c r="V69" s="9">
        <v>4574</v>
      </c>
      <c r="W69" s="9">
        <v>17.92484028832299</v>
      </c>
      <c r="X69">
        <v>1648.58421740465</v>
      </c>
      <c r="Y69">
        <v>0.87508426934528305</v>
      </c>
      <c r="Z69">
        <v>0.1773855678105056</v>
      </c>
      <c r="AA69">
        <v>4.9332326194659926</v>
      </c>
      <c r="AB69">
        <v>8.0879734551817536E-7</v>
      </c>
      <c r="AC69">
        <v>4.8909348912938718E-4</v>
      </c>
      <c r="AD69" t="s">
        <v>324</v>
      </c>
      <c r="AE69" t="s">
        <v>325</v>
      </c>
      <c r="AF69" t="s">
        <v>326</v>
      </c>
      <c r="AG69" t="s">
        <v>327</v>
      </c>
      <c r="AH69" t="s">
        <v>43</v>
      </c>
      <c r="AI69" t="s">
        <v>43</v>
      </c>
      <c r="AJ69" t="s">
        <v>43</v>
      </c>
      <c r="AK69" t="s">
        <v>43</v>
      </c>
      <c r="AL69" t="s">
        <v>43</v>
      </c>
      <c r="AM69" t="s">
        <v>328</v>
      </c>
      <c r="AN69" t="s">
        <v>43</v>
      </c>
    </row>
    <row r="70" spans="1:40" x14ac:dyDescent="0.3">
      <c r="A70" t="s">
        <v>329</v>
      </c>
      <c r="B70">
        <v>1968</v>
      </c>
      <c r="C70" t="str">
        <f>IF(Y70&lt;0, "Down", "Up")</f>
        <v>Up</v>
      </c>
      <c r="D70" s="7" t="str">
        <f>IF(AC70&lt;0.05, "Sig", "N")</f>
        <v>Sig</v>
      </c>
      <c r="E70" s="1" t="str">
        <f>IF(AND(I70&gt;2,K70&gt;2,M70&gt;2,O70&gt;2),"Y","N")</f>
        <v>N</v>
      </c>
      <c r="F70" s="1" t="str">
        <f>IF(AND(Q70&gt;2,S70&gt;2,U70&gt;2,W70&gt;2),"Y","N")</f>
        <v>Y</v>
      </c>
      <c r="G70" s="1" t="str">
        <f>IF(OR(E70="Y", F70="Y"), "Expressed", "N")</f>
        <v>Expressed</v>
      </c>
      <c r="H70" s="8">
        <v>44</v>
      </c>
      <c r="I70" s="8">
        <v>0.64059359782521463</v>
      </c>
      <c r="J70" s="8">
        <v>73</v>
      </c>
      <c r="K70" s="8">
        <v>0.66117468554845693</v>
      </c>
      <c r="L70" s="8">
        <v>74</v>
      </c>
      <c r="M70" s="8">
        <v>0.89492961983415675</v>
      </c>
      <c r="N70" s="8">
        <v>51</v>
      </c>
      <c r="O70" s="8">
        <v>0.34658150854010111</v>
      </c>
      <c r="P70" s="9">
        <v>2309</v>
      </c>
      <c r="Q70" s="9">
        <v>19.70486011971656</v>
      </c>
      <c r="R70" s="9">
        <v>3364</v>
      </c>
      <c r="S70" s="9">
        <v>43.401846156203902</v>
      </c>
      <c r="T70" s="9">
        <v>6699</v>
      </c>
      <c r="U70" s="9">
        <v>51.051646188584662</v>
      </c>
      <c r="V70" s="9">
        <v>878</v>
      </c>
      <c r="W70" s="9">
        <v>4.6943216786579649</v>
      </c>
      <c r="X70">
        <v>1675.8478834075829</v>
      </c>
      <c r="Y70">
        <v>5.5885689763564841</v>
      </c>
      <c r="Z70">
        <v>0.70909024520875596</v>
      </c>
      <c r="AA70">
        <v>7.881322601908324</v>
      </c>
      <c r="AB70">
        <v>3.239337696006829E-15</v>
      </c>
      <c r="AC70">
        <v>2.0764154631403769E-11</v>
      </c>
    </row>
    <row r="71" spans="1:40" x14ac:dyDescent="0.3">
      <c r="A71" t="s">
        <v>330</v>
      </c>
      <c r="B71">
        <v>1330</v>
      </c>
      <c r="C71" t="str">
        <f>IF(Y71&lt;0, "Down", "Up")</f>
        <v>Up</v>
      </c>
      <c r="D71" s="7" t="str">
        <f>IF(AC71&lt;0.05, "Sig", "N")</f>
        <v>Sig</v>
      </c>
      <c r="E71" s="1" t="str">
        <f>IF(AND(I71&gt;2,K71&gt;2,M71&gt;2,O71&gt;2),"Y","N")</f>
        <v>Y</v>
      </c>
      <c r="F71" s="1" t="str">
        <f>IF(AND(Q71&gt;2,S71&gt;2,U71&gt;2,W71&gt;2),"Y","N")</f>
        <v>Y</v>
      </c>
      <c r="G71" s="1" t="str">
        <f>IF(OR(E71="Y", F71="Y"), "Expressed", "N")</f>
        <v>Expressed</v>
      </c>
      <c r="H71" s="8">
        <v>179</v>
      </c>
      <c r="I71" s="8">
        <v>3.8561720419187289</v>
      </c>
      <c r="J71" s="8">
        <v>178</v>
      </c>
      <c r="K71" s="8">
        <v>2.3855406019813228</v>
      </c>
      <c r="L71" s="8">
        <v>176</v>
      </c>
      <c r="M71" s="8">
        <v>3.1495121170769891</v>
      </c>
      <c r="N71" s="8">
        <v>246</v>
      </c>
      <c r="O71" s="8">
        <v>2.4736814472431381</v>
      </c>
      <c r="P71" s="9">
        <v>732</v>
      </c>
      <c r="Q71" s="9">
        <v>9.2434470450120969</v>
      </c>
      <c r="R71" s="9">
        <v>386</v>
      </c>
      <c r="S71" s="9">
        <v>7.3690749530338877</v>
      </c>
      <c r="T71" s="9">
        <v>394</v>
      </c>
      <c r="U71" s="9">
        <v>4.4429297652392323</v>
      </c>
      <c r="V71" s="9">
        <v>586</v>
      </c>
      <c r="W71" s="9">
        <v>4.6360637532917783</v>
      </c>
      <c r="X71">
        <v>346.03316885147581</v>
      </c>
      <c r="Y71">
        <v>1.132391231497236</v>
      </c>
      <c r="Z71">
        <v>0.27181901890025489</v>
      </c>
      <c r="AA71">
        <v>4.1659749787882641</v>
      </c>
      <c r="AB71">
        <v>3.1002470675390087E-5</v>
      </c>
      <c r="AC71">
        <v>9.9362918514625254E-3</v>
      </c>
      <c r="AD71" t="s">
        <v>331</v>
      </c>
      <c r="AE71" t="s">
        <v>332</v>
      </c>
      <c r="AF71" t="s">
        <v>43</v>
      </c>
      <c r="AG71" t="s">
        <v>333</v>
      </c>
      <c r="AH71" t="s">
        <v>43</v>
      </c>
      <c r="AI71" t="s">
        <v>43</v>
      </c>
      <c r="AJ71" t="s">
        <v>43</v>
      </c>
      <c r="AK71" t="s">
        <v>43</v>
      </c>
      <c r="AL71" t="s">
        <v>43</v>
      </c>
      <c r="AM71" t="s">
        <v>334</v>
      </c>
      <c r="AN71" t="s">
        <v>43</v>
      </c>
    </row>
    <row r="72" spans="1:40" x14ac:dyDescent="0.3">
      <c r="A72" t="s">
        <v>335</v>
      </c>
      <c r="B72">
        <v>1743</v>
      </c>
      <c r="C72" t="str">
        <f>IF(Y72&lt;0, "Down", "Up")</f>
        <v>Up</v>
      </c>
      <c r="D72" s="7" t="str">
        <f>IF(AC72&lt;0.05, "Sig", "N")</f>
        <v>Sig</v>
      </c>
      <c r="E72" s="1" t="str">
        <f>IF(AND(I72&gt;2,K72&gt;2,M72&gt;2,O72&gt;2),"Y","N")</f>
        <v>N</v>
      </c>
      <c r="F72" s="1" t="str">
        <f>IF(AND(Q72&gt;2,S72&gt;2,U72&gt;2,W72&gt;2),"Y","N")</f>
        <v>Y</v>
      </c>
      <c r="G72" s="1" t="str">
        <f>IF(OR(E72="Y", F72="Y"), "Expressed", "N")</f>
        <v>Expressed</v>
      </c>
      <c r="H72" s="8">
        <v>61</v>
      </c>
      <c r="I72" s="8">
        <v>1.002737967867853</v>
      </c>
      <c r="J72" s="8">
        <v>126</v>
      </c>
      <c r="K72" s="8">
        <v>1.2885213214979669</v>
      </c>
      <c r="L72" s="8">
        <v>117</v>
      </c>
      <c r="M72" s="8">
        <v>1.5976098567593431</v>
      </c>
      <c r="N72" s="8">
        <v>116</v>
      </c>
      <c r="O72" s="8">
        <v>0.89006332806410626</v>
      </c>
      <c r="P72" s="9">
        <v>229</v>
      </c>
      <c r="Q72" s="9">
        <v>2.2065441049908729</v>
      </c>
      <c r="R72" s="9">
        <v>196</v>
      </c>
      <c r="S72" s="9">
        <v>2.8551964464176081</v>
      </c>
      <c r="T72" s="9">
        <v>236</v>
      </c>
      <c r="U72" s="9">
        <v>2.0306706080497339</v>
      </c>
      <c r="V72" s="9">
        <v>448</v>
      </c>
      <c r="W72" s="9">
        <v>2.7044817267719079</v>
      </c>
      <c r="X72">
        <v>176.00057296084691</v>
      </c>
      <c r="Y72">
        <v>1.069066006230758</v>
      </c>
      <c r="Z72">
        <v>0.23926195160618391</v>
      </c>
      <c r="AA72">
        <v>4.4681822540275871</v>
      </c>
      <c r="AB72">
        <v>7.8887081870768197E-6</v>
      </c>
      <c r="AC72">
        <v>3.1213962641458278E-3</v>
      </c>
      <c r="AD72" t="s">
        <v>336</v>
      </c>
      <c r="AE72" t="s">
        <v>337</v>
      </c>
      <c r="AF72" t="s">
        <v>338</v>
      </c>
      <c r="AG72" t="s">
        <v>339</v>
      </c>
      <c r="AH72" t="s">
        <v>43</v>
      </c>
      <c r="AI72" t="s">
        <v>43</v>
      </c>
      <c r="AJ72" t="s">
        <v>43</v>
      </c>
      <c r="AK72" t="s">
        <v>43</v>
      </c>
      <c r="AL72" t="s">
        <v>43</v>
      </c>
      <c r="AM72" t="s">
        <v>130</v>
      </c>
      <c r="AN72" t="s">
        <v>43</v>
      </c>
    </row>
    <row r="73" spans="1:40" x14ac:dyDescent="0.3">
      <c r="A73" t="s">
        <v>346</v>
      </c>
      <c r="B73">
        <v>2573</v>
      </c>
      <c r="C73" t="str">
        <f>IF(Y73&lt;0, "Down", "Up")</f>
        <v>Up</v>
      </c>
      <c r="D73" s="7" t="str">
        <f>IF(AC73&lt;0.05, "Sig", "N")</f>
        <v>Sig</v>
      </c>
      <c r="E73" s="1" t="str">
        <f>IF(AND(I73&gt;2,K73&gt;2,M73&gt;2,O73&gt;2),"Y","N")</f>
        <v>Y</v>
      </c>
      <c r="F73" s="1" t="str">
        <f>IF(AND(Q73&gt;2,S73&gt;2,U73&gt;2,W73&gt;2),"Y","N")</f>
        <v>Y</v>
      </c>
      <c r="G73" s="1" t="str">
        <f>IF(OR(E73="Y", F73="Y"), "Expressed", "N")</f>
        <v>Expressed</v>
      </c>
      <c r="H73" s="8">
        <v>492</v>
      </c>
      <c r="I73" s="8">
        <v>5.478735422533398</v>
      </c>
      <c r="J73" s="8">
        <v>1101</v>
      </c>
      <c r="K73" s="8">
        <v>7.6272149191895764</v>
      </c>
      <c r="L73" s="8">
        <v>743</v>
      </c>
      <c r="M73" s="8">
        <v>6.8727616749423852</v>
      </c>
      <c r="N73" s="8">
        <v>1309</v>
      </c>
      <c r="O73" s="8">
        <v>6.8039351571619067</v>
      </c>
      <c r="P73" s="9">
        <v>1381</v>
      </c>
      <c r="Q73" s="9">
        <v>9.0142253259389058</v>
      </c>
      <c r="R73" s="9">
        <v>1192</v>
      </c>
      <c r="S73" s="9">
        <v>11.762883055748119</v>
      </c>
      <c r="T73" s="9">
        <v>2384</v>
      </c>
      <c r="U73" s="9">
        <v>13.89604884108828</v>
      </c>
      <c r="V73" s="9">
        <v>3786</v>
      </c>
      <c r="W73" s="9">
        <v>15.48261262735652</v>
      </c>
      <c r="X73">
        <v>1374.5474417414589</v>
      </c>
      <c r="Y73">
        <v>0.93111593389525327</v>
      </c>
      <c r="Z73">
        <v>0.19698641334142161</v>
      </c>
      <c r="AA73">
        <v>4.7268028190422502</v>
      </c>
      <c r="AB73">
        <v>2.2808255151831981E-6</v>
      </c>
      <c r="AC73">
        <v>1.1246224271018691E-3</v>
      </c>
      <c r="AD73" t="s">
        <v>347</v>
      </c>
      <c r="AE73" t="s">
        <v>348</v>
      </c>
      <c r="AF73" t="s">
        <v>43</v>
      </c>
      <c r="AG73" t="s">
        <v>349</v>
      </c>
      <c r="AH73" t="s">
        <v>43</v>
      </c>
      <c r="AI73" t="s">
        <v>43</v>
      </c>
      <c r="AJ73" t="s">
        <v>43</v>
      </c>
      <c r="AK73" t="s">
        <v>43</v>
      </c>
      <c r="AL73" t="s">
        <v>43</v>
      </c>
      <c r="AM73" t="s">
        <v>350</v>
      </c>
      <c r="AN73" t="s">
        <v>43</v>
      </c>
    </row>
    <row r="74" spans="1:40" x14ac:dyDescent="0.3">
      <c r="A74" t="s">
        <v>351</v>
      </c>
      <c r="B74">
        <v>2670</v>
      </c>
      <c r="C74" t="str">
        <f>IF(Y74&lt;0, "Down", "Up")</f>
        <v>Up</v>
      </c>
      <c r="D74" s="7" t="str">
        <f>IF(AC74&lt;0.05, "Sig", "N")</f>
        <v>Sig</v>
      </c>
      <c r="E74" s="1" t="str">
        <f>IF(AND(I74&gt;2,K74&gt;2,M74&gt;2,O74&gt;2),"Y","N")</f>
        <v>N</v>
      </c>
      <c r="F74" s="1" t="str">
        <f>IF(AND(Q74&gt;2,S74&gt;2,U74&gt;2,W74&gt;2),"Y","N")</f>
        <v>Y</v>
      </c>
      <c r="G74" s="1" t="str">
        <f>IF(OR(E74="Y", F74="Y"), "Expressed", "N")</f>
        <v>Expressed</v>
      </c>
      <c r="H74" s="8">
        <v>161</v>
      </c>
      <c r="I74" s="8">
        <v>1.7277051437157269</v>
      </c>
      <c r="J74" s="8">
        <v>405</v>
      </c>
      <c r="K74" s="8">
        <v>2.7037231099971382</v>
      </c>
      <c r="L74" s="8">
        <v>301</v>
      </c>
      <c r="M74" s="8">
        <v>2.6831039024289902</v>
      </c>
      <c r="N74" s="8">
        <v>347</v>
      </c>
      <c r="O74" s="8">
        <v>1.7381150463097661</v>
      </c>
      <c r="P74" s="9">
        <v>570</v>
      </c>
      <c r="Q74" s="9">
        <v>3.585404107991891</v>
      </c>
      <c r="R74" s="9">
        <v>384</v>
      </c>
      <c r="S74" s="9">
        <v>3.651718344310674</v>
      </c>
      <c r="T74" s="9">
        <v>566</v>
      </c>
      <c r="U74" s="9">
        <v>3.1792892152671999</v>
      </c>
      <c r="V74" s="9">
        <v>1370</v>
      </c>
      <c r="W74" s="9">
        <v>5.3989925763910396</v>
      </c>
      <c r="X74">
        <v>456.01100654184938</v>
      </c>
      <c r="Y74">
        <v>0.86591445270085399</v>
      </c>
      <c r="Z74">
        <v>0.23097527913245891</v>
      </c>
      <c r="AA74">
        <v>3.7489486145583251</v>
      </c>
      <c r="AB74">
        <v>1.7757746173413099E-4</v>
      </c>
      <c r="AC74">
        <v>3.6483061849864752E-2</v>
      </c>
      <c r="AD74" t="s">
        <v>352</v>
      </c>
      <c r="AE74" t="s">
        <v>353</v>
      </c>
      <c r="AF74" t="s">
        <v>354</v>
      </c>
      <c r="AG74" t="s">
        <v>355</v>
      </c>
      <c r="AH74" t="s">
        <v>43</v>
      </c>
      <c r="AI74" t="s">
        <v>43</v>
      </c>
      <c r="AJ74" t="s">
        <v>43</v>
      </c>
      <c r="AK74" t="s">
        <v>43</v>
      </c>
      <c r="AL74" t="s">
        <v>43</v>
      </c>
      <c r="AM74" t="s">
        <v>356</v>
      </c>
      <c r="AN74" t="s">
        <v>43</v>
      </c>
    </row>
    <row r="75" spans="1:40" x14ac:dyDescent="0.3">
      <c r="A75" t="s">
        <v>357</v>
      </c>
      <c r="B75">
        <v>1700</v>
      </c>
      <c r="C75" t="str">
        <f>IF(Y75&lt;0, "Down", "Up")</f>
        <v>Up</v>
      </c>
      <c r="D75" s="7" t="str">
        <f>IF(AC75&lt;0.05, "Sig", "N")</f>
        <v>Sig</v>
      </c>
      <c r="E75" s="1" t="str">
        <f>IF(AND(I75&gt;2,K75&gt;2,M75&gt;2,O75&gt;2),"Y","N")</f>
        <v>Y</v>
      </c>
      <c r="F75" s="1" t="str">
        <f>IF(AND(Q75&gt;2,S75&gt;2,U75&gt;2,W75&gt;2),"Y","N")</f>
        <v>N</v>
      </c>
      <c r="G75" s="1" t="str">
        <f>IF(OR(E75="Y", F75="Y"), "Expressed", "N")</f>
        <v>Expressed</v>
      </c>
      <c r="H75" s="8">
        <v>214</v>
      </c>
      <c r="I75" s="8">
        <v>3.6067817501508661</v>
      </c>
      <c r="J75" s="8">
        <v>570</v>
      </c>
      <c r="K75" s="8">
        <v>5.9764650705949807</v>
      </c>
      <c r="L75" s="8">
        <v>168</v>
      </c>
      <c r="M75" s="8">
        <v>2.3520287013358372</v>
      </c>
      <c r="N75" s="8">
        <v>889</v>
      </c>
      <c r="O75" s="8">
        <v>6.9937989784238859</v>
      </c>
      <c r="P75" s="9">
        <v>20754</v>
      </c>
      <c r="Q75" s="9">
        <v>205.03471951382261</v>
      </c>
      <c r="R75" s="9">
        <v>12664</v>
      </c>
      <c r="S75" s="9">
        <v>189.14692734371249</v>
      </c>
      <c r="T75" s="9">
        <v>21832</v>
      </c>
      <c r="U75" s="9">
        <v>192.6058475726409</v>
      </c>
      <c r="V75" s="9">
        <v>193</v>
      </c>
      <c r="W75" s="9">
        <v>1.1945705730099041</v>
      </c>
      <c r="X75">
        <v>7188.704940695653</v>
      </c>
      <c r="Y75">
        <v>4.9664899897543444</v>
      </c>
      <c r="Z75">
        <v>1.103925225763942</v>
      </c>
      <c r="AA75">
        <v>4.4989369513840209</v>
      </c>
      <c r="AB75">
        <v>6.8294106430545226E-6</v>
      </c>
      <c r="AC75">
        <v>2.8061873219217622E-3</v>
      </c>
      <c r="AD75" t="s">
        <v>358</v>
      </c>
      <c r="AE75" t="s">
        <v>359</v>
      </c>
      <c r="AF75" t="s">
        <v>360</v>
      </c>
      <c r="AG75" t="s">
        <v>361</v>
      </c>
      <c r="AH75" t="s">
        <v>43</v>
      </c>
      <c r="AI75" t="s">
        <v>43</v>
      </c>
      <c r="AJ75" t="s">
        <v>43</v>
      </c>
      <c r="AK75" t="s">
        <v>43</v>
      </c>
      <c r="AL75" t="s">
        <v>43</v>
      </c>
      <c r="AM75" t="s">
        <v>362</v>
      </c>
      <c r="AN75" t="s">
        <v>43</v>
      </c>
    </row>
    <row r="76" spans="1:40" x14ac:dyDescent="0.3">
      <c r="A76" t="s">
        <v>363</v>
      </c>
      <c r="B76">
        <v>684</v>
      </c>
      <c r="C76" t="str">
        <f>IF(Y76&lt;0, "Down", "Up")</f>
        <v>Up</v>
      </c>
      <c r="D76" s="7" t="str">
        <f>IF(AC76&lt;0.05, "Sig", "N")</f>
        <v>Sig</v>
      </c>
      <c r="E76" s="1" t="str">
        <f>IF(AND(I76&gt;2,K76&gt;2,M76&gt;2,O76&gt;2),"Y","N")</f>
        <v>Y</v>
      </c>
      <c r="F76" s="1" t="str">
        <f>IF(AND(Q76&gt;2,S76&gt;2,U76&gt;2,W76&gt;2),"Y","N")</f>
        <v>Y</v>
      </c>
      <c r="G76" s="1" t="str">
        <f>IF(OR(E76="Y", F76="Y"), "Expressed", "N")</f>
        <v>Expressed</v>
      </c>
      <c r="H76" s="8">
        <v>158</v>
      </c>
      <c r="I76" s="8">
        <v>6.6184454971479116</v>
      </c>
      <c r="J76" s="8">
        <v>218</v>
      </c>
      <c r="K76" s="8">
        <v>5.680922220074125</v>
      </c>
      <c r="L76" s="8">
        <v>147</v>
      </c>
      <c r="M76" s="8">
        <v>5.1149746977149952</v>
      </c>
      <c r="N76" s="8">
        <v>223</v>
      </c>
      <c r="O76" s="8">
        <v>4.360226670219669</v>
      </c>
      <c r="P76" s="9">
        <v>5921</v>
      </c>
      <c r="Q76" s="9">
        <v>145.3829499372406</v>
      </c>
      <c r="R76" s="9">
        <v>4408</v>
      </c>
      <c r="S76" s="9">
        <v>163.62994872683771</v>
      </c>
      <c r="T76" s="9">
        <v>5696</v>
      </c>
      <c r="U76" s="9">
        <v>124.8931864069506</v>
      </c>
      <c r="V76" s="9">
        <v>206</v>
      </c>
      <c r="W76" s="9">
        <v>3.1689438434995938</v>
      </c>
      <c r="X76">
        <v>2187.568459606</v>
      </c>
      <c r="Y76">
        <v>4.3431637006315036</v>
      </c>
      <c r="Z76">
        <v>0.91148131233697871</v>
      </c>
      <c r="AA76">
        <v>4.7649509011829494</v>
      </c>
      <c r="AB76">
        <v>1.8889964182231169E-6</v>
      </c>
      <c r="AC76">
        <v>9.6098944768334752E-4</v>
      </c>
      <c r="AD76" t="s">
        <v>364</v>
      </c>
      <c r="AE76" t="s">
        <v>365</v>
      </c>
      <c r="AF76" t="s">
        <v>120</v>
      </c>
      <c r="AG76" t="s">
        <v>43</v>
      </c>
      <c r="AH76" t="s">
        <v>43</v>
      </c>
      <c r="AI76" t="s">
        <v>43</v>
      </c>
      <c r="AJ76" t="s">
        <v>43</v>
      </c>
      <c r="AK76" t="s">
        <v>43</v>
      </c>
      <c r="AL76" t="s">
        <v>43</v>
      </c>
      <c r="AM76" t="s">
        <v>43</v>
      </c>
      <c r="AN76" t="s">
        <v>43</v>
      </c>
    </row>
    <row r="77" spans="1:40" x14ac:dyDescent="0.3">
      <c r="A77" t="s">
        <v>366</v>
      </c>
      <c r="B77">
        <v>1360</v>
      </c>
      <c r="C77" t="str">
        <f>IF(Y77&lt;0, "Down", "Up")</f>
        <v>Up</v>
      </c>
      <c r="D77" s="7" t="str">
        <f>IF(AC77&lt;0.05, "Sig", "N")</f>
        <v>Sig</v>
      </c>
      <c r="E77" s="1" t="str">
        <f>IF(AND(I77&gt;2,K77&gt;2,M77&gt;2,O77&gt;2),"Y","N")</f>
        <v>Y</v>
      </c>
      <c r="F77" s="1" t="str">
        <f>IF(AND(Q77&gt;2,S77&gt;2,U77&gt;2,W77&gt;2),"Y","N")</f>
        <v>Y</v>
      </c>
      <c r="G77" s="1" t="str">
        <f>IF(OR(E77="Y", F77="Y"), "Expressed", "N")</f>
        <v>Expressed</v>
      </c>
      <c r="H77" s="8">
        <v>1024</v>
      </c>
      <c r="I77" s="8">
        <v>21.573274019593971</v>
      </c>
      <c r="J77" s="8">
        <v>1480</v>
      </c>
      <c r="K77" s="8">
        <v>19.397298913334591</v>
      </c>
      <c r="L77" s="8">
        <v>746</v>
      </c>
      <c r="M77" s="8">
        <v>13.05515930949802</v>
      </c>
      <c r="N77" s="8">
        <v>1677</v>
      </c>
      <c r="O77" s="8">
        <v>16.491283586637881</v>
      </c>
      <c r="P77" s="9">
        <v>2099</v>
      </c>
      <c r="Q77" s="9">
        <v>25.920778901628221</v>
      </c>
      <c r="R77" s="9">
        <v>1450</v>
      </c>
      <c r="S77" s="9">
        <v>27.071131223190061</v>
      </c>
      <c r="T77" s="9">
        <v>2911</v>
      </c>
      <c r="U77" s="9">
        <v>32.101709777159542</v>
      </c>
      <c r="V77" s="9">
        <v>4942</v>
      </c>
      <c r="W77" s="9">
        <v>38.235542563568309</v>
      </c>
      <c r="X77">
        <v>1834.5728396076049</v>
      </c>
      <c r="Y77">
        <v>0.81900936001087843</v>
      </c>
      <c r="Z77">
        <v>0.21259621222073849</v>
      </c>
      <c r="AA77">
        <v>3.8524174605731059</v>
      </c>
      <c r="AB77">
        <v>1.169574064821182E-4</v>
      </c>
      <c r="AC77">
        <v>2.759972745215333E-2</v>
      </c>
      <c r="AD77" t="s">
        <v>367</v>
      </c>
      <c r="AE77" t="s">
        <v>368</v>
      </c>
      <c r="AF77" t="s">
        <v>369</v>
      </c>
      <c r="AG77" t="s">
        <v>370</v>
      </c>
      <c r="AH77" t="s">
        <v>43</v>
      </c>
      <c r="AI77" t="s">
        <v>43</v>
      </c>
      <c r="AJ77" t="s">
        <v>43</v>
      </c>
      <c r="AK77" t="s">
        <v>43</v>
      </c>
      <c r="AL77" t="s">
        <v>43</v>
      </c>
      <c r="AM77" t="s">
        <v>371</v>
      </c>
      <c r="AN77" t="s">
        <v>43</v>
      </c>
    </row>
    <row r="78" spans="1:40" x14ac:dyDescent="0.3">
      <c r="A78" t="s">
        <v>372</v>
      </c>
      <c r="B78">
        <v>1417</v>
      </c>
      <c r="C78" t="str">
        <f>IF(Y78&lt;0, "Down", "Up")</f>
        <v>Up</v>
      </c>
      <c r="D78" s="7" t="str">
        <f>IF(AC78&lt;0.05, "Sig", "N")</f>
        <v>Sig</v>
      </c>
      <c r="E78" s="1" t="str">
        <f>IF(AND(I78&gt;2,K78&gt;2,M78&gt;2,O78&gt;2),"Y","N")</f>
        <v>Y</v>
      </c>
      <c r="F78" s="1" t="str">
        <f>IF(AND(Q78&gt;2,S78&gt;2,U78&gt;2,W78&gt;2),"Y","N")</f>
        <v>Y</v>
      </c>
      <c r="G78" s="1" t="str">
        <f>IF(OR(E78="Y", F78="Y"), "Expressed", "N")</f>
        <v>Expressed</v>
      </c>
      <c r="H78" s="8">
        <v>4227</v>
      </c>
      <c r="I78" s="8">
        <v>85.470729190962572</v>
      </c>
      <c r="J78" s="8">
        <v>7121</v>
      </c>
      <c r="K78" s="8">
        <v>89.575571326996311</v>
      </c>
      <c r="L78" s="8">
        <v>6822</v>
      </c>
      <c r="M78" s="8">
        <v>114.584037625064</v>
      </c>
      <c r="N78" s="8">
        <v>9264</v>
      </c>
      <c r="O78" s="8">
        <v>87.435742388466338</v>
      </c>
      <c r="P78" s="9">
        <v>11093</v>
      </c>
      <c r="Q78" s="9">
        <v>131.47817893718789</v>
      </c>
      <c r="R78" s="9">
        <v>8140</v>
      </c>
      <c r="S78" s="9">
        <v>145.85854091607001</v>
      </c>
      <c r="T78" s="9">
        <v>12391</v>
      </c>
      <c r="U78" s="9">
        <v>131.14790993167719</v>
      </c>
      <c r="V78" s="9">
        <v>22120</v>
      </c>
      <c r="W78" s="9">
        <v>164.25503719623819</v>
      </c>
      <c r="X78">
        <v>9315.2444896860179</v>
      </c>
      <c r="Y78">
        <v>0.63170197532454309</v>
      </c>
      <c r="Z78">
        <v>0.13806230605084549</v>
      </c>
      <c r="AA78">
        <v>4.5754847459371017</v>
      </c>
      <c r="AB78">
        <v>4.7511858605725133E-6</v>
      </c>
      <c r="AC78">
        <v>2.0859658470047818E-3</v>
      </c>
      <c r="AD78" t="s">
        <v>373</v>
      </c>
      <c r="AE78" t="s">
        <v>374</v>
      </c>
      <c r="AF78" t="s">
        <v>375</v>
      </c>
      <c r="AG78" t="s">
        <v>376</v>
      </c>
      <c r="AH78" t="s">
        <v>43</v>
      </c>
      <c r="AI78" t="s">
        <v>43</v>
      </c>
      <c r="AJ78" t="s">
        <v>43</v>
      </c>
      <c r="AK78" t="s">
        <v>43</v>
      </c>
      <c r="AL78" t="s">
        <v>43</v>
      </c>
      <c r="AM78" t="s">
        <v>377</v>
      </c>
      <c r="AN78" t="s">
        <v>43</v>
      </c>
    </row>
    <row r="79" spans="1:40" x14ac:dyDescent="0.3">
      <c r="A79" t="s">
        <v>378</v>
      </c>
      <c r="B79">
        <v>1651</v>
      </c>
      <c r="C79" t="str">
        <f>IF(Y79&lt;0, "Down", "Up")</f>
        <v>Up</v>
      </c>
      <c r="D79" s="7" t="str">
        <f>IF(AC79&lt;0.05, "Sig", "N")</f>
        <v>Sig</v>
      </c>
      <c r="E79" s="1" t="str">
        <f>IF(AND(I79&gt;2,K79&gt;2,M79&gt;2,O79&gt;2),"Y","N")</f>
        <v>Y</v>
      </c>
      <c r="F79" s="1" t="str">
        <f>IF(AND(Q79&gt;2,S79&gt;2,U79&gt;2,W79&gt;2),"Y","N")</f>
        <v>Y</v>
      </c>
      <c r="G79" s="1" t="str">
        <f>IF(OR(E79="Y", F79="Y"), "Expressed", "N")</f>
        <v>Expressed</v>
      </c>
      <c r="H79" s="8">
        <v>641</v>
      </c>
      <c r="I79" s="8">
        <v>11.12412775361123</v>
      </c>
      <c r="J79" s="8">
        <v>588</v>
      </c>
      <c r="K79" s="8">
        <v>6.3481722768409812</v>
      </c>
      <c r="L79" s="8">
        <v>694</v>
      </c>
      <c r="M79" s="8">
        <v>10.004483076043449</v>
      </c>
      <c r="N79" s="8">
        <v>1336</v>
      </c>
      <c r="O79" s="8">
        <v>10.822303038753031</v>
      </c>
      <c r="P79" s="9">
        <v>2139</v>
      </c>
      <c r="Q79" s="9">
        <v>21.75896475636852</v>
      </c>
      <c r="R79" s="9">
        <v>1872</v>
      </c>
      <c r="S79" s="9">
        <v>28.789629860165849</v>
      </c>
      <c r="T79" s="9">
        <v>3735</v>
      </c>
      <c r="U79" s="9">
        <v>33.928792203024393</v>
      </c>
      <c r="V79" s="9">
        <v>2861</v>
      </c>
      <c r="W79" s="9">
        <v>18.23367497779104</v>
      </c>
      <c r="X79">
        <v>1619.896350074175</v>
      </c>
      <c r="Y79">
        <v>1.449050429911251</v>
      </c>
      <c r="Z79">
        <v>0.2390123623725405</v>
      </c>
      <c r="AA79">
        <v>6.0626589165821683</v>
      </c>
      <c r="AB79">
        <v>1.338894074925137E-9</v>
      </c>
      <c r="AC79">
        <v>2.6819721938344161E-6</v>
      </c>
      <c r="AD79" t="s">
        <v>379</v>
      </c>
      <c r="AE79" t="s">
        <v>380</v>
      </c>
      <c r="AF79" t="s">
        <v>381</v>
      </c>
      <c r="AG79" t="s">
        <v>382</v>
      </c>
      <c r="AH79" t="s">
        <v>43</v>
      </c>
      <c r="AI79" t="s">
        <v>43</v>
      </c>
      <c r="AJ79" t="s">
        <v>43</v>
      </c>
      <c r="AK79" t="s">
        <v>43</v>
      </c>
      <c r="AL79" t="s">
        <v>43</v>
      </c>
      <c r="AM79" t="s">
        <v>383</v>
      </c>
      <c r="AN79" t="s">
        <v>43</v>
      </c>
    </row>
    <row r="80" spans="1:40" x14ac:dyDescent="0.3">
      <c r="A80" t="s">
        <v>384</v>
      </c>
      <c r="B80">
        <v>2176</v>
      </c>
      <c r="C80" t="str">
        <f>IF(Y80&lt;0, "Down", "Up")</f>
        <v>Up</v>
      </c>
      <c r="D80" s="7" t="str">
        <f>IF(AC80&lt;0.05, "Sig", "N")</f>
        <v>Sig</v>
      </c>
      <c r="E80" s="1" t="str">
        <f>IF(AND(I80&gt;2,K80&gt;2,M80&gt;2,O80&gt;2),"Y","N")</f>
        <v>Y</v>
      </c>
      <c r="F80" s="1" t="str">
        <f>IF(AND(Q80&gt;2,S80&gt;2,U80&gt;2,W80&gt;2),"Y","N")</f>
        <v>Y</v>
      </c>
      <c r="G80" s="1" t="str">
        <f>IF(OR(E80="Y", F80="Y"), "Expressed", "N")</f>
        <v>Expressed</v>
      </c>
      <c r="H80" s="8">
        <v>557</v>
      </c>
      <c r="I80" s="8">
        <v>7.3341757988976068</v>
      </c>
      <c r="J80" s="8">
        <v>823</v>
      </c>
      <c r="K80" s="8">
        <v>6.7415443436124836</v>
      </c>
      <c r="L80" s="8">
        <v>936</v>
      </c>
      <c r="M80" s="8">
        <v>10.23762492768947</v>
      </c>
      <c r="N80" s="8">
        <v>968</v>
      </c>
      <c r="O80" s="8">
        <v>5.9494493559427042</v>
      </c>
      <c r="P80" s="9">
        <v>1969</v>
      </c>
      <c r="Q80" s="9">
        <v>15.19712174169425</v>
      </c>
      <c r="R80" s="9">
        <v>1309</v>
      </c>
      <c r="S80" s="9">
        <v>15.27418567722232</v>
      </c>
      <c r="T80" s="9">
        <v>1975</v>
      </c>
      <c r="U80" s="9">
        <v>13.61234902307843</v>
      </c>
      <c r="V80" s="9">
        <v>2953</v>
      </c>
      <c r="W80" s="9">
        <v>14.27933493401169</v>
      </c>
      <c r="X80">
        <v>1334.7555069631751</v>
      </c>
      <c r="Y80">
        <v>0.97940658634864441</v>
      </c>
      <c r="Z80">
        <v>0.16851778349171451</v>
      </c>
      <c r="AA80">
        <v>5.8118886093514224</v>
      </c>
      <c r="AB80">
        <v>6.1771940282745672E-9</v>
      </c>
      <c r="AC80">
        <v>8.2491278585916614E-6</v>
      </c>
      <c r="AD80" t="s">
        <v>385</v>
      </c>
      <c r="AE80" t="s">
        <v>386</v>
      </c>
      <c r="AF80" t="s">
        <v>387</v>
      </c>
      <c r="AG80" t="s">
        <v>388</v>
      </c>
      <c r="AH80" t="s">
        <v>43</v>
      </c>
      <c r="AI80" t="s">
        <v>43</v>
      </c>
      <c r="AJ80" t="s">
        <v>43</v>
      </c>
      <c r="AK80" t="s">
        <v>43</v>
      </c>
      <c r="AL80" t="s">
        <v>43</v>
      </c>
      <c r="AM80" t="s">
        <v>389</v>
      </c>
      <c r="AN80" t="s">
        <v>43</v>
      </c>
    </row>
    <row r="81" spans="1:40" x14ac:dyDescent="0.3">
      <c r="A81" t="s">
        <v>390</v>
      </c>
      <c r="B81">
        <v>1321</v>
      </c>
      <c r="C81" t="str">
        <f>IF(Y81&lt;0, "Down", "Up")</f>
        <v>Up</v>
      </c>
      <c r="D81" s="7" t="str">
        <f>IF(AC81&lt;0.05, "Sig", "N")</f>
        <v>Sig</v>
      </c>
      <c r="E81" s="1" t="str">
        <f>IF(AND(I81&gt;2,K81&gt;2,M81&gt;2,O81&gt;2),"Y","N")</f>
        <v>Y</v>
      </c>
      <c r="F81" s="1" t="str">
        <f>IF(AND(Q81&gt;2,S81&gt;2,U81&gt;2,W81&gt;2),"Y","N")</f>
        <v>Y</v>
      </c>
      <c r="G81" s="1" t="str">
        <f>IF(OR(E81="Y", F81="Y"), "Expressed", "N")</f>
        <v>Expressed</v>
      </c>
      <c r="H81" s="8">
        <v>439</v>
      </c>
      <c r="I81" s="8">
        <v>9.5217486757327414</v>
      </c>
      <c r="J81" s="8">
        <v>529</v>
      </c>
      <c r="K81" s="8">
        <v>7.137913911558317</v>
      </c>
      <c r="L81" s="8">
        <v>642</v>
      </c>
      <c r="M81" s="8">
        <v>11.56683304782602</v>
      </c>
      <c r="N81" s="8">
        <v>569</v>
      </c>
      <c r="O81" s="8">
        <v>5.7606269850697904</v>
      </c>
      <c r="P81" s="9">
        <v>2643</v>
      </c>
      <c r="Q81" s="9">
        <v>33.602289019905513</v>
      </c>
      <c r="R81" s="9">
        <v>1394</v>
      </c>
      <c r="S81" s="9">
        <v>26.793982311296379</v>
      </c>
      <c r="T81" s="9">
        <v>1531</v>
      </c>
      <c r="U81" s="9">
        <v>17.38189972193247</v>
      </c>
      <c r="V81" s="9">
        <v>2270</v>
      </c>
      <c r="W81" s="9">
        <v>18.081167278852259</v>
      </c>
      <c r="X81">
        <v>1186.968582058634</v>
      </c>
      <c r="Y81">
        <v>1.521989249428237</v>
      </c>
      <c r="Z81">
        <v>0.25437305477699962</v>
      </c>
      <c r="AA81">
        <v>5.9832958752746581</v>
      </c>
      <c r="AB81">
        <v>2.1866702810484261E-9</v>
      </c>
      <c r="AC81">
        <v>3.5041391253801031E-6</v>
      </c>
      <c r="AD81" t="s">
        <v>391</v>
      </c>
      <c r="AE81" t="s">
        <v>392</v>
      </c>
      <c r="AF81" t="s">
        <v>393</v>
      </c>
      <c r="AG81" t="s">
        <v>394</v>
      </c>
      <c r="AH81" t="s">
        <v>43</v>
      </c>
      <c r="AI81" t="s">
        <v>43</v>
      </c>
      <c r="AJ81" t="s">
        <v>43</v>
      </c>
      <c r="AK81" t="s">
        <v>43</v>
      </c>
      <c r="AL81" t="s">
        <v>43</v>
      </c>
      <c r="AM81" t="s">
        <v>395</v>
      </c>
      <c r="AN81" t="s">
        <v>43</v>
      </c>
    </row>
    <row r="82" spans="1:40" x14ac:dyDescent="0.3">
      <c r="A82" t="s">
        <v>396</v>
      </c>
      <c r="B82">
        <v>1993</v>
      </c>
      <c r="C82" t="str">
        <f>IF(Y82&lt;0, "Down", "Up")</f>
        <v>Up</v>
      </c>
      <c r="D82" s="7" t="str">
        <f>IF(AC82&lt;0.05, "Sig", "N")</f>
        <v>Sig</v>
      </c>
      <c r="E82" s="1" t="str">
        <f>IF(AND(I82&gt;2,K82&gt;2,M82&gt;2,O82&gt;2),"Y","N")</f>
        <v>N</v>
      </c>
      <c r="F82" s="1" t="str">
        <f>IF(AND(Q82&gt;2,S82&gt;2,U82&gt;2,W82&gt;2),"Y","N")</f>
        <v>Y</v>
      </c>
      <c r="G82" s="1" t="str">
        <f>IF(OR(E82="Y", F82="Y"), "Expressed", "N")</f>
        <v>Expressed</v>
      </c>
      <c r="H82" s="8">
        <v>144</v>
      </c>
      <c r="I82" s="8">
        <v>2.0701899930995209</v>
      </c>
      <c r="J82" s="8">
        <v>244</v>
      </c>
      <c r="K82" s="8">
        <v>2.1822322966195702</v>
      </c>
      <c r="L82" s="8">
        <v>191</v>
      </c>
      <c r="M82" s="8">
        <v>2.2809109243176899</v>
      </c>
      <c r="N82" s="8">
        <v>190</v>
      </c>
      <c r="O82" s="8">
        <v>1.274989499260299</v>
      </c>
      <c r="P82" s="9">
        <v>1891</v>
      </c>
      <c r="Q82" s="9">
        <v>15.935245093905699</v>
      </c>
      <c r="R82" s="9">
        <v>723</v>
      </c>
      <c r="S82" s="9">
        <v>9.2110323750846312</v>
      </c>
      <c r="T82" s="9">
        <v>600</v>
      </c>
      <c r="U82" s="9">
        <v>4.5151150252545174</v>
      </c>
      <c r="V82" s="9">
        <v>520</v>
      </c>
      <c r="W82" s="9">
        <v>2.7453610604492811</v>
      </c>
      <c r="X82">
        <v>553.68917841672771</v>
      </c>
      <c r="Y82">
        <v>2.0657820508883269</v>
      </c>
      <c r="Z82">
        <v>0.55384290762612531</v>
      </c>
      <c r="AA82">
        <v>3.7299061203882822</v>
      </c>
      <c r="AB82">
        <v>1.9155112802330491E-4</v>
      </c>
      <c r="AC82">
        <v>3.837008533216827E-2</v>
      </c>
    </row>
    <row r="83" spans="1:40" x14ac:dyDescent="0.3">
      <c r="A83" t="s">
        <v>397</v>
      </c>
      <c r="B83">
        <v>1622</v>
      </c>
      <c r="C83" t="str">
        <f>IF(Y83&lt;0, "Down", "Up")</f>
        <v>Up</v>
      </c>
      <c r="D83" s="7" t="str">
        <f>IF(AC83&lt;0.05, "Sig", "N")</f>
        <v>Sig</v>
      </c>
      <c r="E83" s="1" t="str">
        <f>IF(AND(I83&gt;2,K83&gt;2,M83&gt;2,O83&gt;2),"Y","N")</f>
        <v>Y</v>
      </c>
      <c r="F83" s="1" t="str">
        <f>IF(AND(Q83&gt;2,S83&gt;2,U83&gt;2,W83&gt;2),"Y","N")</f>
        <v>Y</v>
      </c>
      <c r="G83" s="1" t="str">
        <f>IF(OR(E83="Y", F83="Y"), "Expressed", "N")</f>
        <v>Expressed</v>
      </c>
      <c r="H83" s="8">
        <v>395</v>
      </c>
      <c r="I83" s="8">
        <v>6.9775226881152461</v>
      </c>
      <c r="J83" s="8">
        <v>557</v>
      </c>
      <c r="K83" s="8">
        <v>6.1210058789737456</v>
      </c>
      <c r="L83" s="8">
        <v>584</v>
      </c>
      <c r="M83" s="8">
        <v>8.5692784286236083</v>
      </c>
      <c r="N83" s="8">
        <v>463</v>
      </c>
      <c r="O83" s="8">
        <v>3.8176002185344098</v>
      </c>
      <c r="P83" s="9">
        <v>2853</v>
      </c>
      <c r="Q83" s="9">
        <v>29.541016772307639</v>
      </c>
      <c r="R83" s="9">
        <v>1103</v>
      </c>
      <c r="S83" s="9">
        <v>17.26640695832431</v>
      </c>
      <c r="T83" s="9">
        <v>1800</v>
      </c>
      <c r="U83" s="9">
        <v>16.643571353882091</v>
      </c>
      <c r="V83" s="9">
        <v>3094</v>
      </c>
      <c r="W83" s="9">
        <v>20.071178995794529</v>
      </c>
      <c r="X83">
        <v>1223.3813754111729</v>
      </c>
      <c r="Y83">
        <v>1.7374458285329231</v>
      </c>
      <c r="Z83">
        <v>0.24721101596144801</v>
      </c>
      <c r="AA83">
        <v>7.0281893457525939</v>
      </c>
      <c r="AB83">
        <v>2.0923084444320481E-12</v>
      </c>
      <c r="AC83">
        <v>8.3823107055058945E-9</v>
      </c>
      <c r="AD83" t="s">
        <v>398</v>
      </c>
      <c r="AE83" t="s">
        <v>399</v>
      </c>
      <c r="AF83" t="s">
        <v>400</v>
      </c>
      <c r="AG83" t="s">
        <v>401</v>
      </c>
      <c r="AH83" t="s">
        <v>43</v>
      </c>
      <c r="AI83" t="s">
        <v>43</v>
      </c>
      <c r="AJ83" t="s">
        <v>43</v>
      </c>
      <c r="AK83" t="s">
        <v>43</v>
      </c>
      <c r="AL83" t="s">
        <v>43</v>
      </c>
      <c r="AM83" t="s">
        <v>402</v>
      </c>
      <c r="AN83" t="s">
        <v>43</v>
      </c>
    </row>
    <row r="84" spans="1:40" x14ac:dyDescent="0.3">
      <c r="A84" t="s">
        <v>403</v>
      </c>
      <c r="B84">
        <v>2752</v>
      </c>
      <c r="C84" t="str">
        <f>IF(Y84&lt;0, "Down", "Up")</f>
        <v>Up</v>
      </c>
      <c r="D84" s="7" t="str">
        <f>IF(AC84&lt;0.05, "Sig", "N")</f>
        <v>Sig</v>
      </c>
      <c r="E84" s="1" t="str">
        <f>IF(AND(I84&gt;2,K84&gt;2,M84&gt;2,O84&gt;2),"Y","N")</f>
        <v>Y</v>
      </c>
      <c r="F84" s="1" t="str">
        <f>IF(AND(Q84&gt;2,S84&gt;2,U84&gt;2,W84&gt;2),"Y","N")</f>
        <v>Y</v>
      </c>
      <c r="G84" s="1" t="str">
        <f>IF(OR(E84="Y", F84="Y"), "Expressed", "N")</f>
        <v>Expressed</v>
      </c>
      <c r="H84" s="8">
        <v>2480</v>
      </c>
      <c r="I84" s="8">
        <v>25.820120385914841</v>
      </c>
      <c r="J84" s="8">
        <v>3156</v>
      </c>
      <c r="K84" s="8">
        <v>20.44122959809529</v>
      </c>
      <c r="L84" s="8">
        <v>2889</v>
      </c>
      <c r="M84" s="8">
        <v>24.985115934884359</v>
      </c>
      <c r="N84" s="8">
        <v>5712</v>
      </c>
      <c r="O84" s="8">
        <v>27.758760823537401</v>
      </c>
      <c r="P84" s="9">
        <v>12626</v>
      </c>
      <c r="Q84" s="9">
        <v>77.053411716034262</v>
      </c>
      <c r="R84" s="9">
        <v>7888</v>
      </c>
      <c r="S84" s="9">
        <v>72.777273706994663</v>
      </c>
      <c r="T84" s="9">
        <v>9983</v>
      </c>
      <c r="U84" s="9">
        <v>54.404836386356507</v>
      </c>
      <c r="V84" s="9">
        <v>5726</v>
      </c>
      <c r="W84" s="9">
        <v>21.893053515094081</v>
      </c>
      <c r="X84">
        <v>6204.26630297269</v>
      </c>
      <c r="Y84">
        <v>1.210777253619945</v>
      </c>
      <c r="Z84">
        <v>0.29692875531939772</v>
      </c>
      <c r="AA84">
        <v>4.077669245329731</v>
      </c>
      <c r="AB84">
        <v>4.548941562530602E-5</v>
      </c>
      <c r="AC84">
        <v>1.4018613180683251E-2</v>
      </c>
      <c r="AD84" t="s">
        <v>404</v>
      </c>
      <c r="AE84" t="s">
        <v>405</v>
      </c>
      <c r="AF84" t="s">
        <v>406</v>
      </c>
      <c r="AG84" t="s">
        <v>407</v>
      </c>
      <c r="AH84" t="s">
        <v>43</v>
      </c>
      <c r="AI84" t="s">
        <v>43</v>
      </c>
      <c r="AJ84" t="s">
        <v>43</v>
      </c>
      <c r="AK84" t="s">
        <v>43</v>
      </c>
      <c r="AL84" t="s">
        <v>43</v>
      </c>
      <c r="AM84" t="s">
        <v>408</v>
      </c>
      <c r="AN84" t="s">
        <v>43</v>
      </c>
    </row>
    <row r="85" spans="1:40" x14ac:dyDescent="0.3">
      <c r="A85" t="s">
        <v>409</v>
      </c>
      <c r="B85">
        <v>2056</v>
      </c>
      <c r="C85" t="str">
        <f>IF(Y85&lt;0, "Down", "Up")</f>
        <v>Up</v>
      </c>
      <c r="D85" s="7" t="str">
        <f>IF(AC85&lt;0.05, "Sig", "N")</f>
        <v>Sig</v>
      </c>
      <c r="E85" s="1" t="str">
        <f>IF(AND(I85&gt;2,K85&gt;2,M85&gt;2,O85&gt;2),"Y","N")</f>
        <v>N</v>
      </c>
      <c r="F85" s="1" t="str">
        <f>IF(AND(Q85&gt;2,S85&gt;2,U85&gt;2,W85&gt;2),"Y","N")</f>
        <v>Y</v>
      </c>
      <c r="G85" s="1" t="str">
        <f>IF(OR(E85="Y", F85="Y"), "Expressed", "N")</f>
        <v>Expressed</v>
      </c>
      <c r="H85" s="8">
        <v>14</v>
      </c>
      <c r="I85" s="8">
        <v>0.19510119834719131</v>
      </c>
      <c r="J85" s="8">
        <v>81</v>
      </c>
      <c r="K85" s="8">
        <v>0.70223158596229163</v>
      </c>
      <c r="L85" s="8">
        <v>41</v>
      </c>
      <c r="M85" s="8">
        <v>0.47461668659413742</v>
      </c>
      <c r="N85" s="8">
        <v>87</v>
      </c>
      <c r="O85" s="8">
        <v>0.56592183152325048</v>
      </c>
      <c r="P85" s="9">
        <v>4874</v>
      </c>
      <c r="Q85" s="9">
        <v>39.814102662025661</v>
      </c>
      <c r="R85" s="9">
        <v>5602</v>
      </c>
      <c r="S85" s="9">
        <v>69.182667675010919</v>
      </c>
      <c r="T85" s="9">
        <v>10645</v>
      </c>
      <c r="U85" s="9">
        <v>77.651066059956079</v>
      </c>
      <c r="V85" s="9">
        <v>396</v>
      </c>
      <c r="W85" s="9">
        <v>2.0266348202411928</v>
      </c>
      <c r="X85">
        <v>2745.9050930998678</v>
      </c>
      <c r="Y85">
        <v>6.635940394430123</v>
      </c>
      <c r="Z85">
        <v>0.92632280474333706</v>
      </c>
      <c r="AA85">
        <v>7.1637450362336601</v>
      </c>
      <c r="AB85">
        <v>7.8502348701409088E-13</v>
      </c>
      <c r="AC85">
        <v>3.5942861084002301E-9</v>
      </c>
      <c r="AD85" t="s">
        <v>410</v>
      </c>
      <c r="AE85" t="s">
        <v>411</v>
      </c>
      <c r="AF85" t="s">
        <v>412</v>
      </c>
      <c r="AG85" t="s">
        <v>413</v>
      </c>
      <c r="AH85" t="s">
        <v>43</v>
      </c>
      <c r="AI85" t="s">
        <v>43</v>
      </c>
      <c r="AJ85" t="s">
        <v>43</v>
      </c>
      <c r="AK85" t="s">
        <v>43</v>
      </c>
      <c r="AL85" t="s">
        <v>43</v>
      </c>
      <c r="AM85" t="s">
        <v>414</v>
      </c>
      <c r="AN85" t="s">
        <v>43</v>
      </c>
    </row>
    <row r="86" spans="1:40" x14ac:dyDescent="0.3">
      <c r="A86" t="s">
        <v>415</v>
      </c>
      <c r="B86">
        <v>1015</v>
      </c>
      <c r="C86" t="str">
        <f>IF(Y86&lt;0, "Down", "Up")</f>
        <v>Up</v>
      </c>
      <c r="D86" s="7" t="str">
        <f>IF(AC86&lt;0.05, "Sig", "N")</f>
        <v>Sig</v>
      </c>
      <c r="E86" s="1" t="str">
        <f>IF(AND(I86&gt;2,K86&gt;2,M86&gt;2,O86&gt;2),"Y","N")</f>
        <v>Y</v>
      </c>
      <c r="F86" s="1" t="str">
        <f>IF(AND(Q86&gt;2,S86&gt;2,U86&gt;2,W86&gt;2),"Y","N")</f>
        <v>Y</v>
      </c>
      <c r="G86" s="1" t="str">
        <f>IF(OR(E86="Y", F86="Y"), "Expressed", "N")</f>
        <v>Expressed</v>
      </c>
      <c r="H86" s="8">
        <v>494</v>
      </c>
      <c r="I86" s="8">
        <v>13.94491650373693</v>
      </c>
      <c r="J86" s="8">
        <v>322</v>
      </c>
      <c r="K86" s="8">
        <v>5.6546832246887773</v>
      </c>
      <c r="L86" s="8">
        <v>469</v>
      </c>
      <c r="M86" s="8">
        <v>10.99737557808505</v>
      </c>
      <c r="N86" s="8">
        <v>623</v>
      </c>
      <c r="O86" s="8">
        <v>8.2088498152556841</v>
      </c>
      <c r="P86" s="9">
        <v>1254</v>
      </c>
      <c r="Q86" s="9">
        <v>20.749422394427949</v>
      </c>
      <c r="R86" s="9">
        <v>1514</v>
      </c>
      <c r="S86" s="9">
        <v>37.873648400745537</v>
      </c>
      <c r="T86" s="9">
        <v>1878</v>
      </c>
      <c r="U86" s="9">
        <v>27.749452106295522</v>
      </c>
      <c r="V86" s="9">
        <v>1113</v>
      </c>
      <c r="W86" s="9">
        <v>11.53805345308476</v>
      </c>
      <c r="X86">
        <v>966.33968686398805</v>
      </c>
      <c r="Y86">
        <v>1.36152541687886</v>
      </c>
      <c r="Z86">
        <v>0.33615762745418409</v>
      </c>
      <c r="AA86">
        <v>4.0502588835781381</v>
      </c>
      <c r="AB86">
        <v>5.1161001288970328E-5</v>
      </c>
      <c r="AC86">
        <v>1.546896312558018E-2</v>
      </c>
      <c r="AD86" t="s">
        <v>416</v>
      </c>
      <c r="AE86" t="s">
        <v>417</v>
      </c>
      <c r="AF86" t="s">
        <v>43</v>
      </c>
      <c r="AG86" t="s">
        <v>43</v>
      </c>
      <c r="AH86" t="s">
        <v>43</v>
      </c>
      <c r="AI86" t="s">
        <v>43</v>
      </c>
      <c r="AJ86" t="s">
        <v>43</v>
      </c>
      <c r="AK86" t="s">
        <v>43</v>
      </c>
      <c r="AL86" t="s">
        <v>43</v>
      </c>
      <c r="AM86" t="s">
        <v>43</v>
      </c>
      <c r="AN86" t="s">
        <v>43</v>
      </c>
    </row>
    <row r="87" spans="1:40" x14ac:dyDescent="0.3">
      <c r="A87" t="s">
        <v>428</v>
      </c>
      <c r="B87">
        <v>1450</v>
      </c>
      <c r="C87" t="str">
        <f>IF(Y87&lt;0, "Down", "Up")</f>
        <v>Up</v>
      </c>
      <c r="D87" s="7" t="str">
        <f>IF(AC87&lt;0.05, "Sig", "N")</f>
        <v>Sig</v>
      </c>
      <c r="E87" s="1" t="str">
        <f>IF(AND(I87&gt;2,K87&gt;2,M87&gt;2,O87&gt;2),"Y","N")</f>
        <v>Y</v>
      </c>
      <c r="F87" s="1" t="str">
        <f>IF(AND(Q87&gt;2,S87&gt;2,U87&gt;2,W87&gt;2),"Y","N")</f>
        <v>Y</v>
      </c>
      <c r="G87" s="1" t="str">
        <f>IF(OR(E87="Y", F87="Y"), "Expressed", "N")</f>
        <v>Expressed</v>
      </c>
      <c r="H87" s="8">
        <v>217</v>
      </c>
      <c r="I87" s="8">
        <v>4.2879206820195117</v>
      </c>
      <c r="J87" s="8">
        <v>308</v>
      </c>
      <c r="K87" s="8">
        <v>3.7861792026177028</v>
      </c>
      <c r="L87" s="8">
        <v>138</v>
      </c>
      <c r="M87" s="8">
        <v>2.265131089217518</v>
      </c>
      <c r="N87" s="8">
        <v>349</v>
      </c>
      <c r="O87" s="8">
        <v>3.218975938791274</v>
      </c>
      <c r="P87" s="9">
        <v>6340</v>
      </c>
      <c r="Q87" s="9">
        <v>73.433761233230655</v>
      </c>
      <c r="R87" s="9">
        <v>4614</v>
      </c>
      <c r="S87" s="9">
        <v>80.795448880269461</v>
      </c>
      <c r="T87" s="9">
        <v>7131</v>
      </c>
      <c r="U87" s="9">
        <v>73.757689072947457</v>
      </c>
      <c r="V87" s="9">
        <v>344</v>
      </c>
      <c r="W87" s="9">
        <v>2.4962832628057599</v>
      </c>
      <c r="X87">
        <v>2468.1139219816532</v>
      </c>
      <c r="Y87">
        <v>4.0960166829037803</v>
      </c>
      <c r="Z87">
        <v>0.86313014951534228</v>
      </c>
      <c r="AA87">
        <v>4.7455377212854186</v>
      </c>
      <c r="AB87">
        <v>2.0795315384741331E-6</v>
      </c>
      <c r="AC87">
        <v>1.0413904032514989E-3</v>
      </c>
      <c r="AD87" t="s">
        <v>429</v>
      </c>
      <c r="AE87" t="s">
        <v>430</v>
      </c>
      <c r="AF87" t="s">
        <v>431</v>
      </c>
      <c r="AG87" t="s">
        <v>432</v>
      </c>
      <c r="AH87" t="s">
        <v>43</v>
      </c>
      <c r="AI87" t="s">
        <v>43</v>
      </c>
      <c r="AJ87" t="s">
        <v>43</v>
      </c>
      <c r="AK87" t="s">
        <v>43</v>
      </c>
      <c r="AL87" t="s">
        <v>43</v>
      </c>
      <c r="AM87" t="s">
        <v>371</v>
      </c>
      <c r="AN87" t="s">
        <v>43</v>
      </c>
    </row>
    <row r="88" spans="1:40" x14ac:dyDescent="0.3">
      <c r="A88" t="s">
        <v>433</v>
      </c>
      <c r="B88">
        <v>1130</v>
      </c>
      <c r="C88" t="str">
        <f>IF(Y88&lt;0, "Down", "Up")</f>
        <v>Up</v>
      </c>
      <c r="D88" s="7" t="str">
        <f>IF(AC88&lt;0.05, "Sig", "N")</f>
        <v>Sig</v>
      </c>
      <c r="E88" s="1" t="str">
        <f>IF(AND(I88&gt;2,K88&gt;2,M88&gt;2,O88&gt;2),"Y","N")</f>
        <v>Y</v>
      </c>
      <c r="F88" s="1" t="str">
        <f>IF(AND(Q88&gt;2,S88&gt;2,U88&gt;2,W88&gt;2),"Y","N")</f>
        <v>Y</v>
      </c>
      <c r="G88" s="1" t="str">
        <f>IF(OR(E88="Y", F88="Y"), "Expressed", "N")</f>
        <v>Expressed</v>
      </c>
      <c r="H88" s="8">
        <v>133</v>
      </c>
      <c r="I88" s="8">
        <v>3.372315580634814</v>
      </c>
      <c r="J88" s="8">
        <v>137</v>
      </c>
      <c r="K88" s="8">
        <v>2.1610289007010879</v>
      </c>
      <c r="L88" s="8">
        <v>133</v>
      </c>
      <c r="M88" s="8">
        <v>2.8012731214287441</v>
      </c>
      <c r="N88" s="8">
        <v>257</v>
      </c>
      <c r="O88" s="8">
        <v>3.0416902492343949</v>
      </c>
      <c r="P88" s="9">
        <v>367</v>
      </c>
      <c r="Q88" s="9">
        <v>5.454590329731678</v>
      </c>
      <c r="R88" s="9">
        <v>223</v>
      </c>
      <c r="S88" s="9">
        <v>5.010761475354947</v>
      </c>
      <c r="T88" s="9">
        <v>319</v>
      </c>
      <c r="U88" s="9">
        <v>4.2338659797359712</v>
      </c>
      <c r="V88" s="9">
        <v>668</v>
      </c>
      <c r="W88" s="9">
        <v>6.220158387409084</v>
      </c>
      <c r="X88">
        <v>253.1123612899074</v>
      </c>
      <c r="Y88">
        <v>0.90305636579911619</v>
      </c>
      <c r="Z88">
        <v>0.2133749670964927</v>
      </c>
      <c r="AA88">
        <v>4.2322507559695826</v>
      </c>
      <c r="AB88">
        <v>2.313642470469401E-5</v>
      </c>
      <c r="AC88">
        <v>7.7241917894316997E-3</v>
      </c>
      <c r="AD88" t="s">
        <v>434</v>
      </c>
      <c r="AE88" t="s">
        <v>435</v>
      </c>
      <c r="AF88" t="s">
        <v>436</v>
      </c>
      <c r="AG88" t="s">
        <v>437</v>
      </c>
      <c r="AH88" t="s">
        <v>43</v>
      </c>
      <c r="AI88" t="s">
        <v>43</v>
      </c>
      <c r="AJ88" t="s">
        <v>43</v>
      </c>
      <c r="AK88" t="s">
        <v>43</v>
      </c>
      <c r="AL88" t="s">
        <v>43</v>
      </c>
      <c r="AM88" t="s">
        <v>438</v>
      </c>
      <c r="AN88" t="s">
        <v>43</v>
      </c>
    </row>
    <row r="89" spans="1:40" x14ac:dyDescent="0.3">
      <c r="A89" t="s">
        <v>451</v>
      </c>
      <c r="B89">
        <v>745</v>
      </c>
      <c r="C89" t="str">
        <f>IF(Y89&lt;0, "Down", "Up")</f>
        <v>Up</v>
      </c>
      <c r="D89" s="7" t="str">
        <f>IF(AC89&lt;0.05, "Sig", "N")</f>
        <v>Sig</v>
      </c>
      <c r="E89" s="1" t="str">
        <f>IF(AND(I89&gt;2,K89&gt;2,M89&gt;2,O89&gt;2),"Y","N")</f>
        <v>N</v>
      </c>
      <c r="F89" s="1" t="str">
        <f>IF(AND(Q89&gt;2,S89&gt;2,U89&gt;2,W89&gt;2),"Y","N")</f>
        <v>Y</v>
      </c>
      <c r="G89" s="1" t="str">
        <f>IF(OR(E89="Y", F89="Y"), "Expressed", "N")</f>
        <v>Expressed</v>
      </c>
      <c r="H89" s="8">
        <v>168</v>
      </c>
      <c r="I89" s="8">
        <v>6.4611231753314149</v>
      </c>
      <c r="J89" s="8">
        <v>49</v>
      </c>
      <c r="K89" s="8">
        <v>1.1723526207007231</v>
      </c>
      <c r="L89" s="8">
        <v>150</v>
      </c>
      <c r="M89" s="8">
        <v>4.7920047846008176</v>
      </c>
      <c r="N89" s="8">
        <v>817</v>
      </c>
      <c r="O89" s="8">
        <v>14.666486590215889</v>
      </c>
      <c r="P89" s="9">
        <v>109</v>
      </c>
      <c r="Q89" s="9">
        <v>2.4572239669112919</v>
      </c>
      <c r="R89" s="9">
        <v>61</v>
      </c>
      <c r="S89" s="9">
        <v>2.0789826857448248</v>
      </c>
      <c r="T89" s="9">
        <v>224</v>
      </c>
      <c r="U89" s="9">
        <v>4.5093776978846183</v>
      </c>
      <c r="V89" s="9">
        <v>5239</v>
      </c>
      <c r="W89" s="9">
        <v>73.993837287603782</v>
      </c>
      <c r="X89">
        <v>570.17995231850932</v>
      </c>
      <c r="Y89">
        <v>1.6364496998399281</v>
      </c>
      <c r="Z89">
        <v>1.274713381576924</v>
      </c>
      <c r="AA89">
        <v>1.2837785524895859</v>
      </c>
      <c r="AD89" t="s">
        <v>452</v>
      </c>
      <c r="AE89" t="s">
        <v>453</v>
      </c>
      <c r="AF89" t="s">
        <v>454</v>
      </c>
      <c r="AG89" t="s">
        <v>43</v>
      </c>
      <c r="AH89" t="s">
        <v>43</v>
      </c>
      <c r="AI89" t="s">
        <v>43</v>
      </c>
      <c r="AJ89" t="s">
        <v>43</v>
      </c>
      <c r="AK89" t="s">
        <v>43</v>
      </c>
      <c r="AL89" t="s">
        <v>43</v>
      </c>
      <c r="AM89" t="s">
        <v>43</v>
      </c>
      <c r="AN89" t="s">
        <v>43</v>
      </c>
    </row>
    <row r="90" spans="1:40" x14ac:dyDescent="0.3">
      <c r="A90" t="s">
        <v>455</v>
      </c>
      <c r="B90">
        <v>3875</v>
      </c>
      <c r="C90" t="str">
        <f>IF(Y90&lt;0, "Down", "Up")</f>
        <v>Up</v>
      </c>
      <c r="D90" s="7" t="str">
        <f>IF(AC90&lt;0.05, "Sig", "N")</f>
        <v>Sig</v>
      </c>
      <c r="E90" s="1" t="str">
        <f>IF(AND(I90&gt;2,K90&gt;2,M90&gt;2,O90&gt;2),"Y","N")</f>
        <v>N</v>
      </c>
      <c r="F90" s="1" t="str">
        <f>IF(AND(Q90&gt;2,S90&gt;2,U90&gt;2,W90&gt;2),"Y","N")</f>
        <v>Y</v>
      </c>
      <c r="G90" s="1" t="str">
        <f>IF(OR(E90="Y", F90="Y"), "Expressed", "N")</f>
        <v>Expressed</v>
      </c>
      <c r="H90" s="8">
        <v>167</v>
      </c>
      <c r="I90" s="8">
        <v>1.234808970597324</v>
      </c>
      <c r="J90" s="8">
        <v>263</v>
      </c>
      <c r="K90" s="8">
        <v>1.209769115138887</v>
      </c>
      <c r="L90" s="8">
        <v>257</v>
      </c>
      <c r="M90" s="8">
        <v>1.578496681434143</v>
      </c>
      <c r="N90" s="8">
        <v>422</v>
      </c>
      <c r="O90" s="8">
        <v>1.4564683441696129</v>
      </c>
      <c r="P90" s="9">
        <v>1013</v>
      </c>
      <c r="Q90" s="9">
        <v>4.3904825557110341</v>
      </c>
      <c r="R90" s="9">
        <v>512</v>
      </c>
      <c r="S90" s="9">
        <v>3.354868982128</v>
      </c>
      <c r="T90" s="9">
        <v>543</v>
      </c>
      <c r="U90" s="9">
        <v>2.101614178587274</v>
      </c>
      <c r="V90" s="9">
        <v>876</v>
      </c>
      <c r="W90" s="9">
        <v>2.3786789200419181</v>
      </c>
      <c r="X90">
        <v>474.42747446676088</v>
      </c>
      <c r="Y90">
        <v>1.177021533631238</v>
      </c>
      <c r="Z90">
        <v>0.23397727237511801</v>
      </c>
      <c r="AA90">
        <v>5.0304951488801377</v>
      </c>
      <c r="AB90">
        <v>4.8921476629113391E-7</v>
      </c>
      <c r="AC90">
        <v>3.3360283531129448E-4</v>
      </c>
    </row>
    <row r="91" spans="1:40" x14ac:dyDescent="0.3">
      <c r="A91" t="s">
        <v>462</v>
      </c>
      <c r="B91">
        <v>1092</v>
      </c>
      <c r="C91" t="str">
        <f>IF(Y91&lt;0, "Down", "Up")</f>
        <v>Up</v>
      </c>
      <c r="D91" s="7" t="str">
        <f>IF(AC91&lt;0.05, "Sig", "N")</f>
        <v>Sig</v>
      </c>
      <c r="E91" s="1" t="str">
        <f>IF(AND(I91&gt;2,K91&gt;2,M91&gt;2,O91&gt;2),"Y","N")</f>
        <v>Y</v>
      </c>
      <c r="F91" s="1" t="str">
        <f>IF(AND(Q91&gt;2,S91&gt;2,U91&gt;2,W91&gt;2),"Y","N")</f>
        <v>Y</v>
      </c>
      <c r="G91" s="1" t="str">
        <f>IF(OR(E91="Y", F91="Y"), "Expressed", "N")</f>
        <v>Expressed</v>
      </c>
      <c r="H91" s="8">
        <v>245</v>
      </c>
      <c r="I91" s="8">
        <v>6.4283343557984827</v>
      </c>
      <c r="J91" s="8">
        <v>235</v>
      </c>
      <c r="K91" s="8">
        <v>3.8358681892273871</v>
      </c>
      <c r="L91" s="8">
        <v>273</v>
      </c>
      <c r="M91" s="8">
        <v>5.9500726075460157</v>
      </c>
      <c r="N91" s="8">
        <v>264</v>
      </c>
      <c r="O91" s="8">
        <v>3.2332671824503811</v>
      </c>
      <c r="P91" s="9">
        <v>1286</v>
      </c>
      <c r="Q91" s="9">
        <v>19.778477047238471</v>
      </c>
      <c r="R91" s="9">
        <v>705</v>
      </c>
      <c r="S91" s="9">
        <v>16.392447023364049</v>
      </c>
      <c r="T91" s="9">
        <v>1460</v>
      </c>
      <c r="U91" s="9">
        <v>20.051879423359409</v>
      </c>
      <c r="V91" s="9">
        <v>592</v>
      </c>
      <c r="W91" s="9">
        <v>5.7043017739811326</v>
      </c>
      <c r="X91">
        <v>617.01105843215464</v>
      </c>
      <c r="Y91">
        <v>1.6957953470064351</v>
      </c>
      <c r="Z91">
        <v>0.34287934344427329</v>
      </c>
      <c r="AA91">
        <v>4.9457495163515004</v>
      </c>
      <c r="AB91">
        <v>7.5851442719946117E-7</v>
      </c>
      <c r="AC91">
        <v>4.6750744984120631E-4</v>
      </c>
    </row>
    <row r="92" spans="1:40" x14ac:dyDescent="0.3">
      <c r="A92" t="s">
        <v>463</v>
      </c>
      <c r="B92">
        <v>1256</v>
      </c>
      <c r="C92" t="str">
        <f>IF(Y92&lt;0, "Down", "Up")</f>
        <v>Up</v>
      </c>
      <c r="D92" s="7" t="str">
        <f>IF(AC92&lt;0.05, "Sig", "N")</f>
        <v>Sig</v>
      </c>
      <c r="E92" s="1" t="str">
        <f>IF(AND(I92&gt;2,K92&gt;2,M92&gt;2,O92&gt;2),"Y","N")</f>
        <v>Y</v>
      </c>
      <c r="F92" s="1" t="str">
        <f>IF(AND(Q92&gt;2,S92&gt;2,U92&gt;2,W92&gt;2),"Y","N")</f>
        <v>Y</v>
      </c>
      <c r="G92" s="1" t="str">
        <f>IF(OR(E92="Y", F92="Y"), "Expressed", "N")</f>
        <v>Expressed</v>
      </c>
      <c r="H92" s="8">
        <v>246</v>
      </c>
      <c r="I92" s="8">
        <v>5.6117779626506499</v>
      </c>
      <c r="J92" s="8">
        <v>322</v>
      </c>
      <c r="K92" s="8">
        <v>4.5696683702699916</v>
      </c>
      <c r="L92" s="8">
        <v>1436</v>
      </c>
      <c r="M92" s="8">
        <v>27.211160077821901</v>
      </c>
      <c r="N92" s="8">
        <v>1298</v>
      </c>
      <c r="O92" s="8">
        <v>13.82118750205103</v>
      </c>
      <c r="P92" s="9">
        <v>9390</v>
      </c>
      <c r="Q92" s="9">
        <v>125.55975809126311</v>
      </c>
      <c r="R92" s="9">
        <v>5339</v>
      </c>
      <c r="S92" s="9">
        <v>107.9313456275159</v>
      </c>
      <c r="T92" s="9">
        <v>4337</v>
      </c>
      <c r="U92" s="9">
        <v>51.787464639073747</v>
      </c>
      <c r="V92" s="9">
        <v>18909</v>
      </c>
      <c r="W92" s="9">
        <v>158.40990990633671</v>
      </c>
      <c r="X92">
        <v>4304.3171591754008</v>
      </c>
      <c r="Y92">
        <v>3.173599735355106</v>
      </c>
      <c r="Z92">
        <v>0.62299076480475046</v>
      </c>
      <c r="AA92">
        <v>5.094136084585033</v>
      </c>
      <c r="AB92">
        <v>3.5033506632384261E-7</v>
      </c>
      <c r="AC92">
        <v>2.6368928476510337E-4</v>
      </c>
      <c r="AD92" t="s">
        <v>464</v>
      </c>
      <c r="AE92" t="s">
        <v>465</v>
      </c>
      <c r="AF92" t="s">
        <v>466</v>
      </c>
      <c r="AG92" t="s">
        <v>467</v>
      </c>
      <c r="AH92" t="s">
        <v>43</v>
      </c>
      <c r="AI92" t="s">
        <v>43</v>
      </c>
      <c r="AJ92" t="s">
        <v>43</v>
      </c>
      <c r="AK92" t="s">
        <v>43</v>
      </c>
      <c r="AL92" t="s">
        <v>43</v>
      </c>
      <c r="AM92" t="s">
        <v>468</v>
      </c>
      <c r="AN92" t="s">
        <v>43</v>
      </c>
    </row>
    <row r="93" spans="1:40" x14ac:dyDescent="0.3">
      <c r="A93" t="s">
        <v>469</v>
      </c>
      <c r="B93">
        <v>955</v>
      </c>
      <c r="C93" t="str">
        <f>IF(Y93&lt;0, "Down", "Up")</f>
        <v>Up</v>
      </c>
      <c r="D93" s="7" t="str">
        <f>IF(AC93&lt;0.05, "Sig", "N")</f>
        <v>Sig</v>
      </c>
      <c r="E93" s="1" t="str">
        <f>IF(AND(I93&gt;2,K93&gt;2,M93&gt;2,O93&gt;2),"Y","N")</f>
        <v>Y</v>
      </c>
      <c r="F93" s="1" t="str">
        <f>IF(AND(Q93&gt;2,S93&gt;2,U93&gt;2,W93&gt;2),"Y","N")</f>
        <v>Y</v>
      </c>
      <c r="G93" s="1" t="str">
        <f>IF(OR(E93="Y", F93="Y"), "Expressed", "N")</f>
        <v>Expressed</v>
      </c>
      <c r="H93" s="8">
        <v>532</v>
      </c>
      <c r="I93" s="8">
        <v>15.961116674837029</v>
      </c>
      <c r="J93" s="8">
        <v>575</v>
      </c>
      <c r="K93" s="8">
        <v>10.732055858375301</v>
      </c>
      <c r="L93" s="8">
        <v>553</v>
      </c>
      <c r="M93" s="8">
        <v>13.78173885643119</v>
      </c>
      <c r="N93" s="8">
        <v>900</v>
      </c>
      <c r="O93" s="8">
        <v>12.60374023049434</v>
      </c>
      <c r="P93" s="9">
        <v>1666</v>
      </c>
      <c r="Q93" s="9">
        <v>29.29855104482721</v>
      </c>
      <c r="R93" s="9">
        <v>1354</v>
      </c>
      <c r="S93" s="9">
        <v>35.999179548388589</v>
      </c>
      <c r="T93" s="9">
        <v>2146</v>
      </c>
      <c r="U93" s="9">
        <v>33.701653805380481</v>
      </c>
      <c r="V93" s="9">
        <v>1087</v>
      </c>
      <c r="W93" s="9">
        <v>11.97649112587148</v>
      </c>
      <c r="X93">
        <v>1088.7456767603801</v>
      </c>
      <c r="Y93">
        <v>1.0860921809273369</v>
      </c>
      <c r="Z93">
        <v>0.28935376380702832</v>
      </c>
      <c r="AA93">
        <v>3.7535097751541899</v>
      </c>
      <c r="AB93">
        <v>1.7437572904374291E-4</v>
      </c>
      <c r="AC93">
        <v>3.6056400747431987E-2</v>
      </c>
      <c r="AD93" t="s">
        <v>470</v>
      </c>
      <c r="AE93" t="s">
        <v>471</v>
      </c>
      <c r="AF93" t="s">
        <v>472</v>
      </c>
      <c r="AG93" t="s">
        <v>473</v>
      </c>
      <c r="AH93" t="s">
        <v>43</v>
      </c>
      <c r="AI93" t="s">
        <v>43</v>
      </c>
      <c r="AJ93" t="s">
        <v>43</v>
      </c>
      <c r="AK93" t="s">
        <v>43</v>
      </c>
      <c r="AL93" t="s">
        <v>43</v>
      </c>
      <c r="AM93" t="s">
        <v>474</v>
      </c>
      <c r="AN93" t="s">
        <v>43</v>
      </c>
    </row>
    <row r="94" spans="1:40" x14ac:dyDescent="0.3">
      <c r="A94" t="s">
        <v>475</v>
      </c>
      <c r="B94">
        <v>1170</v>
      </c>
      <c r="C94" t="str">
        <f>IF(Y94&lt;0, "Down", "Up")</f>
        <v>Up</v>
      </c>
      <c r="D94" s="7" t="str">
        <f>IF(AC94&lt;0.05, "Sig", "N")</f>
        <v>Sig</v>
      </c>
      <c r="E94" s="1" t="str">
        <f>IF(AND(I94&gt;2,K94&gt;2,M94&gt;2,O94&gt;2),"Y","N")</f>
        <v>Y</v>
      </c>
      <c r="F94" s="1" t="str">
        <f>IF(AND(Q94&gt;2,S94&gt;2,U94&gt;2,W94&gt;2),"Y","N")</f>
        <v>Y</v>
      </c>
      <c r="G94" s="1" t="str">
        <f>IF(OR(E94="Y", F94="Y"), "Expressed", "N")</f>
        <v>Expressed</v>
      </c>
      <c r="H94" s="8">
        <v>1092</v>
      </c>
      <c r="I94" s="8">
        <v>26.741870920121691</v>
      </c>
      <c r="J94" s="8">
        <v>1599</v>
      </c>
      <c r="K94" s="8">
        <v>24.360211428097671</v>
      </c>
      <c r="L94" s="8">
        <v>1652</v>
      </c>
      <c r="M94" s="8">
        <v>33.605196402276981</v>
      </c>
      <c r="N94" s="8">
        <v>2636</v>
      </c>
      <c r="O94" s="8">
        <v>30.13143739928001</v>
      </c>
      <c r="P94" s="9">
        <v>4164</v>
      </c>
      <c r="Q94" s="9">
        <v>59.772218659710433</v>
      </c>
      <c r="R94" s="9">
        <v>2500</v>
      </c>
      <c r="S94" s="9">
        <v>54.253961779455473</v>
      </c>
      <c r="T94" s="9">
        <v>3850</v>
      </c>
      <c r="U94" s="9">
        <v>49.351429265711069</v>
      </c>
      <c r="V94" s="9">
        <v>4571</v>
      </c>
      <c r="W94" s="9">
        <v>41.108230599566276</v>
      </c>
      <c r="X94">
        <v>2585.9216955182119</v>
      </c>
      <c r="Y94">
        <v>0.8575660874126666</v>
      </c>
      <c r="Z94">
        <v>0.15550178860370359</v>
      </c>
      <c r="AA94">
        <v>5.5148310197136974</v>
      </c>
      <c r="AB94">
        <v>3.4911523001846808E-8</v>
      </c>
      <c r="AC94">
        <v>3.60940100712642E-5</v>
      </c>
      <c r="AD94" t="s">
        <v>476</v>
      </c>
      <c r="AE94" t="s">
        <v>477</v>
      </c>
      <c r="AF94" t="s">
        <v>478</v>
      </c>
      <c r="AG94" t="s">
        <v>479</v>
      </c>
      <c r="AH94" t="s">
        <v>43</v>
      </c>
      <c r="AI94" t="s">
        <v>43</v>
      </c>
      <c r="AJ94" t="s">
        <v>43</v>
      </c>
      <c r="AK94" t="s">
        <v>43</v>
      </c>
      <c r="AL94" t="s">
        <v>43</v>
      </c>
      <c r="AM94" t="s">
        <v>480</v>
      </c>
      <c r="AN94" t="s">
        <v>43</v>
      </c>
    </row>
    <row r="95" spans="1:40" x14ac:dyDescent="0.3">
      <c r="A95" t="s">
        <v>485</v>
      </c>
      <c r="B95">
        <v>3342</v>
      </c>
      <c r="C95" t="str">
        <f>IF(Y95&lt;0, "Down", "Up")</f>
        <v>Up</v>
      </c>
      <c r="D95" s="7" t="str">
        <f>IF(AC95&lt;0.05, "Sig", "N")</f>
        <v>Sig</v>
      </c>
      <c r="E95" s="1" t="str">
        <f>IF(AND(I95&gt;2,K95&gt;2,M95&gt;2,O95&gt;2),"Y","N")</f>
        <v>N</v>
      </c>
      <c r="F95" s="1" t="str">
        <f>IF(AND(Q95&gt;2,S95&gt;2,U95&gt;2,W95&gt;2),"Y","N")</f>
        <v>Y</v>
      </c>
      <c r="G95" s="1" t="str">
        <f>IF(OR(E95="Y", F95="Y"), "Expressed", "N")</f>
        <v>Expressed</v>
      </c>
      <c r="H95" s="8">
        <v>210</v>
      </c>
      <c r="I95" s="8">
        <v>1.8003952594336861</v>
      </c>
      <c r="J95" s="8">
        <v>366</v>
      </c>
      <c r="K95" s="8">
        <v>1.952059680055118</v>
      </c>
      <c r="L95" s="8">
        <v>261</v>
      </c>
      <c r="M95" s="8">
        <v>1.8587300425727229</v>
      </c>
      <c r="N95" s="8">
        <v>413</v>
      </c>
      <c r="O95" s="8">
        <v>1.652737616533821</v>
      </c>
      <c r="P95" s="9">
        <v>539</v>
      </c>
      <c r="Q95" s="9">
        <v>2.708674611239394</v>
      </c>
      <c r="R95" s="9">
        <v>315</v>
      </c>
      <c r="S95" s="9">
        <v>2.3932133589249931</v>
      </c>
      <c r="T95" s="9">
        <v>713</v>
      </c>
      <c r="U95" s="9">
        <v>3.1996903485547059</v>
      </c>
      <c r="V95" s="9">
        <v>1377</v>
      </c>
      <c r="W95" s="9">
        <v>4.3354174292314873</v>
      </c>
      <c r="X95">
        <v>461.36250416582197</v>
      </c>
      <c r="Y95">
        <v>0.82452830537343802</v>
      </c>
      <c r="Z95">
        <v>0.21085768728479851</v>
      </c>
      <c r="AA95">
        <v>3.9103544954459029</v>
      </c>
      <c r="AB95">
        <v>9.2160764015811186E-5</v>
      </c>
      <c r="AC95">
        <v>2.312668033917353E-2</v>
      </c>
      <c r="AD95" t="s">
        <v>486</v>
      </c>
      <c r="AE95" t="s">
        <v>487</v>
      </c>
      <c r="AF95" t="s">
        <v>488</v>
      </c>
      <c r="AG95" t="s">
        <v>296</v>
      </c>
      <c r="AH95" t="s">
        <v>43</v>
      </c>
      <c r="AI95" t="s">
        <v>43</v>
      </c>
      <c r="AJ95" t="s">
        <v>43</v>
      </c>
      <c r="AK95" t="s">
        <v>43</v>
      </c>
      <c r="AL95" t="s">
        <v>43</v>
      </c>
      <c r="AM95" t="s">
        <v>297</v>
      </c>
      <c r="AN95" t="s">
        <v>43</v>
      </c>
    </row>
    <row r="96" spans="1:40" x14ac:dyDescent="0.3">
      <c r="A96" t="s">
        <v>489</v>
      </c>
      <c r="B96">
        <v>2343</v>
      </c>
      <c r="C96" t="str">
        <f>IF(Y96&lt;0, "Down", "Up")</f>
        <v>Up</v>
      </c>
      <c r="D96" s="7" t="str">
        <f>IF(AC96&lt;0.05, "Sig", "N")</f>
        <v>Sig</v>
      </c>
      <c r="E96" s="1" t="str">
        <f>IF(AND(I96&gt;2,K96&gt;2,M96&gt;2,O96&gt;2),"Y","N")</f>
        <v>N</v>
      </c>
      <c r="F96" s="1" t="str">
        <f>IF(AND(Q96&gt;2,S96&gt;2,U96&gt;2,W96&gt;2),"Y","N")</f>
        <v>Y</v>
      </c>
      <c r="G96" s="1" t="str">
        <f>IF(OR(E96="Y", F96="Y"), "Expressed", "N")</f>
        <v>Expressed</v>
      </c>
      <c r="H96" s="8">
        <v>39</v>
      </c>
      <c r="I96" s="8">
        <v>0.47692197086370303</v>
      </c>
      <c r="J96" s="8">
        <v>160</v>
      </c>
      <c r="K96" s="8">
        <v>1.2172117761767669</v>
      </c>
      <c r="L96" s="8">
        <v>58</v>
      </c>
      <c r="M96" s="8">
        <v>0.58916638708949021</v>
      </c>
      <c r="N96" s="8">
        <v>202</v>
      </c>
      <c r="O96" s="8">
        <v>1.1530267595507491</v>
      </c>
      <c r="P96" s="9">
        <v>1148</v>
      </c>
      <c r="Q96" s="9">
        <v>8.2289441903485745</v>
      </c>
      <c r="R96" s="9">
        <v>2516</v>
      </c>
      <c r="S96" s="9">
        <v>27.265637621753079</v>
      </c>
      <c r="T96" s="9">
        <v>2167</v>
      </c>
      <c r="U96" s="9">
        <v>13.871118750629529</v>
      </c>
      <c r="V96" s="9">
        <v>2100</v>
      </c>
      <c r="W96" s="9">
        <v>9.4308411687008551</v>
      </c>
      <c r="X96">
        <v>1021.932732030268</v>
      </c>
      <c r="Y96">
        <v>4.1171801519845941</v>
      </c>
      <c r="Z96">
        <v>0.52206250107439656</v>
      </c>
      <c r="AA96">
        <v>7.8863740328246159</v>
      </c>
      <c r="AB96">
        <v>3.11093267831548E-15</v>
      </c>
      <c r="AC96">
        <v>2.0764154631403769E-11</v>
      </c>
      <c r="AD96" t="s">
        <v>490</v>
      </c>
      <c r="AE96" t="s">
        <v>491</v>
      </c>
      <c r="AF96" t="s">
        <v>492</v>
      </c>
      <c r="AG96" t="s">
        <v>493</v>
      </c>
      <c r="AH96" t="s">
        <v>43</v>
      </c>
      <c r="AI96" t="s">
        <v>43</v>
      </c>
      <c r="AJ96" t="s">
        <v>43</v>
      </c>
      <c r="AK96" t="s">
        <v>43</v>
      </c>
      <c r="AL96" t="s">
        <v>43</v>
      </c>
      <c r="AM96" t="s">
        <v>494</v>
      </c>
      <c r="AN96" t="s">
        <v>43</v>
      </c>
    </row>
    <row r="97" spans="1:40" x14ac:dyDescent="0.3">
      <c r="A97" t="s">
        <v>495</v>
      </c>
      <c r="B97">
        <v>3031</v>
      </c>
      <c r="C97" t="str">
        <f>IF(Y97&lt;0, "Down", "Up")</f>
        <v>Up</v>
      </c>
      <c r="D97" s="7" t="str">
        <f>IF(AC97&lt;0.05, "Sig", "N")</f>
        <v>Sig</v>
      </c>
      <c r="E97" s="1" t="str">
        <f>IF(AND(I97&gt;2,K97&gt;2,M97&gt;2,O97&gt;2),"Y","N")</f>
        <v>Y</v>
      </c>
      <c r="F97" s="1" t="str">
        <f>IF(AND(Q97&gt;2,S97&gt;2,U97&gt;2,W97&gt;2),"Y","N")</f>
        <v>Y</v>
      </c>
      <c r="G97" s="1" t="str">
        <f>IF(OR(E97="Y", F97="Y"), "Expressed", "N")</f>
        <v>Expressed</v>
      </c>
      <c r="H97" s="8">
        <v>2267</v>
      </c>
      <c r="I97" s="8">
        <v>21.42992224722482</v>
      </c>
      <c r="J97" s="8">
        <v>4091</v>
      </c>
      <c r="K97" s="8">
        <v>24.058137043802869</v>
      </c>
      <c r="L97" s="8">
        <v>3294</v>
      </c>
      <c r="M97" s="8">
        <v>25.865442651608809</v>
      </c>
      <c r="N97" s="8">
        <v>2606</v>
      </c>
      <c r="O97" s="8">
        <v>11.498700987513541</v>
      </c>
      <c r="P97" s="9">
        <v>9521</v>
      </c>
      <c r="Q97" s="9">
        <v>52.755913344301533</v>
      </c>
      <c r="R97" s="9">
        <v>11806</v>
      </c>
      <c r="S97" s="9">
        <v>98.899512918357502</v>
      </c>
      <c r="T97" s="9">
        <v>7144</v>
      </c>
      <c r="U97" s="9">
        <v>35.34926405402706</v>
      </c>
      <c r="V97" s="9">
        <v>24402</v>
      </c>
      <c r="W97" s="9">
        <v>84.711605137925474</v>
      </c>
      <c r="X97">
        <v>7473.0142638035049</v>
      </c>
      <c r="Y97">
        <v>1.7412315735859329</v>
      </c>
      <c r="Z97">
        <v>0.30676036229449022</v>
      </c>
      <c r="AA97">
        <v>5.676194800925253</v>
      </c>
      <c r="AB97">
        <v>1.377239355262758E-8</v>
      </c>
      <c r="AC97">
        <v>1.697712359083514E-5</v>
      </c>
      <c r="AD97" t="s">
        <v>496</v>
      </c>
      <c r="AE97" t="s">
        <v>497</v>
      </c>
      <c r="AF97" t="s">
        <v>498</v>
      </c>
      <c r="AG97" t="s">
        <v>499</v>
      </c>
      <c r="AH97" t="s">
        <v>43</v>
      </c>
      <c r="AI97" t="s">
        <v>43</v>
      </c>
      <c r="AJ97" t="s">
        <v>43</v>
      </c>
      <c r="AK97" t="s">
        <v>43</v>
      </c>
      <c r="AL97" t="s">
        <v>43</v>
      </c>
      <c r="AM97" t="s">
        <v>500</v>
      </c>
      <c r="AN97" t="s">
        <v>43</v>
      </c>
    </row>
    <row r="98" spans="1:40" x14ac:dyDescent="0.3">
      <c r="A98" t="s">
        <v>506</v>
      </c>
      <c r="B98">
        <v>1846</v>
      </c>
      <c r="C98" t="str">
        <f>IF(Y98&lt;0, "Down", "Up")</f>
        <v>Up</v>
      </c>
      <c r="D98" s="7" t="str">
        <f>IF(AC98&lt;0.05, "Sig", "N")</f>
        <v>Sig</v>
      </c>
      <c r="E98" s="1" t="str">
        <f>IF(AND(I98&gt;2,K98&gt;2,M98&gt;2,O98&gt;2),"Y","N")</f>
        <v>Y</v>
      </c>
      <c r="F98" s="1" t="str">
        <f>IF(AND(Q98&gt;2,S98&gt;2,U98&gt;2,W98&gt;2),"Y","N")</f>
        <v>Y</v>
      </c>
      <c r="G98" s="1" t="str">
        <f>IF(OR(E98="Y", F98="Y"), "Expressed", "N")</f>
        <v>Expressed</v>
      </c>
      <c r="H98" s="8">
        <v>882</v>
      </c>
      <c r="I98" s="8">
        <v>13.689635980235639</v>
      </c>
      <c r="J98" s="8">
        <v>1116</v>
      </c>
      <c r="K98" s="8">
        <v>10.77583540698029</v>
      </c>
      <c r="L98" s="8">
        <v>1246</v>
      </c>
      <c r="M98" s="8">
        <v>16.064551395454679</v>
      </c>
      <c r="N98" s="8">
        <v>1533</v>
      </c>
      <c r="O98" s="8">
        <v>11.106334870318509</v>
      </c>
      <c r="P98" s="9">
        <v>2239</v>
      </c>
      <c r="Q98" s="9">
        <v>20.370276045037691</v>
      </c>
      <c r="R98" s="9">
        <v>1417</v>
      </c>
      <c r="S98" s="9">
        <v>19.49016266403931</v>
      </c>
      <c r="T98" s="9">
        <v>2053</v>
      </c>
      <c r="U98" s="9">
        <v>16.679465127904582</v>
      </c>
      <c r="V98" s="9">
        <v>3931</v>
      </c>
      <c r="W98" s="9">
        <v>22.406538625043609</v>
      </c>
      <c r="X98">
        <v>1667.750946250791</v>
      </c>
      <c r="Y98">
        <v>0.64017066474273576</v>
      </c>
      <c r="Z98">
        <v>0.16471139367826029</v>
      </c>
      <c r="AA98">
        <v>3.886620411901899</v>
      </c>
      <c r="AB98">
        <v>1.016495157404513E-4</v>
      </c>
      <c r="AC98">
        <v>2.4680810450617149E-2</v>
      </c>
      <c r="AD98" t="s">
        <v>507</v>
      </c>
      <c r="AE98" t="s">
        <v>508</v>
      </c>
      <c r="AF98" t="s">
        <v>55</v>
      </c>
      <c r="AG98" t="s">
        <v>509</v>
      </c>
      <c r="AH98" t="s">
        <v>43</v>
      </c>
      <c r="AI98" t="s">
        <v>43</v>
      </c>
      <c r="AJ98" t="s">
        <v>43</v>
      </c>
      <c r="AK98" t="s">
        <v>43</v>
      </c>
      <c r="AL98" t="s">
        <v>43</v>
      </c>
      <c r="AM98" t="s">
        <v>510</v>
      </c>
      <c r="AN98" t="s">
        <v>43</v>
      </c>
    </row>
    <row r="99" spans="1:40" x14ac:dyDescent="0.3">
      <c r="A99" t="s">
        <v>517</v>
      </c>
      <c r="B99">
        <v>3383</v>
      </c>
      <c r="C99" t="str">
        <f>IF(Y99&lt;0, "Down", "Up")</f>
        <v>Up</v>
      </c>
      <c r="D99" s="7" t="str">
        <f>IF(AC99&lt;0.05, "Sig", "N")</f>
        <v>Sig</v>
      </c>
      <c r="E99" s="1" t="str">
        <f>IF(AND(I99&gt;2,K99&gt;2,M99&gt;2,O99&gt;2),"Y","N")</f>
        <v>Y</v>
      </c>
      <c r="F99" s="1" t="str">
        <f>IF(AND(Q99&gt;2,S99&gt;2,U99&gt;2,W99&gt;2),"Y","N")</f>
        <v>Y</v>
      </c>
      <c r="G99" s="1" t="str">
        <f>IF(OR(E99="Y", F99="Y"), "Expressed", "N")</f>
        <v>Expressed</v>
      </c>
      <c r="H99" s="8">
        <v>835</v>
      </c>
      <c r="I99" s="8">
        <v>7.0719550119193473</v>
      </c>
      <c r="J99" s="8">
        <v>546</v>
      </c>
      <c r="K99" s="8">
        <v>2.8767961990168911</v>
      </c>
      <c r="L99" s="8">
        <v>467</v>
      </c>
      <c r="M99" s="8">
        <v>3.2854672275778771</v>
      </c>
      <c r="N99" s="8">
        <v>621</v>
      </c>
      <c r="O99" s="8">
        <v>2.4549910212486692</v>
      </c>
      <c r="P99" s="9">
        <v>2595</v>
      </c>
      <c r="Q99" s="9">
        <v>12.88278864541387</v>
      </c>
      <c r="R99" s="9">
        <v>1303</v>
      </c>
      <c r="S99" s="9">
        <v>9.7795692902628026</v>
      </c>
      <c r="T99" s="9">
        <v>1915</v>
      </c>
      <c r="U99" s="9">
        <v>8.4896863877284776</v>
      </c>
      <c r="V99" s="9">
        <v>3742</v>
      </c>
      <c r="W99" s="9">
        <v>11.63871972349588</v>
      </c>
      <c r="X99">
        <v>1375.611777841244</v>
      </c>
      <c r="Y99">
        <v>1.4532347022282119</v>
      </c>
      <c r="Z99">
        <v>0.30213420407187258</v>
      </c>
      <c r="AA99">
        <v>4.8098979944770228</v>
      </c>
      <c r="AB99">
        <v>1.5100733826647819E-6</v>
      </c>
      <c r="AC99">
        <v>8.0663086524010452E-4</v>
      </c>
      <c r="AD99" t="s">
        <v>518</v>
      </c>
      <c r="AE99" t="s">
        <v>519</v>
      </c>
      <c r="AF99" t="s">
        <v>520</v>
      </c>
      <c r="AG99" t="s">
        <v>521</v>
      </c>
      <c r="AH99" t="s">
        <v>43</v>
      </c>
      <c r="AI99" t="s">
        <v>43</v>
      </c>
      <c r="AJ99" t="s">
        <v>43</v>
      </c>
      <c r="AK99" t="s">
        <v>43</v>
      </c>
      <c r="AL99" t="s">
        <v>43</v>
      </c>
      <c r="AM99" t="s">
        <v>522</v>
      </c>
      <c r="AN99" t="s">
        <v>43</v>
      </c>
    </row>
    <row r="100" spans="1:40" x14ac:dyDescent="0.3">
      <c r="A100" t="s">
        <v>523</v>
      </c>
      <c r="B100">
        <v>1070</v>
      </c>
      <c r="C100" t="str">
        <f>IF(Y100&lt;0, "Down", "Up")</f>
        <v>Up</v>
      </c>
      <c r="D100" s="7" t="str">
        <f>IF(AC100&lt;0.05, "Sig", "N")</f>
        <v>Sig</v>
      </c>
      <c r="E100" s="1" t="str">
        <f>IF(AND(I100&gt;2,K100&gt;2,M100&gt;2,O100&gt;2),"Y","N")</f>
        <v>Y</v>
      </c>
      <c r="F100" s="1" t="str">
        <f>IF(AND(Q100&gt;2,S100&gt;2,U100&gt;2,W100&gt;2),"Y","N")</f>
        <v>Y</v>
      </c>
      <c r="G100" s="1" t="str">
        <f>IF(OR(E100="Y", F100="Y"), "Expressed", "N")</f>
        <v>Expressed</v>
      </c>
      <c r="H100" s="8">
        <v>146</v>
      </c>
      <c r="I100" s="8">
        <v>3.909525855478404</v>
      </c>
      <c r="J100" s="8">
        <v>227</v>
      </c>
      <c r="K100" s="8">
        <v>3.7814688813618669</v>
      </c>
      <c r="L100" s="8">
        <v>144</v>
      </c>
      <c r="M100" s="8">
        <v>3.203029740136921</v>
      </c>
      <c r="N100" s="8">
        <v>193</v>
      </c>
      <c r="O100" s="8">
        <v>2.412313998529144</v>
      </c>
      <c r="P100" s="9">
        <v>576</v>
      </c>
      <c r="Q100" s="9">
        <v>9.0409324245989318</v>
      </c>
      <c r="R100" s="9">
        <v>571</v>
      </c>
      <c r="S100" s="9">
        <v>13.54969878355171</v>
      </c>
      <c r="T100" s="9">
        <v>771</v>
      </c>
      <c r="U100" s="9">
        <v>10.80675902359995</v>
      </c>
      <c r="V100" s="9">
        <v>1360</v>
      </c>
      <c r="W100" s="9">
        <v>13.373914894188649</v>
      </c>
      <c r="X100">
        <v>447.821570046099</v>
      </c>
      <c r="Y100">
        <v>1.8388883564827001</v>
      </c>
      <c r="Z100">
        <v>0.2253855962631616</v>
      </c>
      <c r="AA100">
        <v>8.1588548113589408</v>
      </c>
      <c r="AB100">
        <v>3.3821589773969489E-16</v>
      </c>
      <c r="AC100">
        <v>5.4199097612786096E-12</v>
      </c>
    </row>
    <row r="101" spans="1:40" x14ac:dyDescent="0.3">
      <c r="A101" t="s">
        <v>524</v>
      </c>
      <c r="B101">
        <v>1547</v>
      </c>
      <c r="C101" t="str">
        <f>IF(Y101&lt;0, "Down", "Up")</f>
        <v>Up</v>
      </c>
      <c r="D101" s="7" t="str">
        <f>IF(AC101&lt;0.05, "Sig", "N")</f>
        <v>Sig</v>
      </c>
      <c r="E101" s="1" t="str">
        <f>IF(AND(I101&gt;2,K101&gt;2,M101&gt;2,O101&gt;2),"Y","N")</f>
        <v>Y</v>
      </c>
      <c r="F101" s="1" t="str">
        <f>IF(AND(Q101&gt;2,S101&gt;2,U101&gt;2,W101&gt;2),"Y","N")</f>
        <v>Y</v>
      </c>
      <c r="G101" s="1" t="str">
        <f>IF(OR(E101="Y", F101="Y"), "Expressed", "N")</f>
        <v>Expressed</v>
      </c>
      <c r="H101" s="8">
        <v>282</v>
      </c>
      <c r="I101" s="8">
        <v>5.2229252004854896</v>
      </c>
      <c r="J101" s="8">
        <v>419</v>
      </c>
      <c r="K101" s="8">
        <v>4.8277209650651569</v>
      </c>
      <c r="L101" s="8">
        <v>406</v>
      </c>
      <c r="M101" s="8">
        <v>6.2462300676501146</v>
      </c>
      <c r="N101" s="8">
        <v>384</v>
      </c>
      <c r="O101" s="8">
        <v>3.319718176633546</v>
      </c>
      <c r="P101" s="9">
        <v>4647</v>
      </c>
      <c r="Q101" s="9">
        <v>50.44950114638214</v>
      </c>
      <c r="R101" s="9">
        <v>4628</v>
      </c>
      <c r="S101" s="9">
        <v>75.959193816399292</v>
      </c>
      <c r="T101" s="9">
        <v>8190</v>
      </c>
      <c r="U101" s="9">
        <v>79.39962569410811</v>
      </c>
      <c r="V101" s="9">
        <v>432</v>
      </c>
      <c r="W101" s="9">
        <v>2.9383048883464018</v>
      </c>
      <c r="X101">
        <v>2467.979822929984</v>
      </c>
      <c r="Y101">
        <v>3.443804346500404</v>
      </c>
      <c r="Z101">
        <v>0.82333015166566015</v>
      </c>
      <c r="AA101">
        <v>4.1827744793911936</v>
      </c>
      <c r="AB101">
        <v>2.8797301922573909E-5</v>
      </c>
      <c r="AC101">
        <v>9.3227628951363002E-3</v>
      </c>
      <c r="AD101" t="s">
        <v>525</v>
      </c>
      <c r="AE101" t="s">
        <v>526</v>
      </c>
      <c r="AF101" t="s">
        <v>527</v>
      </c>
      <c r="AG101" t="s">
        <v>528</v>
      </c>
      <c r="AH101" t="s">
        <v>43</v>
      </c>
      <c r="AI101" t="s">
        <v>43</v>
      </c>
      <c r="AJ101" t="s">
        <v>43</v>
      </c>
      <c r="AK101" t="s">
        <v>43</v>
      </c>
      <c r="AL101" t="s">
        <v>43</v>
      </c>
      <c r="AM101" t="s">
        <v>529</v>
      </c>
      <c r="AN101" t="s">
        <v>43</v>
      </c>
    </row>
    <row r="102" spans="1:40" x14ac:dyDescent="0.3">
      <c r="A102" t="s">
        <v>530</v>
      </c>
      <c r="B102">
        <v>1328</v>
      </c>
      <c r="C102" t="str">
        <f>IF(Y102&lt;0, "Down", "Up")</f>
        <v>Up</v>
      </c>
      <c r="D102" s="7" t="str">
        <f>IF(AC102&lt;0.05, "Sig", "N")</f>
        <v>Sig</v>
      </c>
      <c r="E102" s="1" t="str">
        <f>IF(AND(I102&gt;2,K102&gt;2,M102&gt;2,O102&gt;2),"Y","N")</f>
        <v>Y</v>
      </c>
      <c r="F102" s="1" t="str">
        <f>IF(AND(Q102&gt;2,S102&gt;2,U102&gt;2,W102&gt;2),"Y","N")</f>
        <v>Y</v>
      </c>
      <c r="G102" s="1" t="str">
        <f>IF(OR(E102="Y", F102="Y"), "Expressed", "N")</f>
        <v>Expressed</v>
      </c>
      <c r="H102" s="8">
        <v>3054</v>
      </c>
      <c r="I102" s="8">
        <v>65.890980359873851</v>
      </c>
      <c r="J102" s="8">
        <v>5120</v>
      </c>
      <c r="K102" s="8">
        <v>68.72113714655822</v>
      </c>
      <c r="L102" s="8">
        <v>3355</v>
      </c>
      <c r="M102" s="8">
        <v>60.127992766014707</v>
      </c>
      <c r="N102" s="8">
        <v>6547</v>
      </c>
      <c r="O102" s="8">
        <v>65.933263354283284</v>
      </c>
      <c r="P102" s="9">
        <v>14447</v>
      </c>
      <c r="Q102" s="9">
        <v>182.70654923058569</v>
      </c>
      <c r="R102" s="9">
        <v>9402</v>
      </c>
      <c r="S102" s="9">
        <v>179.76265840994429</v>
      </c>
      <c r="T102" s="9">
        <v>14894</v>
      </c>
      <c r="U102" s="9">
        <v>168.2047057103145</v>
      </c>
      <c r="V102" s="9">
        <v>6073</v>
      </c>
      <c r="W102" s="9">
        <v>48.118117753962302</v>
      </c>
      <c r="X102">
        <v>7741.2633138020146</v>
      </c>
      <c r="Y102">
        <v>1.1685438297140489</v>
      </c>
      <c r="Z102">
        <v>0.31190043782594368</v>
      </c>
      <c r="AA102">
        <v>3.7465283404512442</v>
      </c>
      <c r="AB102">
        <v>1.7929875526954061E-4</v>
      </c>
      <c r="AC102">
        <v>3.6602070741329797E-2</v>
      </c>
      <c r="AD102" t="s">
        <v>531</v>
      </c>
      <c r="AE102" t="s">
        <v>532</v>
      </c>
      <c r="AF102" t="s">
        <v>533</v>
      </c>
      <c r="AG102" t="s">
        <v>534</v>
      </c>
      <c r="AH102" t="s">
        <v>43</v>
      </c>
      <c r="AI102" t="s">
        <v>43</v>
      </c>
      <c r="AJ102" t="s">
        <v>43</v>
      </c>
      <c r="AK102" t="s">
        <v>43</v>
      </c>
      <c r="AL102" t="s">
        <v>43</v>
      </c>
      <c r="AM102" t="s">
        <v>535</v>
      </c>
      <c r="AN102" t="s">
        <v>43</v>
      </c>
    </row>
    <row r="103" spans="1:40" x14ac:dyDescent="0.3">
      <c r="A103" t="s">
        <v>562</v>
      </c>
      <c r="B103">
        <v>300</v>
      </c>
      <c r="C103" t="str">
        <f>IF(Y103&lt;0, "Down", "Up")</f>
        <v>Up</v>
      </c>
      <c r="D103" s="7" t="str">
        <f>IF(AC103&lt;0.05, "Sig", "N")</f>
        <v>Sig</v>
      </c>
      <c r="E103" s="1" t="str">
        <f>IF(AND(I103&gt;2,K103&gt;2,M103&gt;2,O103&gt;2),"Y","N")</f>
        <v>Y</v>
      </c>
      <c r="F103" s="1" t="str">
        <f>IF(AND(Q103&gt;2,S103&gt;2,U103&gt;2,W103&gt;2),"Y","N")</f>
        <v>Y</v>
      </c>
      <c r="G103" s="1" t="str">
        <f>IF(OR(E103="Y", F103="Y"), "Expressed", "N")</f>
        <v>Expressed</v>
      </c>
      <c r="H103" s="8">
        <v>569</v>
      </c>
      <c r="I103" s="8">
        <v>54.34330197696157</v>
      </c>
      <c r="J103" s="8">
        <v>898</v>
      </c>
      <c r="K103" s="8">
        <v>53.354804542516362</v>
      </c>
      <c r="L103" s="8">
        <v>768</v>
      </c>
      <c r="M103" s="8">
        <v>60.9287435012712</v>
      </c>
      <c r="N103" s="8">
        <v>1535</v>
      </c>
      <c r="O103" s="8">
        <v>68.430140360694153</v>
      </c>
      <c r="P103" s="9">
        <v>1574</v>
      </c>
      <c r="Q103" s="9">
        <v>88.116652609149483</v>
      </c>
      <c r="R103" s="9">
        <v>1146</v>
      </c>
      <c r="S103" s="9">
        <v>96.993062710839311</v>
      </c>
      <c r="T103" s="9">
        <v>1724</v>
      </c>
      <c r="U103" s="9">
        <v>86.186823327515569</v>
      </c>
      <c r="V103" s="9">
        <v>2149</v>
      </c>
      <c r="W103" s="9">
        <v>75.373483149863262</v>
      </c>
      <c r="X103">
        <v>1213.29747777477</v>
      </c>
      <c r="Y103">
        <v>0.56973622302785953</v>
      </c>
      <c r="Z103">
        <v>0.14818391036863179</v>
      </c>
      <c r="AA103">
        <v>3.8447913920650829</v>
      </c>
      <c r="AB103">
        <v>1.206550355598836E-4</v>
      </c>
      <c r="AC103">
        <v>2.802169485285701E-2</v>
      </c>
      <c r="AD103" t="s">
        <v>563</v>
      </c>
      <c r="AE103" t="s">
        <v>564</v>
      </c>
      <c r="AF103" t="s">
        <v>43</v>
      </c>
      <c r="AG103" t="s">
        <v>43</v>
      </c>
      <c r="AH103" t="s">
        <v>43</v>
      </c>
      <c r="AI103" t="s">
        <v>43</v>
      </c>
      <c r="AJ103" t="s">
        <v>43</v>
      </c>
      <c r="AK103" t="s">
        <v>43</v>
      </c>
      <c r="AL103" t="s">
        <v>43</v>
      </c>
      <c r="AM103" t="s">
        <v>43</v>
      </c>
      <c r="AN103" t="s">
        <v>43</v>
      </c>
    </row>
    <row r="104" spans="1:40" x14ac:dyDescent="0.3">
      <c r="A104" t="s">
        <v>565</v>
      </c>
      <c r="B104">
        <v>2572</v>
      </c>
      <c r="C104" t="str">
        <f>IF(Y104&lt;0, "Down", "Up")</f>
        <v>Up</v>
      </c>
      <c r="D104" s="7" t="str">
        <f>IF(AC104&lt;0.05, "Sig", "N")</f>
        <v>Sig</v>
      </c>
      <c r="E104" s="1" t="str">
        <f>IF(AND(I104&gt;2,K104&gt;2,M104&gt;2,O104&gt;2),"Y","N")</f>
        <v>Y</v>
      </c>
      <c r="F104" s="1" t="str">
        <f>IF(AND(Q104&gt;2,S104&gt;2,U104&gt;2,W104&gt;2),"Y","N")</f>
        <v>Y</v>
      </c>
      <c r="G104" s="1" t="str">
        <f>IF(OR(E104="Y", F104="Y"), "Expressed", "N")</f>
        <v>Expressed</v>
      </c>
      <c r="H104" s="8">
        <v>4536</v>
      </c>
      <c r="I104" s="8">
        <v>50.530906948596972</v>
      </c>
      <c r="J104" s="8">
        <v>6454</v>
      </c>
      <c r="K104" s="8">
        <v>44.727687826767351</v>
      </c>
      <c r="L104" s="8">
        <v>4974</v>
      </c>
      <c r="M104" s="8">
        <v>46.027466796164667</v>
      </c>
      <c r="N104" s="8">
        <v>8672</v>
      </c>
      <c r="O104" s="8">
        <v>45.092946125496297</v>
      </c>
      <c r="P104" s="9">
        <v>10004</v>
      </c>
      <c r="Q104" s="9">
        <v>65.324671768339769</v>
      </c>
      <c r="R104" s="9">
        <v>7268</v>
      </c>
      <c r="S104" s="9">
        <v>71.749894125864131</v>
      </c>
      <c r="T104" s="9">
        <v>10548</v>
      </c>
      <c r="U104" s="9">
        <v>61.506926218095252</v>
      </c>
      <c r="V104" s="9">
        <v>14218</v>
      </c>
      <c r="W104" s="9">
        <v>58.166237221881701</v>
      </c>
      <c r="X104">
        <v>7903.477458593331</v>
      </c>
      <c r="Y104">
        <v>0.48183810998668852</v>
      </c>
      <c r="Z104">
        <v>0.13201977586808791</v>
      </c>
      <c r="AA104">
        <v>3.649741917969425</v>
      </c>
      <c r="AB104">
        <v>2.6250391665198471E-4</v>
      </c>
      <c r="AC104">
        <v>4.9782547507077578E-2</v>
      </c>
      <c r="AD104" t="s">
        <v>566</v>
      </c>
      <c r="AE104" t="s">
        <v>567</v>
      </c>
      <c r="AF104" t="s">
        <v>568</v>
      </c>
      <c r="AG104" t="s">
        <v>569</v>
      </c>
      <c r="AH104" t="s">
        <v>43</v>
      </c>
      <c r="AI104" t="s">
        <v>43</v>
      </c>
      <c r="AJ104" t="s">
        <v>43</v>
      </c>
      <c r="AK104" t="s">
        <v>43</v>
      </c>
      <c r="AL104" t="s">
        <v>43</v>
      </c>
      <c r="AM104" t="s">
        <v>570</v>
      </c>
      <c r="AN104" t="s">
        <v>43</v>
      </c>
    </row>
  </sheetData>
  <sortState xmlns:xlrd2="http://schemas.microsoft.com/office/spreadsheetml/2017/richdata2" ref="A2:AN104">
    <sortCondition ref="C2:C10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8C61-9AB9-4542-AB31-05A19D6166CA}">
  <dimension ref="A1:AN663"/>
  <sheetViews>
    <sheetView topLeftCell="A449" workbookViewId="0">
      <selection activeCell="F463" sqref="F463"/>
    </sheetView>
  </sheetViews>
  <sheetFormatPr defaultRowHeight="14.4" x14ac:dyDescent="0.3"/>
  <cols>
    <col min="1" max="1" width="27.21875" customWidth="1"/>
    <col min="9" max="9" width="19.33203125" customWidth="1"/>
    <col min="10" max="10" width="17.77734375" customWidth="1"/>
    <col min="39" max="39" width="255.77734375" bestFit="1" customWidth="1"/>
  </cols>
  <sheetData>
    <row r="1" spans="1:40" s="2" customFormat="1" x14ac:dyDescent="0.3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571</v>
      </c>
      <c r="I1" s="5" t="s">
        <v>572</v>
      </c>
      <c r="J1" s="3" t="s">
        <v>573</v>
      </c>
      <c r="K1" s="5" t="s">
        <v>574</v>
      </c>
      <c r="L1" s="3" t="s">
        <v>575</v>
      </c>
      <c r="M1" s="5" t="s">
        <v>576</v>
      </c>
      <c r="N1" s="3" t="s">
        <v>577</v>
      </c>
      <c r="O1" s="5" t="s">
        <v>578</v>
      </c>
      <c r="P1" s="3" t="s">
        <v>579</v>
      </c>
      <c r="Q1" s="6" t="s">
        <v>580</v>
      </c>
      <c r="R1" s="3" t="s">
        <v>581</v>
      </c>
      <c r="S1" s="6" t="s">
        <v>582</v>
      </c>
      <c r="T1" s="3" t="s">
        <v>583</v>
      </c>
      <c r="U1" s="6" t="s">
        <v>584</v>
      </c>
      <c r="V1" s="3" t="s">
        <v>585</v>
      </c>
      <c r="W1" s="6" t="s">
        <v>586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x14ac:dyDescent="0.3">
      <c r="A2" t="s">
        <v>598</v>
      </c>
      <c r="B2">
        <v>1278</v>
      </c>
      <c r="C2" t="str">
        <f>IF(Y2&lt;0, "Down", "Up")</f>
        <v>Down</v>
      </c>
      <c r="D2" s="7" t="str">
        <f>IF(AC2&lt;0.05, "Sig", "N")</f>
        <v>Sig</v>
      </c>
      <c r="E2" s="1" t="str">
        <f>IF(AND(H2&gt;2,J2&gt;2,L2&gt;2,N2&gt;2),"Y","N")</f>
        <v>Y</v>
      </c>
      <c r="F2" s="1" t="str">
        <f>IF(AND(P2&gt;2,R2&gt;2,T2&gt;2,V2&gt;2),"Y","N")</f>
        <v>Y</v>
      </c>
      <c r="G2" s="1" t="str">
        <f>IF(OR(E2="Y", F2="Y"), "Expressed", "N")</f>
        <v>Expressed</v>
      </c>
      <c r="H2" s="8">
        <v>331.34525599355379</v>
      </c>
      <c r="I2" s="8">
        <v>18840</v>
      </c>
      <c r="J2" s="8">
        <v>298.07280447385858</v>
      </c>
      <c r="K2" s="8">
        <v>37962</v>
      </c>
      <c r="L2" s="8">
        <v>397.66881959839247</v>
      </c>
      <c r="M2" s="8">
        <v>39276</v>
      </c>
      <c r="N2" s="8">
        <v>266.42633618961838</v>
      </c>
      <c r="O2" s="8">
        <v>15662</v>
      </c>
      <c r="P2" s="9">
        <v>129.41626548156921</v>
      </c>
      <c r="Q2" s="9">
        <v>28128</v>
      </c>
      <c r="R2" s="9">
        <v>500.11878824018618</v>
      </c>
      <c r="S2" s="9">
        <v>12907</v>
      </c>
      <c r="T2" s="9">
        <v>388.43935975799701</v>
      </c>
      <c r="U2" s="9">
        <v>7513</v>
      </c>
      <c r="V2" s="9">
        <v>58.54290304049313</v>
      </c>
      <c r="W2" s="9">
        <v>22519</v>
      </c>
      <c r="X2">
        <v>20512.167151685499</v>
      </c>
      <c r="Y2">
        <v>-0.52052909895245347</v>
      </c>
      <c r="Z2">
        <v>0.1373825678946646</v>
      </c>
      <c r="AA2">
        <v>-3.7889020923787</v>
      </c>
      <c r="AB2">
        <v>1.5131452920470021E-4</v>
      </c>
      <c r="AC2">
        <v>8.8115422435509037E-3</v>
      </c>
      <c r="AD2" t="s">
        <v>599</v>
      </c>
      <c r="AE2" t="s">
        <v>600</v>
      </c>
      <c r="AF2" t="s">
        <v>55</v>
      </c>
      <c r="AG2" t="s">
        <v>43</v>
      </c>
      <c r="AH2" t="s">
        <v>43</v>
      </c>
      <c r="AI2" t="s">
        <v>43</v>
      </c>
      <c r="AJ2" t="s">
        <v>43</v>
      </c>
      <c r="AK2" t="s">
        <v>43</v>
      </c>
      <c r="AL2" t="s">
        <v>43</v>
      </c>
      <c r="AM2" t="s">
        <v>43</v>
      </c>
      <c r="AN2" t="s">
        <v>43</v>
      </c>
    </row>
    <row r="3" spans="1:40" x14ac:dyDescent="0.3">
      <c r="A3" t="s">
        <v>131</v>
      </c>
      <c r="B3">
        <v>1610</v>
      </c>
      <c r="C3" t="str">
        <f>IF(Y3&lt;0, "Down", "Up")</f>
        <v>Down</v>
      </c>
      <c r="D3" s="7" t="str">
        <f>IF(AC3&lt;0.05, "Sig", "N")</f>
        <v>Sig</v>
      </c>
      <c r="E3" s="1" t="str">
        <f>IF(AND(H3&gt;2,J3&gt;2,L3&gt;2,N3&gt;2),"Y","N")</f>
        <v>Y</v>
      </c>
      <c r="F3" s="1" t="str">
        <f>IF(AND(P3&gt;2,R3&gt;2,T3&gt;2,V3&gt;2),"Y","N")</f>
        <v>Y</v>
      </c>
      <c r="G3" s="1" t="str">
        <f>IF(OR(E3="Y", F3="Y"), "Expressed", "N")</f>
        <v>Expressed</v>
      </c>
      <c r="H3" s="8">
        <v>217.57632799036301</v>
      </c>
      <c r="I3" s="8">
        <v>15585</v>
      </c>
      <c r="J3" s="8">
        <v>266.26841718717111</v>
      </c>
      <c r="K3" s="8">
        <v>42721</v>
      </c>
      <c r="L3" s="8">
        <v>134.52494716030381</v>
      </c>
      <c r="M3" s="8">
        <v>16738</v>
      </c>
      <c r="N3" s="8">
        <v>174.87922262410871</v>
      </c>
      <c r="O3" s="8">
        <v>12951</v>
      </c>
      <c r="P3" s="9">
        <v>84.947367538862679</v>
      </c>
      <c r="Q3" s="9">
        <v>18214</v>
      </c>
      <c r="R3" s="9">
        <v>257.06599229411393</v>
      </c>
      <c r="S3" s="9">
        <v>2947</v>
      </c>
      <c r="T3" s="9">
        <v>70.401681677779564</v>
      </c>
      <c r="U3" s="9">
        <v>4077</v>
      </c>
      <c r="V3" s="9">
        <v>25.217762773065289</v>
      </c>
      <c r="W3" s="9">
        <v>22236</v>
      </c>
      <c r="X3">
        <v>14428.798509312761</v>
      </c>
      <c r="Y3">
        <v>-1.0000067277864191</v>
      </c>
      <c r="Z3">
        <v>0.32013882802606419</v>
      </c>
      <c r="AA3">
        <v>-3.1236658606902972</v>
      </c>
      <c r="AB3">
        <v>1.786131656328765E-3</v>
      </c>
      <c r="AC3">
        <v>4.3384311914564398E-2</v>
      </c>
      <c r="AD3" t="s">
        <v>132</v>
      </c>
      <c r="AE3" t="s">
        <v>133</v>
      </c>
      <c r="AF3" t="s">
        <v>55</v>
      </c>
      <c r="AG3" t="s">
        <v>134</v>
      </c>
      <c r="AH3" t="s">
        <v>43</v>
      </c>
      <c r="AI3" t="s">
        <v>43</v>
      </c>
      <c r="AJ3" t="s">
        <v>43</v>
      </c>
      <c r="AK3" t="s">
        <v>43</v>
      </c>
      <c r="AL3" t="s">
        <v>43</v>
      </c>
      <c r="AM3" t="s">
        <v>135</v>
      </c>
      <c r="AN3" t="s">
        <v>43</v>
      </c>
    </row>
    <row r="4" spans="1:40" x14ac:dyDescent="0.3">
      <c r="A4" t="s">
        <v>606</v>
      </c>
      <c r="B4">
        <v>630</v>
      </c>
      <c r="C4" t="str">
        <f>IF(Y4&lt;0, "Down", "Up")</f>
        <v>Down</v>
      </c>
      <c r="D4" s="7" t="str">
        <f>IF(AC4&lt;0.05, "Sig", "N")</f>
        <v>Sig</v>
      </c>
      <c r="E4" s="1" t="str">
        <f>IF(AND(H4&gt;2,J4&gt;2,L4&gt;2,N4&gt;2),"Y","N")</f>
        <v>Y</v>
      </c>
      <c r="F4" s="1" t="str">
        <f>IF(AND(P4&gt;2,R4&gt;2,T4&gt;2,V4&gt;2),"Y","N")</f>
        <v>Y</v>
      </c>
      <c r="G4" s="1" t="str">
        <f>IF(OR(E4="Y", F4="Y"), "Expressed", "N")</f>
        <v>Expressed</v>
      </c>
      <c r="H4" s="8">
        <v>240.49967290920651</v>
      </c>
      <c r="I4" s="8">
        <v>6741</v>
      </c>
      <c r="J4" s="8">
        <v>227.80347619841189</v>
      </c>
      <c r="K4" s="8">
        <v>14302</v>
      </c>
      <c r="L4" s="8">
        <v>202.59916764350211</v>
      </c>
      <c r="M4" s="8">
        <v>9864</v>
      </c>
      <c r="N4" s="8">
        <v>182.44398416522321</v>
      </c>
      <c r="O4" s="8">
        <v>5287</v>
      </c>
      <c r="P4" s="9">
        <v>88.621941163644507</v>
      </c>
      <c r="Q4" s="9">
        <v>9966</v>
      </c>
      <c r="R4" s="9">
        <v>359.45580702068128</v>
      </c>
      <c r="S4" s="9">
        <v>3531</v>
      </c>
      <c r="T4" s="9">
        <v>215.56881853853301</v>
      </c>
      <c r="U4" s="9">
        <v>2388</v>
      </c>
      <c r="V4" s="9">
        <v>37.747265215377261</v>
      </c>
      <c r="W4" s="9">
        <v>10272</v>
      </c>
      <c r="X4">
        <v>6873.8461751902169</v>
      </c>
      <c r="Y4">
        <v>-0.46559541905787633</v>
      </c>
      <c r="Z4">
        <v>0.15131410833643771</v>
      </c>
      <c r="AA4">
        <v>-3.0770126075927648</v>
      </c>
      <c r="AB4">
        <v>2.0908645728929059E-3</v>
      </c>
      <c r="AC4">
        <v>4.7622562844252488E-2</v>
      </c>
      <c r="AD4" t="s">
        <v>607</v>
      </c>
      <c r="AE4" t="s">
        <v>608</v>
      </c>
      <c r="AF4" t="s">
        <v>43</v>
      </c>
      <c r="AG4" t="s">
        <v>43</v>
      </c>
      <c r="AH4" t="s">
        <v>43</v>
      </c>
      <c r="AI4" t="s">
        <v>43</v>
      </c>
      <c r="AJ4" t="s">
        <v>43</v>
      </c>
      <c r="AK4" t="s">
        <v>43</v>
      </c>
      <c r="AL4" t="s">
        <v>43</v>
      </c>
      <c r="AM4" t="s">
        <v>43</v>
      </c>
      <c r="AN4" t="s">
        <v>43</v>
      </c>
    </row>
    <row r="5" spans="1:40" x14ac:dyDescent="0.3">
      <c r="A5" t="s">
        <v>615</v>
      </c>
      <c r="B5">
        <v>1164</v>
      </c>
      <c r="C5" t="str">
        <f>IF(Y5&lt;0, "Down", "Up")</f>
        <v>Down</v>
      </c>
      <c r="D5" s="7" t="str">
        <f>IF(AC5&lt;0.05, "Sig", "N")</f>
        <v>Sig</v>
      </c>
      <c r="E5" s="1" t="str">
        <f>IF(AND(H5&gt;2,J5&gt;2,L5&gt;2,N5&gt;2),"Y","N")</f>
        <v>Y</v>
      </c>
      <c r="F5" s="1" t="str">
        <f>IF(AND(P5&gt;2,R5&gt;2,T5&gt;2,V5&gt;2),"Y","N")</f>
        <v>Y</v>
      </c>
      <c r="G5" s="1" t="str">
        <f>IF(OR(E5="Y", F5="Y"), "Expressed", "N")</f>
        <v>Expressed</v>
      </c>
      <c r="H5" s="8">
        <v>182.07208593160141</v>
      </c>
      <c r="I5" s="8">
        <v>9429</v>
      </c>
      <c r="J5" s="8">
        <v>175.35713535917731</v>
      </c>
      <c r="K5" s="8">
        <v>20341</v>
      </c>
      <c r="L5" s="8">
        <v>243.1979608272371</v>
      </c>
      <c r="M5" s="8">
        <v>21877</v>
      </c>
      <c r="N5" s="8">
        <v>183.7259398997507</v>
      </c>
      <c r="O5" s="8">
        <v>9837</v>
      </c>
      <c r="P5" s="9">
        <v>89.244649586723085</v>
      </c>
      <c r="Q5" s="9">
        <v>15588</v>
      </c>
      <c r="R5" s="9">
        <v>304.30044500943927</v>
      </c>
      <c r="S5" s="9">
        <v>5677</v>
      </c>
      <c r="T5" s="9">
        <v>187.5835226704001</v>
      </c>
      <c r="U5" s="9">
        <v>3719</v>
      </c>
      <c r="V5" s="9">
        <v>31.817416831318852</v>
      </c>
      <c r="W5" s="9">
        <v>18243</v>
      </c>
      <c r="X5">
        <v>11376.049268174371</v>
      </c>
      <c r="Y5">
        <v>-0.50554785945709557</v>
      </c>
      <c r="Z5">
        <v>0.1199368785094925</v>
      </c>
      <c r="AA5">
        <v>-4.2151160321975816</v>
      </c>
      <c r="AB5">
        <v>2.4964980083981559E-5</v>
      </c>
      <c r="AC5">
        <v>2.5009409285825929E-3</v>
      </c>
      <c r="AD5" t="s">
        <v>616</v>
      </c>
      <c r="AE5" t="s">
        <v>617</v>
      </c>
      <c r="AF5" t="s">
        <v>618</v>
      </c>
      <c r="AG5" t="s">
        <v>619</v>
      </c>
      <c r="AH5" t="s">
        <v>43</v>
      </c>
      <c r="AI5" t="s">
        <v>43</v>
      </c>
      <c r="AJ5" t="s">
        <v>43</v>
      </c>
      <c r="AK5" t="s">
        <v>43</v>
      </c>
      <c r="AL5" t="s">
        <v>43</v>
      </c>
      <c r="AM5" t="s">
        <v>620</v>
      </c>
      <c r="AN5" t="s">
        <v>43</v>
      </c>
    </row>
    <row r="6" spans="1:40" x14ac:dyDescent="0.3">
      <c r="A6" t="s">
        <v>621</v>
      </c>
      <c r="B6">
        <v>860</v>
      </c>
      <c r="C6" t="str">
        <f>IF(Y6&lt;0, "Down", "Up")</f>
        <v>Down</v>
      </c>
      <c r="D6" s="7" t="str">
        <f>IF(AC6&lt;0.05, "Sig", "N")</f>
        <v>Sig</v>
      </c>
      <c r="E6" s="1" t="str">
        <f>IF(AND(H6&gt;2,J6&gt;2,L6&gt;2,N6&gt;2),"Y","N")</f>
        <v>Y</v>
      </c>
      <c r="F6" s="1" t="str">
        <f>IF(AND(P6&gt;2,R6&gt;2,T6&gt;2,V6&gt;2),"Y","N")</f>
        <v>Y</v>
      </c>
      <c r="G6" s="1" t="str">
        <f>IF(OR(E6="Y", F6="Y"), "Expressed", "N")</f>
        <v>Expressed</v>
      </c>
      <c r="H6" s="8">
        <v>195.33737832247439</v>
      </c>
      <c r="I6" s="8">
        <v>7474</v>
      </c>
      <c r="J6" s="8">
        <v>172.79509271626</v>
      </c>
      <c r="K6" s="8">
        <v>14809</v>
      </c>
      <c r="L6" s="8">
        <v>244.36525602494089</v>
      </c>
      <c r="M6" s="8">
        <v>16241</v>
      </c>
      <c r="N6" s="8">
        <v>206.10084758719509</v>
      </c>
      <c r="O6" s="8">
        <v>8153</v>
      </c>
      <c r="P6" s="9">
        <v>100.11323350683161</v>
      </c>
      <c r="Q6" s="9">
        <v>13186</v>
      </c>
      <c r="R6" s="9">
        <v>348.40131924894217</v>
      </c>
      <c r="S6" s="9">
        <v>4733</v>
      </c>
      <c r="T6" s="9">
        <v>211.6736636403194</v>
      </c>
      <c r="U6" s="9">
        <v>3350</v>
      </c>
      <c r="V6" s="9">
        <v>38.791634157733299</v>
      </c>
      <c r="W6" s="9">
        <v>14757</v>
      </c>
      <c r="X6">
        <v>9129.9826309542332</v>
      </c>
      <c r="Y6">
        <v>-0.37611391664798011</v>
      </c>
      <c r="Z6">
        <v>0.11543859591358969</v>
      </c>
      <c r="AA6">
        <v>-3.2581296893936229</v>
      </c>
      <c r="AB6">
        <v>1.1214914033577819E-3</v>
      </c>
      <c r="AC6">
        <v>3.3060224137387371E-2</v>
      </c>
      <c r="AD6" t="s">
        <v>622</v>
      </c>
      <c r="AE6" t="s">
        <v>623</v>
      </c>
      <c r="AF6" t="s">
        <v>624</v>
      </c>
      <c r="AG6" t="s">
        <v>625</v>
      </c>
      <c r="AH6" t="s">
        <v>43</v>
      </c>
      <c r="AI6" t="s">
        <v>43</v>
      </c>
      <c r="AJ6" t="s">
        <v>43</v>
      </c>
      <c r="AK6" t="s">
        <v>43</v>
      </c>
      <c r="AL6" t="s">
        <v>43</v>
      </c>
      <c r="AM6" t="s">
        <v>626</v>
      </c>
      <c r="AN6" t="s">
        <v>43</v>
      </c>
    </row>
    <row r="7" spans="1:40" x14ac:dyDescent="0.3">
      <c r="A7" t="s">
        <v>627</v>
      </c>
      <c r="B7">
        <v>1540</v>
      </c>
      <c r="C7" t="str">
        <f>IF(Y7&lt;0, "Down", "Up")</f>
        <v>Down</v>
      </c>
      <c r="D7" s="7" t="str">
        <f>IF(AC7&lt;0.05, "Sig", "N")</f>
        <v>Sig</v>
      </c>
      <c r="E7" s="1" t="str">
        <f>IF(AND(H7&gt;2,J7&gt;2,L7&gt;2,N7&gt;2),"Y","N")</f>
        <v>Y</v>
      </c>
      <c r="F7" s="1" t="str">
        <f>IF(AND(P7&gt;2,R7&gt;2,T7&gt;2,V7&gt;2),"Y","N")</f>
        <v>Y</v>
      </c>
      <c r="G7" s="1" t="str">
        <f>IF(OR(E7="Y", F7="Y"), "Expressed", "N")</f>
        <v>Expressed</v>
      </c>
      <c r="H7" s="8">
        <v>155.07397892100491</v>
      </c>
      <c r="I7" s="8">
        <v>10625</v>
      </c>
      <c r="J7" s="8">
        <v>167.4099687087832</v>
      </c>
      <c r="K7" s="8">
        <v>25692</v>
      </c>
      <c r="L7" s="8">
        <v>143.02600496133431</v>
      </c>
      <c r="M7" s="8">
        <v>17022</v>
      </c>
      <c r="N7" s="8">
        <v>132.24734075810559</v>
      </c>
      <c r="O7" s="8">
        <v>9368</v>
      </c>
      <c r="P7" s="9">
        <v>64.238983298564193</v>
      </c>
      <c r="Q7" s="9">
        <v>14273</v>
      </c>
      <c r="R7" s="9">
        <v>210.60065405312449</v>
      </c>
      <c r="S7" s="9">
        <v>7127</v>
      </c>
      <c r="T7" s="9">
        <v>177.9978724481492</v>
      </c>
      <c r="U7" s="9">
        <v>3980</v>
      </c>
      <c r="V7" s="9">
        <v>25.73677173775723</v>
      </c>
      <c r="W7" s="9">
        <v>17628</v>
      </c>
      <c r="X7">
        <v>11723.412368751049</v>
      </c>
      <c r="Y7">
        <v>-0.4818784593783928</v>
      </c>
      <c r="Z7">
        <v>0.1451886212731649</v>
      </c>
      <c r="AA7">
        <v>-3.318982267017768</v>
      </c>
      <c r="AB7">
        <v>9.0346166512536553E-4</v>
      </c>
      <c r="AC7">
        <v>2.8885882453858942E-2</v>
      </c>
      <c r="AD7" t="s">
        <v>628</v>
      </c>
      <c r="AE7" t="s">
        <v>629</v>
      </c>
      <c r="AF7" t="s">
        <v>630</v>
      </c>
      <c r="AG7" t="s">
        <v>631</v>
      </c>
      <c r="AH7" t="s">
        <v>43</v>
      </c>
      <c r="AI7" t="s">
        <v>43</v>
      </c>
      <c r="AJ7" t="s">
        <v>43</v>
      </c>
      <c r="AK7" t="s">
        <v>43</v>
      </c>
      <c r="AL7" t="s">
        <v>43</v>
      </c>
      <c r="AM7" t="s">
        <v>632</v>
      </c>
      <c r="AN7" t="s">
        <v>43</v>
      </c>
    </row>
    <row r="8" spans="1:40" x14ac:dyDescent="0.3">
      <c r="A8" t="s">
        <v>633</v>
      </c>
      <c r="B8">
        <v>1875</v>
      </c>
      <c r="C8" t="str">
        <f>IF(Y8&lt;0, "Down", "Up")</f>
        <v>Down</v>
      </c>
      <c r="D8" s="7" t="str">
        <f>IF(AC8&lt;0.05, "Sig", "N")</f>
        <v>Sig</v>
      </c>
      <c r="E8" s="1" t="str">
        <f>IF(AND(H8&gt;2,J8&gt;2,L8&gt;2,N8&gt;2),"Y","N")</f>
        <v>Y</v>
      </c>
      <c r="F8" s="1" t="str">
        <f>IF(AND(P8&gt;2,R8&gt;2,T8&gt;2,V8&gt;2),"Y","N")</f>
        <v>Y</v>
      </c>
      <c r="G8" s="1" t="str">
        <f>IF(OR(E8="Y", F8="Y"), "Expressed", "N")</f>
        <v>Expressed</v>
      </c>
      <c r="H8" s="8">
        <v>211.50784941109231</v>
      </c>
      <c r="I8" s="8">
        <v>17644</v>
      </c>
      <c r="J8" s="8">
        <v>162.851037921489</v>
      </c>
      <c r="K8" s="8">
        <v>30429</v>
      </c>
      <c r="L8" s="8">
        <v>235.14418527405999</v>
      </c>
      <c r="M8" s="8">
        <v>34073</v>
      </c>
      <c r="N8" s="8">
        <v>143.40324908421439</v>
      </c>
      <c r="O8" s="8">
        <v>12368</v>
      </c>
      <c r="P8" s="9">
        <v>69.657952062193488</v>
      </c>
      <c r="Q8" s="9">
        <v>21820</v>
      </c>
      <c r="R8" s="9">
        <v>264.43482222438951</v>
      </c>
      <c r="S8" s="9">
        <v>7055</v>
      </c>
      <c r="T8" s="9">
        <v>144.7186556129204</v>
      </c>
      <c r="U8" s="9">
        <v>5881</v>
      </c>
      <c r="V8" s="9">
        <v>31.235008384350468</v>
      </c>
      <c r="W8" s="9">
        <v>26878</v>
      </c>
      <c r="X8">
        <v>17010.73907859324</v>
      </c>
      <c r="Y8">
        <v>-0.61746320316478864</v>
      </c>
      <c r="Z8">
        <v>0.16792030127196159</v>
      </c>
      <c r="AA8">
        <v>-3.6771206250086039</v>
      </c>
      <c r="AB8">
        <v>2.3588151379401749E-4</v>
      </c>
      <c r="AC8">
        <v>1.2090806987229131E-2</v>
      </c>
      <c r="AD8" t="s">
        <v>634</v>
      </c>
      <c r="AE8" t="s">
        <v>635</v>
      </c>
      <c r="AF8" t="s">
        <v>636</v>
      </c>
      <c r="AG8" t="s">
        <v>637</v>
      </c>
      <c r="AH8" t="s">
        <v>43</v>
      </c>
      <c r="AI8" t="s">
        <v>43</v>
      </c>
      <c r="AJ8" t="s">
        <v>43</v>
      </c>
      <c r="AK8" t="s">
        <v>43</v>
      </c>
      <c r="AL8" t="s">
        <v>43</v>
      </c>
      <c r="AM8" t="s">
        <v>638</v>
      </c>
      <c r="AN8" t="s">
        <v>43</v>
      </c>
    </row>
    <row r="9" spans="1:40" x14ac:dyDescent="0.3">
      <c r="A9" t="s">
        <v>639</v>
      </c>
      <c r="B9">
        <v>279</v>
      </c>
      <c r="C9" t="str">
        <f>IF(Y9&lt;0, "Down", "Up")</f>
        <v>Down</v>
      </c>
      <c r="D9" s="7" t="str">
        <f>IF(AC9&lt;0.05, "Sig", "N")</f>
        <v>Sig</v>
      </c>
      <c r="E9" s="1" t="str">
        <f>IF(AND(H9&gt;2,J9&gt;2,L9&gt;2,N9&gt;2),"Y","N")</f>
        <v>Y</v>
      </c>
      <c r="F9" s="1" t="str">
        <f>IF(AND(P9&gt;2,R9&gt;2,T9&gt;2,V9&gt;2),"Y","N")</f>
        <v>Y</v>
      </c>
      <c r="G9" s="1" t="str">
        <f>IF(OR(E9="Y", F9="Y"), "Expressed", "N")</f>
        <v>Expressed</v>
      </c>
      <c r="H9" s="8">
        <v>194.63612023871741</v>
      </c>
      <c r="I9" s="8">
        <v>2416</v>
      </c>
      <c r="J9" s="8">
        <v>149.58527349128619</v>
      </c>
      <c r="K9" s="8">
        <v>4159</v>
      </c>
      <c r="L9" s="8">
        <v>303.17921513875848</v>
      </c>
      <c r="M9" s="8">
        <v>6537</v>
      </c>
      <c r="N9" s="8">
        <v>155.3752131508316</v>
      </c>
      <c r="O9" s="8">
        <v>1994</v>
      </c>
      <c r="P9" s="9">
        <v>75.473318899195846</v>
      </c>
      <c r="Q9" s="9">
        <v>3382</v>
      </c>
      <c r="R9" s="9">
        <v>275.4447953819635</v>
      </c>
      <c r="S9" s="9">
        <v>1285</v>
      </c>
      <c r="T9" s="9">
        <v>177.14451016838001</v>
      </c>
      <c r="U9" s="9">
        <v>749</v>
      </c>
      <c r="V9" s="9">
        <v>26.734331810156021</v>
      </c>
      <c r="W9" s="9">
        <v>2997</v>
      </c>
      <c r="X9">
        <v>2553.9522520478272</v>
      </c>
      <c r="Y9">
        <v>-0.77644047750337808</v>
      </c>
      <c r="Z9">
        <v>0.17254623348096171</v>
      </c>
      <c r="AA9">
        <v>-4.4998981539000011</v>
      </c>
      <c r="AB9">
        <v>6.7986027590290464E-6</v>
      </c>
      <c r="AC9">
        <v>9.2375038177565936E-4</v>
      </c>
      <c r="AD9" t="s">
        <v>640</v>
      </c>
      <c r="AE9" t="s">
        <v>641</v>
      </c>
      <c r="AF9" t="s">
        <v>43</v>
      </c>
      <c r="AG9" t="s">
        <v>43</v>
      </c>
      <c r="AH9" t="s">
        <v>43</v>
      </c>
      <c r="AI9" t="s">
        <v>43</v>
      </c>
      <c r="AJ9" t="s">
        <v>43</v>
      </c>
      <c r="AK9" t="s">
        <v>43</v>
      </c>
      <c r="AL9" t="s">
        <v>43</v>
      </c>
      <c r="AM9" t="s">
        <v>43</v>
      </c>
      <c r="AN9" t="s">
        <v>43</v>
      </c>
    </row>
    <row r="10" spans="1:40" x14ac:dyDescent="0.3">
      <c r="A10" t="s">
        <v>642</v>
      </c>
      <c r="B10">
        <v>1707</v>
      </c>
      <c r="C10" t="str">
        <f>IF(Y10&lt;0, "Down", "Up")</f>
        <v>Down</v>
      </c>
      <c r="D10" s="7" t="str">
        <f>IF(AC10&lt;0.05, "Sig", "N")</f>
        <v>Sig</v>
      </c>
      <c r="E10" s="1" t="str">
        <f>IF(AND(H10&gt;2,J10&gt;2,L10&gt;2,N10&gt;2),"Y","N")</f>
        <v>Y</v>
      </c>
      <c r="F10" s="1" t="str">
        <f>IF(AND(P10&gt;2,R10&gt;2,T10&gt;2,V10&gt;2),"Y","N")</f>
        <v>Y</v>
      </c>
      <c r="G10" s="1" t="str">
        <f>IF(OR(E10="Y", F10="Y"), "Expressed", "N")</f>
        <v>Expressed</v>
      </c>
      <c r="H10" s="8">
        <v>180.0498512097241</v>
      </c>
      <c r="I10" s="8">
        <v>13674</v>
      </c>
      <c r="J10" s="8">
        <v>139.16891612482979</v>
      </c>
      <c r="K10" s="8">
        <v>23674</v>
      </c>
      <c r="L10" s="8">
        <v>200.44070538126809</v>
      </c>
      <c r="M10" s="8">
        <v>26442</v>
      </c>
      <c r="N10" s="8">
        <v>147.37902890752429</v>
      </c>
      <c r="O10" s="8">
        <v>11572</v>
      </c>
      <c r="P10" s="9">
        <v>71.589182226855399</v>
      </c>
      <c r="Q10" s="9">
        <v>19180</v>
      </c>
      <c r="R10" s="9">
        <v>255.31730546739411</v>
      </c>
      <c r="S10" s="9">
        <v>6014</v>
      </c>
      <c r="T10" s="9">
        <v>135.50604696093939</v>
      </c>
      <c r="U10" s="9">
        <v>4828</v>
      </c>
      <c r="V10" s="9">
        <v>28.16601847592289</v>
      </c>
      <c r="W10" s="9">
        <v>17709</v>
      </c>
      <c r="X10">
        <v>13655.49355000701</v>
      </c>
      <c r="Y10">
        <v>-0.64487635815414046</v>
      </c>
      <c r="Z10">
        <v>0.133961840148976</v>
      </c>
      <c r="AA10">
        <v>-4.8138810084796368</v>
      </c>
      <c r="AB10">
        <v>1.480269687573286E-6</v>
      </c>
      <c r="AC10">
        <v>3.0169427546213469E-4</v>
      </c>
      <c r="AD10" t="s">
        <v>643</v>
      </c>
      <c r="AE10" t="s">
        <v>644</v>
      </c>
      <c r="AF10" t="s">
        <v>645</v>
      </c>
      <c r="AG10" t="s">
        <v>646</v>
      </c>
      <c r="AH10" t="s">
        <v>43</v>
      </c>
      <c r="AI10" t="s">
        <v>43</v>
      </c>
      <c r="AJ10" t="s">
        <v>43</v>
      </c>
      <c r="AK10" t="s">
        <v>43</v>
      </c>
      <c r="AL10" t="s">
        <v>43</v>
      </c>
      <c r="AM10" t="s">
        <v>647</v>
      </c>
      <c r="AN10" t="s">
        <v>43</v>
      </c>
    </row>
    <row r="11" spans="1:40" x14ac:dyDescent="0.3">
      <c r="A11" t="s">
        <v>655</v>
      </c>
      <c r="B11">
        <v>2015</v>
      </c>
      <c r="C11" t="str">
        <f>IF(Y11&lt;0, "Down", "Up")</f>
        <v>Down</v>
      </c>
      <c r="D11" s="7" t="str">
        <f>IF(AC11&lt;0.05, "Sig", "N")</f>
        <v>Sig</v>
      </c>
      <c r="E11" s="1" t="str">
        <f>IF(AND(H11&gt;2,J11&gt;2,L11&gt;2,N11&gt;2),"Y","N")</f>
        <v>Y</v>
      </c>
      <c r="F11" s="1" t="str">
        <f>IF(AND(P11&gt;2,R11&gt;2,T11&gt;2,V11&gt;2),"Y","N")</f>
        <v>Y</v>
      </c>
      <c r="G11" s="1" t="str">
        <f>IF(OR(E11="Y", F11="Y"), "Expressed", "N")</f>
        <v>Expressed</v>
      </c>
      <c r="H11" s="8">
        <v>150.9780883015751</v>
      </c>
      <c r="I11" s="8">
        <v>13535</v>
      </c>
      <c r="J11" s="8">
        <v>117.313786926251</v>
      </c>
      <c r="K11" s="8">
        <v>23557</v>
      </c>
      <c r="L11" s="8">
        <v>167.78620820726829</v>
      </c>
      <c r="M11" s="8">
        <v>26128</v>
      </c>
      <c r="N11" s="8">
        <v>154.92087162020769</v>
      </c>
      <c r="O11" s="8">
        <v>14359</v>
      </c>
      <c r="P11" s="9">
        <v>75.252623058884168</v>
      </c>
      <c r="Q11" s="9">
        <v>20698</v>
      </c>
      <c r="R11" s="9">
        <v>233.40948630006329</v>
      </c>
      <c r="S11" s="9">
        <v>6895</v>
      </c>
      <c r="T11" s="9">
        <v>131.60972856628339</v>
      </c>
      <c r="U11" s="9">
        <v>4859</v>
      </c>
      <c r="V11" s="9">
        <v>24.013948123445271</v>
      </c>
      <c r="W11" s="9">
        <v>19067</v>
      </c>
      <c r="X11">
        <v>14461.110206384021</v>
      </c>
      <c r="Y11">
        <v>-0.61271985326223577</v>
      </c>
      <c r="Z11">
        <v>0.12987457728406429</v>
      </c>
      <c r="AA11">
        <v>-4.7177813092864387</v>
      </c>
      <c r="AB11">
        <v>2.3843058884834762E-6</v>
      </c>
      <c r="AC11">
        <v>4.1622760445405622E-4</v>
      </c>
      <c r="AD11" t="s">
        <v>656</v>
      </c>
      <c r="AE11" t="s">
        <v>657</v>
      </c>
      <c r="AF11" t="s">
        <v>658</v>
      </c>
      <c r="AG11" t="s">
        <v>659</v>
      </c>
      <c r="AH11" t="s">
        <v>43</v>
      </c>
      <c r="AI11" t="s">
        <v>43</v>
      </c>
      <c r="AJ11" t="s">
        <v>43</v>
      </c>
      <c r="AK11" t="s">
        <v>43</v>
      </c>
      <c r="AL11" t="s">
        <v>43</v>
      </c>
      <c r="AM11" t="s">
        <v>660</v>
      </c>
      <c r="AN11" t="s">
        <v>43</v>
      </c>
    </row>
    <row r="12" spans="1:40" x14ac:dyDescent="0.3">
      <c r="A12" t="s">
        <v>661</v>
      </c>
      <c r="B12">
        <v>1078</v>
      </c>
      <c r="C12" t="str">
        <f>IF(Y12&lt;0, "Down", "Up")</f>
        <v>Down</v>
      </c>
      <c r="D12" s="7" t="str">
        <f>IF(AC12&lt;0.05, "Sig", "N")</f>
        <v>Sig</v>
      </c>
      <c r="E12" s="1" t="str">
        <f>IF(AND(H12&gt;2,J12&gt;2,L12&gt;2,N12&gt;2),"Y","N")</f>
        <v>Y</v>
      </c>
      <c r="F12" s="1" t="str">
        <f>IF(AND(P12&gt;2,R12&gt;2,T12&gt;2,V12&gt;2),"Y","N")</f>
        <v>Y</v>
      </c>
      <c r="G12" s="1" t="str">
        <f>IF(OR(E12="Y", F12="Y"), "Expressed", "N")</f>
        <v>Expressed</v>
      </c>
      <c r="H12" s="8">
        <v>149.35057627040791</v>
      </c>
      <c r="I12" s="8">
        <v>7163</v>
      </c>
      <c r="J12" s="8">
        <v>112.0292572123733</v>
      </c>
      <c r="K12" s="8">
        <v>12035</v>
      </c>
      <c r="L12" s="8">
        <v>167.9763930232231</v>
      </c>
      <c r="M12" s="8">
        <v>13994</v>
      </c>
      <c r="N12" s="8">
        <v>133.54609773395379</v>
      </c>
      <c r="O12" s="8">
        <v>6622</v>
      </c>
      <c r="P12" s="9">
        <v>64.869852903972813</v>
      </c>
      <c r="Q12" s="9">
        <v>9143</v>
      </c>
      <c r="R12" s="9">
        <v>192.7237020956369</v>
      </c>
      <c r="S12" s="9">
        <v>3039</v>
      </c>
      <c r="T12" s="9">
        <v>108.4278166268968</v>
      </c>
      <c r="U12" s="9">
        <v>2406</v>
      </c>
      <c r="V12" s="9">
        <v>22.226372146821209</v>
      </c>
      <c r="W12" s="9">
        <v>9976</v>
      </c>
      <c r="X12">
        <v>7155.6736754324302</v>
      </c>
      <c r="Y12">
        <v>-0.70924516368271462</v>
      </c>
      <c r="Z12">
        <v>0.13468464793067589</v>
      </c>
      <c r="AA12">
        <v>-5.2659688730654244</v>
      </c>
      <c r="AB12">
        <v>1.3945191308673011E-7</v>
      </c>
      <c r="AC12">
        <v>5.6843484986146103E-5</v>
      </c>
      <c r="AD12" t="s">
        <v>662</v>
      </c>
      <c r="AE12" t="s">
        <v>663</v>
      </c>
      <c r="AF12" t="s">
        <v>664</v>
      </c>
      <c r="AG12" t="s">
        <v>665</v>
      </c>
      <c r="AH12" t="s">
        <v>43</v>
      </c>
      <c r="AI12" t="s">
        <v>43</v>
      </c>
      <c r="AJ12" t="s">
        <v>43</v>
      </c>
      <c r="AK12" t="s">
        <v>43</v>
      </c>
      <c r="AL12" t="s">
        <v>43</v>
      </c>
      <c r="AM12" t="s">
        <v>666</v>
      </c>
      <c r="AN12" t="s">
        <v>43</v>
      </c>
    </row>
    <row r="13" spans="1:40" x14ac:dyDescent="0.3">
      <c r="A13" s="10" t="s">
        <v>667</v>
      </c>
      <c r="B13" s="10">
        <v>1905</v>
      </c>
      <c r="C13" s="10" t="str">
        <f>IF(Y13&lt;0, "Down", "Up")</f>
        <v>Down</v>
      </c>
      <c r="D13" s="11" t="str">
        <f>IF(AC13&lt;0.05, "Sig", "N")</f>
        <v>Sig</v>
      </c>
      <c r="E13" s="12" t="str">
        <f>IF(AND(H13&gt;2,J13&gt;2,L13&gt;2,N13&gt;2),"Y","N")</f>
        <v>Y</v>
      </c>
      <c r="F13" s="12" t="str">
        <f>IF(AND(P13&gt;2,R13&gt;2,T13&gt;2,V13&gt;2),"Y","N")</f>
        <v>Y</v>
      </c>
      <c r="G13" s="12" t="str">
        <f>IF(OR(E13="Y", F13="Y"), "Expressed", "N")</f>
        <v>Expressed</v>
      </c>
      <c r="H13" s="10">
        <v>121.0433019047538</v>
      </c>
      <c r="I13" s="10">
        <v>10259</v>
      </c>
      <c r="J13" s="10">
        <v>112.00403842262411</v>
      </c>
      <c r="K13" s="10">
        <v>21263</v>
      </c>
      <c r="L13" s="10">
        <v>112.8778989946646</v>
      </c>
      <c r="M13" s="10">
        <v>16618</v>
      </c>
      <c r="N13" s="10">
        <v>115.45627901386651</v>
      </c>
      <c r="O13" s="10">
        <v>10117</v>
      </c>
      <c r="P13" s="10">
        <v>56.082745685240191</v>
      </c>
      <c r="Q13" s="10">
        <v>16666</v>
      </c>
      <c r="R13" s="10">
        <v>198.793219901903</v>
      </c>
      <c r="S13" s="10">
        <v>5042</v>
      </c>
      <c r="T13" s="10">
        <v>101.7973880143563</v>
      </c>
      <c r="U13" s="10">
        <v>3690</v>
      </c>
      <c r="V13" s="10">
        <v>19.289594834669309</v>
      </c>
      <c r="W13" s="10">
        <v>16092</v>
      </c>
      <c r="X13" s="10">
        <v>11011.147323143001</v>
      </c>
      <c r="Y13" s="10">
        <v>-0.53209030497649323</v>
      </c>
      <c r="Z13" s="10">
        <v>0.1477877789500508</v>
      </c>
      <c r="AA13" s="10">
        <v>-3.6003674238607291</v>
      </c>
      <c r="AB13" s="10">
        <v>3.1776782283998381E-4</v>
      </c>
      <c r="AC13" s="10">
        <v>1.4255534853098479E-2</v>
      </c>
      <c r="AD13" s="10" t="s">
        <v>668</v>
      </c>
      <c r="AE13" s="10" t="s">
        <v>669</v>
      </c>
      <c r="AF13" s="10" t="s">
        <v>670</v>
      </c>
      <c r="AG13" s="10" t="s">
        <v>671</v>
      </c>
      <c r="AH13" s="10" t="s">
        <v>43</v>
      </c>
      <c r="AI13" s="10" t="s">
        <v>43</v>
      </c>
      <c r="AJ13" s="10" t="s">
        <v>43</v>
      </c>
      <c r="AK13" s="10" t="s">
        <v>43</v>
      </c>
      <c r="AL13" s="10" t="s">
        <v>43</v>
      </c>
      <c r="AM13" s="10" t="s">
        <v>672</v>
      </c>
      <c r="AN13" s="10" t="s">
        <v>43</v>
      </c>
    </row>
    <row r="14" spans="1:40" x14ac:dyDescent="0.3">
      <c r="A14" t="s">
        <v>673</v>
      </c>
      <c r="B14">
        <v>489</v>
      </c>
      <c r="C14" t="str">
        <f>IF(Y14&lt;0, "Down", "Up")</f>
        <v>Down</v>
      </c>
      <c r="D14" s="7" t="str">
        <f>IF(AC14&lt;0.05, "Sig", "N")</f>
        <v>Sig</v>
      </c>
      <c r="E14" s="1" t="str">
        <f>IF(AND(H14&gt;2,J14&gt;2,L14&gt;2,N14&gt;2),"Y","N")</f>
        <v>Y</v>
      </c>
      <c r="F14" s="1" t="str">
        <f>IF(AND(P14&gt;2,R14&gt;2,T14&gt;2,V14&gt;2),"Y","N")</f>
        <v>Y</v>
      </c>
      <c r="G14" s="1" t="str">
        <f>IF(OR(E14="Y", F14="Y"), "Expressed", "N")</f>
        <v>Expressed</v>
      </c>
      <c r="H14" s="8">
        <v>125.39095764698421</v>
      </c>
      <c r="I14" s="8">
        <v>2728</v>
      </c>
      <c r="J14" s="8">
        <v>111.8180904721725</v>
      </c>
      <c r="K14" s="8">
        <v>5449</v>
      </c>
      <c r="L14" s="8">
        <v>130.93205205208639</v>
      </c>
      <c r="M14" s="8">
        <v>4948</v>
      </c>
      <c r="N14" s="8">
        <v>108.5224792875859</v>
      </c>
      <c r="O14" s="8">
        <v>2441</v>
      </c>
      <c r="P14" s="9">
        <v>52.714660986835177</v>
      </c>
      <c r="Q14" s="9">
        <v>3752</v>
      </c>
      <c r="R14" s="9">
        <v>174.3488717268992</v>
      </c>
      <c r="S14" s="9">
        <v>1600</v>
      </c>
      <c r="T14" s="9">
        <v>125.846139328519</v>
      </c>
      <c r="U14" s="9">
        <v>947</v>
      </c>
      <c r="V14" s="9">
        <v>19.285585990746359</v>
      </c>
      <c r="W14" s="9">
        <v>5260</v>
      </c>
      <c r="X14">
        <v>2969.2734483197542</v>
      </c>
      <c r="Y14">
        <v>-0.45017328128376832</v>
      </c>
      <c r="Z14">
        <v>0.14122380614539529</v>
      </c>
      <c r="AA14">
        <v>-3.1876586077866902</v>
      </c>
      <c r="AB14">
        <v>1.434297706242003E-3</v>
      </c>
      <c r="AC14">
        <v>3.858681512895297E-2</v>
      </c>
      <c r="AD14" t="s">
        <v>674</v>
      </c>
      <c r="AE14" t="s">
        <v>675</v>
      </c>
      <c r="AF14" t="s">
        <v>43</v>
      </c>
      <c r="AG14" t="s">
        <v>43</v>
      </c>
      <c r="AH14" t="s">
        <v>43</v>
      </c>
      <c r="AI14" t="s">
        <v>43</v>
      </c>
      <c r="AJ14" t="s">
        <v>43</v>
      </c>
      <c r="AK14" t="s">
        <v>43</v>
      </c>
      <c r="AL14" t="s">
        <v>43</v>
      </c>
      <c r="AM14" t="s">
        <v>43</v>
      </c>
      <c r="AN14" t="s">
        <v>43</v>
      </c>
    </row>
    <row r="15" spans="1:40" x14ac:dyDescent="0.3">
      <c r="A15" t="s">
        <v>681</v>
      </c>
      <c r="B15">
        <v>276</v>
      </c>
      <c r="C15" t="str">
        <f>IF(Y15&lt;0, "Down", "Up")</f>
        <v>Down</v>
      </c>
      <c r="D15" s="7" t="str">
        <f>IF(AC15&lt;0.05, "Sig", "N")</f>
        <v>Sig</v>
      </c>
      <c r="E15" s="1" t="str">
        <f>IF(AND(H15&gt;2,J15&gt;2,L15&gt;2,N15&gt;2),"Y","N")</f>
        <v>Y</v>
      </c>
      <c r="F15" s="1" t="str">
        <f>IF(AND(P15&gt;2,R15&gt;2,T15&gt;2,V15&gt;2),"Y","N")</f>
        <v>Y</v>
      </c>
      <c r="G15" s="1" t="str">
        <f>IF(OR(E15="Y", F15="Y"), "Expressed", "N")</f>
        <v>Expressed</v>
      </c>
      <c r="H15" s="8">
        <v>143.00332711247691</v>
      </c>
      <c r="I15" s="8">
        <v>1756</v>
      </c>
      <c r="J15" s="8">
        <v>108.8546126301806</v>
      </c>
      <c r="K15" s="8">
        <v>2994</v>
      </c>
      <c r="L15" s="8">
        <v>127.8501372298084</v>
      </c>
      <c r="M15" s="8">
        <v>2727</v>
      </c>
      <c r="N15" s="8">
        <v>102.9502231351486</v>
      </c>
      <c r="O15" s="8">
        <v>1307</v>
      </c>
      <c r="P15" s="9">
        <v>50.007944406677389</v>
      </c>
      <c r="Q15" s="9">
        <v>2385</v>
      </c>
      <c r="R15" s="9">
        <v>196.35613362204131</v>
      </c>
      <c r="S15" s="9">
        <v>910</v>
      </c>
      <c r="T15" s="9">
        <v>126.8122136317882</v>
      </c>
      <c r="U15" s="9">
        <v>584</v>
      </c>
      <c r="V15" s="9">
        <v>21.07150155675965</v>
      </c>
      <c r="W15" s="9">
        <v>2454</v>
      </c>
      <c r="X15">
        <v>1687.1346799557191</v>
      </c>
      <c r="Y15">
        <v>-0.4722913492261791</v>
      </c>
      <c r="Z15">
        <v>0.13530743372570281</v>
      </c>
      <c r="AA15">
        <v>-3.4905055562846239</v>
      </c>
      <c r="AB15">
        <v>4.8210758793318853E-4</v>
      </c>
      <c r="AC15">
        <v>1.8839648915564371E-2</v>
      </c>
      <c r="AD15" t="s">
        <v>682</v>
      </c>
      <c r="AE15" t="s">
        <v>683</v>
      </c>
      <c r="AF15" t="s">
        <v>43</v>
      </c>
      <c r="AG15" t="s">
        <v>43</v>
      </c>
      <c r="AH15" t="s">
        <v>43</v>
      </c>
      <c r="AI15" t="s">
        <v>43</v>
      </c>
      <c r="AJ15" t="s">
        <v>43</v>
      </c>
      <c r="AK15" t="s">
        <v>43</v>
      </c>
      <c r="AL15" t="s">
        <v>43</v>
      </c>
      <c r="AM15" t="s">
        <v>43</v>
      </c>
      <c r="AN15" t="s">
        <v>43</v>
      </c>
    </row>
    <row r="16" spans="1:40" x14ac:dyDescent="0.3">
      <c r="A16" t="s">
        <v>684</v>
      </c>
      <c r="B16">
        <v>5009</v>
      </c>
      <c r="C16" t="str">
        <f>IF(Y16&lt;0, "Down", "Up")</f>
        <v>Down</v>
      </c>
      <c r="D16" s="7" t="str">
        <f>IF(AC16&lt;0.05, "Sig", "N")</f>
        <v>Sig</v>
      </c>
      <c r="E16" s="1" t="str">
        <f>IF(AND(H16&gt;2,J16&gt;2,L16&gt;2,N16&gt;2),"Y","N")</f>
        <v>Y</v>
      </c>
      <c r="F16" s="1" t="str">
        <f>IF(AND(P16&gt;2,R16&gt;2,T16&gt;2,V16&gt;2),"Y","N")</f>
        <v>Y</v>
      </c>
      <c r="G16" s="1" t="str">
        <f>IF(OR(E16="Y", F16="Y"), "Expressed", "N")</f>
        <v>Expressed</v>
      </c>
      <c r="H16" s="8">
        <v>80.065893797127274</v>
      </c>
      <c r="I16" s="8">
        <v>17843</v>
      </c>
      <c r="J16" s="8">
        <v>103.5362432342575</v>
      </c>
      <c r="K16" s="8">
        <v>51682</v>
      </c>
      <c r="L16" s="8">
        <v>65.685458236669064</v>
      </c>
      <c r="M16" s="8">
        <v>25427</v>
      </c>
      <c r="N16" s="8">
        <v>78.752931252481076</v>
      </c>
      <c r="O16" s="8">
        <v>18145</v>
      </c>
      <c r="P16" s="9">
        <v>38.254139602659897</v>
      </c>
      <c r="Q16" s="9">
        <v>25802</v>
      </c>
      <c r="R16" s="9">
        <v>117.0489466868727</v>
      </c>
      <c r="S16" s="9">
        <v>10499</v>
      </c>
      <c r="T16" s="9">
        <v>80.616822671709571</v>
      </c>
      <c r="U16" s="9">
        <v>5769</v>
      </c>
      <c r="V16" s="9">
        <v>11.46941393325617</v>
      </c>
      <c r="W16" s="9">
        <v>31939</v>
      </c>
      <c r="X16">
        <v>20306.54113744714</v>
      </c>
      <c r="Y16">
        <v>-0.62141548730607121</v>
      </c>
      <c r="Z16">
        <v>0.20226695102313999</v>
      </c>
      <c r="AA16">
        <v>-3.0722541876600449</v>
      </c>
      <c r="AB16">
        <v>2.124487302104221E-3</v>
      </c>
      <c r="AC16">
        <v>4.7972424829367713E-2</v>
      </c>
      <c r="AD16" t="s">
        <v>685</v>
      </c>
      <c r="AE16" t="s">
        <v>686</v>
      </c>
      <c r="AF16" t="s">
        <v>43</v>
      </c>
      <c r="AG16" t="s">
        <v>687</v>
      </c>
      <c r="AH16" t="s">
        <v>43</v>
      </c>
      <c r="AI16" t="s">
        <v>43</v>
      </c>
      <c r="AJ16" t="s">
        <v>43</v>
      </c>
      <c r="AK16" t="s">
        <v>43</v>
      </c>
      <c r="AL16" t="s">
        <v>43</v>
      </c>
      <c r="AM16" t="s">
        <v>371</v>
      </c>
      <c r="AN16" t="s">
        <v>43</v>
      </c>
    </row>
    <row r="17" spans="1:40" x14ac:dyDescent="0.3">
      <c r="A17" t="s">
        <v>688</v>
      </c>
      <c r="B17">
        <v>2100</v>
      </c>
      <c r="C17" t="str">
        <f>IF(Y17&lt;0, "Down", "Up")</f>
        <v>Down</v>
      </c>
      <c r="D17" s="7" t="str">
        <f>IF(AC17&lt;0.05, "Sig", "N")</f>
        <v>Sig</v>
      </c>
      <c r="E17" s="1" t="str">
        <f>IF(AND(H17&gt;2,J17&gt;2,L17&gt;2,N17&gt;2),"Y","N")</f>
        <v>Y</v>
      </c>
      <c r="F17" s="1" t="str">
        <f>IF(AND(P17&gt;2,R17&gt;2,T17&gt;2,V17&gt;2),"Y","N")</f>
        <v>Y</v>
      </c>
      <c r="G17" s="1" t="str">
        <f>IF(OR(E17="Y", F17="Y"), "Expressed", "N")</f>
        <v>Expressed</v>
      </c>
      <c r="H17" s="8">
        <v>75.157485677278515</v>
      </c>
      <c r="I17" s="8">
        <v>7022</v>
      </c>
      <c r="J17" s="8">
        <v>102.1340686672813</v>
      </c>
      <c r="K17" s="8">
        <v>21374</v>
      </c>
      <c r="L17" s="8">
        <v>68.697631388607221</v>
      </c>
      <c r="M17" s="8">
        <v>11149</v>
      </c>
      <c r="N17" s="8">
        <v>53.729011413893033</v>
      </c>
      <c r="O17" s="8">
        <v>5190</v>
      </c>
      <c r="P17" s="9">
        <v>26.098801284621619</v>
      </c>
      <c r="Q17" s="9">
        <v>6883</v>
      </c>
      <c r="R17" s="9">
        <v>74.477252249348268</v>
      </c>
      <c r="S17" s="9">
        <v>2596</v>
      </c>
      <c r="T17" s="9">
        <v>47.546019789807289</v>
      </c>
      <c r="U17" s="9">
        <v>1732</v>
      </c>
      <c r="V17" s="9">
        <v>8.2133496674665096</v>
      </c>
      <c r="W17" s="9">
        <v>9911</v>
      </c>
      <c r="X17">
        <v>6943.4017361676106</v>
      </c>
      <c r="Y17">
        <v>-1.054665208333873</v>
      </c>
      <c r="Z17">
        <v>0.2279649482152982</v>
      </c>
      <c r="AA17">
        <v>-4.6264358472242408</v>
      </c>
      <c r="AB17">
        <v>3.720120248083007E-6</v>
      </c>
      <c r="AC17">
        <v>5.7111092795570425E-4</v>
      </c>
      <c r="AD17" t="s">
        <v>689</v>
      </c>
      <c r="AE17" t="s">
        <v>690</v>
      </c>
      <c r="AF17" t="s">
        <v>55</v>
      </c>
      <c r="AG17" t="s">
        <v>691</v>
      </c>
      <c r="AH17" t="s">
        <v>43</v>
      </c>
      <c r="AI17" t="s">
        <v>43</v>
      </c>
      <c r="AJ17" t="s">
        <v>43</v>
      </c>
      <c r="AK17" t="s">
        <v>43</v>
      </c>
      <c r="AL17" t="s">
        <v>43</v>
      </c>
      <c r="AM17" t="s">
        <v>692</v>
      </c>
      <c r="AN17" t="s">
        <v>43</v>
      </c>
    </row>
    <row r="18" spans="1:40" s="10" customFormat="1" x14ac:dyDescent="0.3">
      <c r="A18" t="s">
        <v>693</v>
      </c>
      <c r="B18">
        <v>1175</v>
      </c>
      <c r="C18" t="str">
        <f>IF(Y18&lt;0, "Down", "Up")</f>
        <v>Down</v>
      </c>
      <c r="D18" s="7" t="str">
        <f>IF(AC18&lt;0.05, "Sig", "N")</f>
        <v>Sig</v>
      </c>
      <c r="E18" s="1" t="str">
        <f>IF(AND(H18&gt;2,J18&gt;2,L18&gt;2,N18&gt;2),"Y","N")</f>
        <v>Y</v>
      </c>
      <c r="F18" s="1" t="str">
        <f>IF(AND(P18&gt;2,R18&gt;2,T18&gt;2,V18&gt;2),"Y","N")</f>
        <v>Y</v>
      </c>
      <c r="G18" s="1" t="str">
        <f>IF(OR(E18="Y", F18="Y"), "Expressed", "N")</f>
        <v>Expressed</v>
      </c>
      <c r="H18" s="8">
        <v>115.0037012153629</v>
      </c>
      <c r="I18" s="8">
        <v>6012</v>
      </c>
      <c r="J18" s="8">
        <v>101.6450425585176</v>
      </c>
      <c r="K18" s="8">
        <v>11902</v>
      </c>
      <c r="L18" s="8">
        <v>134.3198814585694</v>
      </c>
      <c r="M18" s="8">
        <v>12197</v>
      </c>
      <c r="N18" s="8">
        <v>86.775227879380566</v>
      </c>
      <c r="O18" s="8">
        <v>4690</v>
      </c>
      <c r="P18" s="9">
        <v>42.150960333249429</v>
      </c>
      <c r="Q18" s="9">
        <v>8537</v>
      </c>
      <c r="R18" s="9">
        <v>165.09449246223551</v>
      </c>
      <c r="S18" s="9">
        <v>4128</v>
      </c>
      <c r="T18" s="9">
        <v>135.1234096167201</v>
      </c>
      <c r="U18" s="9">
        <v>2457</v>
      </c>
      <c r="V18" s="9">
        <v>20.823753269729721</v>
      </c>
      <c r="W18" s="9">
        <v>10072</v>
      </c>
      <c r="X18">
        <v>6648.2900787178314</v>
      </c>
      <c r="Y18">
        <v>-0.38082755180818451</v>
      </c>
      <c r="Z18">
        <v>0.11585952673616259</v>
      </c>
      <c r="AA18">
        <v>-3.2869765873928678</v>
      </c>
      <c r="AB18">
        <v>1.012692528792555E-3</v>
      </c>
      <c r="AC18">
        <v>3.1093606189238409E-2</v>
      </c>
      <c r="AD18" t="s">
        <v>694</v>
      </c>
      <c r="AE18" t="s">
        <v>695</v>
      </c>
      <c r="AF18" t="s">
        <v>696</v>
      </c>
      <c r="AG18" t="s">
        <v>697</v>
      </c>
      <c r="AH18" t="s">
        <v>43</v>
      </c>
      <c r="AI18" t="s">
        <v>43</v>
      </c>
      <c r="AJ18" t="s">
        <v>43</v>
      </c>
      <c r="AK18" t="s">
        <v>43</v>
      </c>
      <c r="AL18" t="s">
        <v>43</v>
      </c>
      <c r="AM18" t="s">
        <v>698</v>
      </c>
      <c r="AN18" t="s">
        <v>43</v>
      </c>
    </row>
    <row r="19" spans="1:40" x14ac:dyDescent="0.3">
      <c r="A19" s="16" t="s">
        <v>699</v>
      </c>
      <c r="B19" s="16">
        <v>869</v>
      </c>
      <c r="C19" s="16" t="str">
        <f>IF(Y19&lt;0, "Down", "Up")</f>
        <v>Down</v>
      </c>
      <c r="D19" s="17" t="str">
        <f>IF(AC19&lt;0.05, "Sig", "N")</f>
        <v>Sig</v>
      </c>
      <c r="E19" s="18" t="str">
        <f>IF(AND(H19&gt;2,J19&gt;2,L19&gt;2,N19&gt;2),"Y","N")</f>
        <v>Y</v>
      </c>
      <c r="F19" s="18" t="str">
        <f>IF(AND(P19&gt;2,R19&gt;2,T19&gt;2,V19&gt;2),"Y","N")</f>
        <v>Y</v>
      </c>
      <c r="G19" s="18" t="str">
        <f>IF(OR(E19="Y", F19="Y"), "Expressed", "N")</f>
        <v>Expressed</v>
      </c>
      <c r="H19" s="16">
        <v>113.72799993351271</v>
      </c>
      <c r="I19" s="16">
        <v>4397</v>
      </c>
      <c r="J19" s="16">
        <v>100.0813472113978</v>
      </c>
      <c r="K19" s="16">
        <v>8667</v>
      </c>
      <c r="L19" s="16">
        <v>111.61818186637301</v>
      </c>
      <c r="M19" s="16">
        <v>7496</v>
      </c>
      <c r="N19" s="16">
        <v>98.042928229067201</v>
      </c>
      <c r="O19" s="16">
        <v>3919</v>
      </c>
      <c r="P19" s="9">
        <v>47.624231934987719</v>
      </c>
      <c r="Q19" s="9">
        <v>6443</v>
      </c>
      <c r="R19" s="9">
        <v>168.47424762253539</v>
      </c>
      <c r="S19" s="9">
        <v>2555</v>
      </c>
      <c r="T19" s="9">
        <v>113.0836717824763</v>
      </c>
      <c r="U19" s="9">
        <v>1682</v>
      </c>
      <c r="V19" s="9">
        <v>19.27515746074382</v>
      </c>
      <c r="W19" s="9">
        <v>7580</v>
      </c>
      <c r="X19" s="16">
        <v>4740.0932276958256</v>
      </c>
      <c r="Y19" s="16">
        <v>-0.42083829923784222</v>
      </c>
      <c r="Z19" s="16">
        <v>0.1147506815488504</v>
      </c>
      <c r="AA19" s="16">
        <v>-3.6674143766081921</v>
      </c>
      <c r="AB19" s="16">
        <v>2.4501555733459662E-4</v>
      </c>
      <c r="AC19" s="16">
        <v>1.2220797060136139E-2</v>
      </c>
      <c r="AD19" s="16" t="s">
        <v>700</v>
      </c>
      <c r="AE19" s="16" t="s">
        <v>701</v>
      </c>
      <c r="AF19" s="16" t="s">
        <v>702</v>
      </c>
      <c r="AG19" s="16" t="s">
        <v>703</v>
      </c>
      <c r="AH19" s="16" t="s">
        <v>43</v>
      </c>
      <c r="AI19" s="16" t="s">
        <v>43</v>
      </c>
      <c r="AJ19" s="16" t="s">
        <v>43</v>
      </c>
      <c r="AK19" s="16" t="s">
        <v>43</v>
      </c>
      <c r="AL19" s="16" t="s">
        <v>43</v>
      </c>
      <c r="AM19" s="16" t="s">
        <v>704</v>
      </c>
      <c r="AN19" s="16" t="s">
        <v>43</v>
      </c>
    </row>
    <row r="20" spans="1:40" x14ac:dyDescent="0.3">
      <c r="A20" t="s">
        <v>717</v>
      </c>
      <c r="B20">
        <v>300</v>
      </c>
      <c r="C20" t="str">
        <f>IF(Y20&lt;0, "Down", "Up")</f>
        <v>Down</v>
      </c>
      <c r="D20" s="7" t="str">
        <f>IF(AC20&lt;0.05, "Sig", "N")</f>
        <v>Sig</v>
      </c>
      <c r="E20" s="1" t="str">
        <f>IF(AND(H20&gt;2,J20&gt;2,L20&gt;2,N20&gt;2),"Y","N")</f>
        <v>Y</v>
      </c>
      <c r="F20" s="1" t="str">
        <f>IF(AND(P20&gt;2,R20&gt;2,T20&gt;2,V20&gt;2),"Y","N")</f>
        <v>Y</v>
      </c>
      <c r="G20" s="1" t="str">
        <f>IF(OR(E20="Y", F20="Y"), "Expressed", "N")</f>
        <v>Expressed</v>
      </c>
      <c r="H20" s="8">
        <v>123.1717950974254</v>
      </c>
      <c r="I20" s="8">
        <v>1644</v>
      </c>
      <c r="J20" s="8">
        <v>94.025080432586009</v>
      </c>
      <c r="K20" s="8">
        <v>2811</v>
      </c>
      <c r="L20" s="8">
        <v>176.45475559023629</v>
      </c>
      <c r="M20" s="8">
        <v>4091</v>
      </c>
      <c r="N20" s="8">
        <v>85.800779691396045</v>
      </c>
      <c r="O20" s="8">
        <v>1184</v>
      </c>
      <c r="P20" s="9">
        <v>41.677623323110588</v>
      </c>
      <c r="Q20" s="9">
        <v>2232</v>
      </c>
      <c r="R20" s="9">
        <v>169.0589262158677</v>
      </c>
      <c r="S20" s="9">
        <v>871</v>
      </c>
      <c r="T20" s="9">
        <v>111.66721211804889</v>
      </c>
      <c r="U20" s="9">
        <v>517</v>
      </c>
      <c r="V20" s="9">
        <v>17.16172774050883</v>
      </c>
      <c r="W20" s="9">
        <v>2795</v>
      </c>
      <c r="X20">
        <v>1730.2533765451931</v>
      </c>
      <c r="Y20">
        <v>-0.58086653075044137</v>
      </c>
      <c r="Z20">
        <v>0.18588579132146349</v>
      </c>
      <c r="AA20">
        <v>-3.1248570782148359</v>
      </c>
      <c r="AB20">
        <v>1.7789146841903989E-3</v>
      </c>
      <c r="AC20">
        <v>4.3313183278712072E-2</v>
      </c>
      <c r="AD20" t="s">
        <v>718</v>
      </c>
      <c r="AE20" t="s">
        <v>719</v>
      </c>
      <c r="AF20" t="s">
        <v>43</v>
      </c>
      <c r="AG20" t="s">
        <v>43</v>
      </c>
      <c r="AH20" t="s">
        <v>43</v>
      </c>
      <c r="AI20" t="s">
        <v>43</v>
      </c>
      <c r="AJ20" t="s">
        <v>43</v>
      </c>
      <c r="AK20" t="s">
        <v>43</v>
      </c>
      <c r="AL20" t="s">
        <v>43</v>
      </c>
      <c r="AM20" t="s">
        <v>43</v>
      </c>
      <c r="AN20" t="s">
        <v>43</v>
      </c>
    </row>
    <row r="21" spans="1:40" x14ac:dyDescent="0.3">
      <c r="A21" t="s">
        <v>732</v>
      </c>
      <c r="B21">
        <v>1928</v>
      </c>
      <c r="C21" t="str">
        <f>IF(Y21&lt;0, "Down", "Up")</f>
        <v>Down</v>
      </c>
      <c r="D21" s="7" t="str">
        <f>IF(AC21&lt;0.05, "Sig", "N")</f>
        <v>Sig</v>
      </c>
      <c r="E21" s="1" t="str">
        <f>IF(AND(H21&gt;2,J21&gt;2,L21&gt;2,N21&gt;2),"Y","N")</f>
        <v>Y</v>
      </c>
      <c r="F21" s="1" t="str">
        <f>IF(AND(P21&gt;2,R21&gt;2,T21&gt;2,V21&gt;2),"Y","N")</f>
        <v>Y</v>
      </c>
      <c r="G21" s="1" t="str">
        <f>IF(OR(E21="Y", F21="Y"), "Expressed", "N")</f>
        <v>Expressed</v>
      </c>
      <c r="H21" s="8">
        <v>109.3053153331485</v>
      </c>
      <c r="I21" s="8">
        <v>9376</v>
      </c>
      <c r="J21" s="8">
        <v>88.964222126444909</v>
      </c>
      <c r="K21" s="8">
        <v>17093</v>
      </c>
      <c r="L21" s="8">
        <v>105.5245545382468</v>
      </c>
      <c r="M21" s="8">
        <v>15723</v>
      </c>
      <c r="N21" s="8">
        <v>85.235026891304358</v>
      </c>
      <c r="O21" s="8">
        <v>7559</v>
      </c>
      <c r="P21" s="9">
        <v>41.402809595531139</v>
      </c>
      <c r="Q21" s="9">
        <v>11843</v>
      </c>
      <c r="R21" s="9">
        <v>139.57893181234951</v>
      </c>
      <c r="S21" s="9">
        <v>4500</v>
      </c>
      <c r="T21" s="9">
        <v>89.770626812890981</v>
      </c>
      <c r="U21" s="9">
        <v>2883</v>
      </c>
      <c r="V21" s="9">
        <v>14.89118751130253</v>
      </c>
      <c r="W21" s="9">
        <v>11051</v>
      </c>
      <c r="X21">
        <v>8933.0470543398387</v>
      </c>
      <c r="Y21">
        <v>-0.69338453154122259</v>
      </c>
      <c r="Z21">
        <v>0.1151227659922474</v>
      </c>
      <c r="AA21">
        <v>-6.0230009726131506</v>
      </c>
      <c r="AB21">
        <v>1.712124139760814E-9</v>
      </c>
      <c r="AC21">
        <v>1.7599147353141371E-6</v>
      </c>
      <c r="AD21" t="s">
        <v>733</v>
      </c>
      <c r="AE21" t="s">
        <v>734</v>
      </c>
      <c r="AF21" t="s">
        <v>735</v>
      </c>
      <c r="AG21" t="s">
        <v>736</v>
      </c>
      <c r="AH21" t="s">
        <v>43</v>
      </c>
      <c r="AI21" t="s">
        <v>43</v>
      </c>
      <c r="AJ21" t="s">
        <v>43</v>
      </c>
      <c r="AK21" t="s">
        <v>43</v>
      </c>
      <c r="AL21" t="s">
        <v>43</v>
      </c>
      <c r="AM21" t="s">
        <v>737</v>
      </c>
      <c r="AN21" t="s">
        <v>43</v>
      </c>
    </row>
    <row r="22" spans="1:40" x14ac:dyDescent="0.3">
      <c r="A22" t="s">
        <v>738</v>
      </c>
      <c r="B22">
        <v>1672</v>
      </c>
      <c r="C22" t="str">
        <f>IF(Y22&lt;0, "Down", "Up")</f>
        <v>Down</v>
      </c>
      <c r="D22" s="7" t="str">
        <f>IF(AC22&lt;0.05, "Sig", "N")</f>
        <v>Sig</v>
      </c>
      <c r="E22" s="1" t="str">
        <f>IF(AND(H22&gt;2,J22&gt;2,L22&gt;2,N22&gt;2),"Y","N")</f>
        <v>Y</v>
      </c>
      <c r="F22" s="1" t="str">
        <f>IF(AND(P22&gt;2,R22&gt;2,T22&gt;2,V22&gt;2),"Y","N")</f>
        <v>Y</v>
      </c>
      <c r="G22" s="1" t="str">
        <f>IF(OR(E22="Y", F22="Y"), "Expressed", "N")</f>
        <v>Expressed</v>
      </c>
      <c r="H22" s="8">
        <v>146.40711988855301</v>
      </c>
      <c r="I22" s="8">
        <v>10891</v>
      </c>
      <c r="J22" s="8">
        <v>84.598709983616942</v>
      </c>
      <c r="K22" s="8">
        <v>14096</v>
      </c>
      <c r="L22" s="8">
        <v>160.09043691454349</v>
      </c>
      <c r="M22" s="8">
        <v>20686</v>
      </c>
      <c r="N22" s="8">
        <v>92.122214269436938</v>
      </c>
      <c r="O22" s="8">
        <v>7085</v>
      </c>
      <c r="P22" s="9">
        <v>44.748252403089623</v>
      </c>
      <c r="Q22" s="9">
        <v>10975</v>
      </c>
      <c r="R22" s="9">
        <v>149.1534923100231</v>
      </c>
      <c r="S22" s="9">
        <v>3323</v>
      </c>
      <c r="T22" s="9">
        <v>76.440380742919771</v>
      </c>
      <c r="U22" s="9">
        <v>2321</v>
      </c>
      <c r="V22" s="9">
        <v>13.823900106563791</v>
      </c>
      <c r="W22" s="9">
        <v>11082</v>
      </c>
      <c r="X22">
        <v>8830.3173502312056</v>
      </c>
      <c r="Y22">
        <v>-0.98082478076599466</v>
      </c>
      <c r="Z22">
        <v>0.19424641308271939</v>
      </c>
      <c r="AA22">
        <v>-5.049384259920993</v>
      </c>
      <c r="AB22">
        <v>4.4323637916721768E-7</v>
      </c>
      <c r="AC22">
        <v>1.30987430953392E-4</v>
      </c>
      <c r="AD22" t="s">
        <v>739</v>
      </c>
      <c r="AE22" t="s">
        <v>740</v>
      </c>
      <c r="AF22" t="s">
        <v>741</v>
      </c>
      <c r="AG22" t="s">
        <v>742</v>
      </c>
      <c r="AH22" t="s">
        <v>43</v>
      </c>
      <c r="AI22" t="s">
        <v>43</v>
      </c>
      <c r="AJ22" t="s">
        <v>43</v>
      </c>
      <c r="AK22" t="s">
        <v>43</v>
      </c>
      <c r="AL22" t="s">
        <v>43</v>
      </c>
      <c r="AM22" t="s">
        <v>743</v>
      </c>
      <c r="AN22" t="s">
        <v>43</v>
      </c>
    </row>
    <row r="23" spans="1:40" x14ac:dyDescent="0.3">
      <c r="A23" t="s">
        <v>750</v>
      </c>
      <c r="B23">
        <v>1004</v>
      </c>
      <c r="C23" t="str">
        <f>IF(Y23&lt;0, "Down", "Up")</f>
        <v>Down</v>
      </c>
      <c r="D23" s="7" t="str">
        <f>IF(AC23&lt;0.05, "Sig", "N")</f>
        <v>Sig</v>
      </c>
      <c r="E23" s="1" t="str">
        <f>IF(AND(H23&gt;2,J23&gt;2,L23&gt;2,N23&gt;2),"Y","N")</f>
        <v>Y</v>
      </c>
      <c r="F23" s="1" t="str">
        <f>IF(AND(P23&gt;2,R23&gt;2,T23&gt;2,V23&gt;2),"Y","N")</f>
        <v>Y</v>
      </c>
      <c r="G23" s="1" t="str">
        <f>IF(OR(E23="Y", F23="Y"), "Expressed", "N")</f>
        <v>Expressed</v>
      </c>
      <c r="H23" s="8">
        <v>125.6585493576513</v>
      </c>
      <c r="I23" s="8">
        <v>5613</v>
      </c>
      <c r="J23" s="8">
        <v>78.288601732711228</v>
      </c>
      <c r="K23" s="8">
        <v>7833</v>
      </c>
      <c r="L23" s="8">
        <v>169.0541935711417</v>
      </c>
      <c r="M23" s="8">
        <v>13117</v>
      </c>
      <c r="N23" s="8">
        <v>84.383489300577352</v>
      </c>
      <c r="O23" s="8">
        <v>3897</v>
      </c>
      <c r="P23" s="9">
        <v>40.989176257006257</v>
      </c>
      <c r="Q23" s="9">
        <v>7498</v>
      </c>
      <c r="R23" s="9">
        <v>169.69806643942721</v>
      </c>
      <c r="S23" s="9">
        <v>3122</v>
      </c>
      <c r="T23" s="9">
        <v>119.5991131567469</v>
      </c>
      <c r="U23" s="9">
        <v>1721</v>
      </c>
      <c r="V23" s="9">
        <v>17.070210516588791</v>
      </c>
      <c r="W23" s="9">
        <v>7256</v>
      </c>
      <c r="X23">
        <v>5507.2341220816779</v>
      </c>
      <c r="Y23">
        <v>-0.58824019928394944</v>
      </c>
      <c r="Z23">
        <v>0.18538075880469351</v>
      </c>
      <c r="AA23">
        <v>-3.17314592451143</v>
      </c>
      <c r="AB23">
        <v>1.507967112650618E-3</v>
      </c>
      <c r="AC23">
        <v>3.9481017139851513E-2</v>
      </c>
      <c r="AD23" t="s">
        <v>751</v>
      </c>
      <c r="AE23" t="s">
        <v>752</v>
      </c>
      <c r="AF23" t="s">
        <v>753</v>
      </c>
      <c r="AG23" t="s">
        <v>754</v>
      </c>
      <c r="AH23" t="s">
        <v>43</v>
      </c>
      <c r="AI23" t="s">
        <v>43</v>
      </c>
      <c r="AJ23" t="s">
        <v>43</v>
      </c>
      <c r="AK23" t="s">
        <v>43</v>
      </c>
      <c r="AL23" t="s">
        <v>43</v>
      </c>
      <c r="AM23" t="s">
        <v>755</v>
      </c>
      <c r="AN23" t="s">
        <v>43</v>
      </c>
    </row>
    <row r="24" spans="1:40" x14ac:dyDescent="0.3">
      <c r="A24" t="s">
        <v>762</v>
      </c>
      <c r="B24">
        <v>1850</v>
      </c>
      <c r="C24" t="str">
        <f>IF(Y24&lt;0, "Down", "Up")</f>
        <v>Down</v>
      </c>
      <c r="D24" s="7" t="str">
        <f>IF(AC24&lt;0.05, "Sig", "N")</f>
        <v>Sig</v>
      </c>
      <c r="E24" s="1" t="str">
        <f>IF(AND(H24&gt;2,J24&gt;2,L24&gt;2,N24&gt;2),"Y","N")</f>
        <v>Y</v>
      </c>
      <c r="F24" s="1" t="str">
        <f>IF(AND(P24&gt;2,R24&gt;2,T24&gt;2,V24&gt;2),"Y","N")</f>
        <v>Y</v>
      </c>
      <c r="G24" s="1" t="str">
        <f>IF(OR(E24="Y", F24="Y"), "Expressed", "N")</f>
        <v>Expressed</v>
      </c>
      <c r="H24" s="8">
        <v>63.639165784209339</v>
      </c>
      <c r="I24" s="8">
        <v>5238</v>
      </c>
      <c r="J24" s="8">
        <v>76.95254066151881</v>
      </c>
      <c r="K24" s="8">
        <v>14187</v>
      </c>
      <c r="L24" s="8">
        <v>55.5708853249821</v>
      </c>
      <c r="M24" s="8">
        <v>7945</v>
      </c>
      <c r="N24" s="8">
        <v>50.965757147769992</v>
      </c>
      <c r="O24" s="8">
        <v>4337</v>
      </c>
      <c r="P24" s="9">
        <v>24.75655391969466</v>
      </c>
      <c r="Q24" s="9">
        <v>7314</v>
      </c>
      <c r="R24" s="9">
        <v>89.835584593349054</v>
      </c>
      <c r="S24" s="9">
        <v>2102</v>
      </c>
      <c r="T24" s="9">
        <v>43.700837162405222</v>
      </c>
      <c r="U24" s="9">
        <v>1669</v>
      </c>
      <c r="V24" s="9">
        <v>8.9841362116919576</v>
      </c>
      <c r="W24" s="9">
        <v>7822</v>
      </c>
      <c r="X24">
        <v>5431.1156890015263</v>
      </c>
      <c r="Y24">
        <v>-0.74869130413089324</v>
      </c>
      <c r="Z24">
        <v>0.19998536567676259</v>
      </c>
      <c r="AA24">
        <v>-3.74373045546246</v>
      </c>
      <c r="AB24">
        <v>1.8130815260086099E-4</v>
      </c>
      <c r="AC24">
        <v>1.006217686335577E-2</v>
      </c>
      <c r="AD24" t="s">
        <v>763</v>
      </c>
      <c r="AE24" t="s">
        <v>764</v>
      </c>
      <c r="AF24" t="s">
        <v>765</v>
      </c>
      <c r="AG24" t="s">
        <v>766</v>
      </c>
      <c r="AH24" t="s">
        <v>43</v>
      </c>
      <c r="AI24" t="s">
        <v>43</v>
      </c>
      <c r="AJ24" t="s">
        <v>43</v>
      </c>
      <c r="AK24" t="s">
        <v>43</v>
      </c>
      <c r="AL24" t="s">
        <v>43</v>
      </c>
      <c r="AM24" t="s">
        <v>767</v>
      </c>
      <c r="AN24" t="s">
        <v>43</v>
      </c>
    </row>
    <row r="25" spans="1:40" s="16" customFormat="1" x14ac:dyDescent="0.3">
      <c r="A25" t="s">
        <v>774</v>
      </c>
      <c r="B25">
        <v>1250</v>
      </c>
      <c r="C25" t="str">
        <f>IF(Y25&lt;0, "Down", "Up")</f>
        <v>Down</v>
      </c>
      <c r="D25" s="7" t="str">
        <f>IF(AC25&lt;0.05, "Sig", "N")</f>
        <v>Sig</v>
      </c>
      <c r="E25" s="1" t="str">
        <f>IF(AND(H25&gt;2,J25&gt;2,L25&gt;2,N25&gt;2),"Y","N")</f>
        <v>Y</v>
      </c>
      <c r="F25" s="1" t="str">
        <f>IF(AND(P25&gt;2,R25&gt;2,T25&gt;2,V25&gt;2),"Y","N")</f>
        <v>Y</v>
      </c>
      <c r="G25" s="1" t="str">
        <f>IF(OR(E25="Y", F25="Y"), "Expressed", "N")</f>
        <v>Expressed</v>
      </c>
      <c r="H25" s="8">
        <v>92.945256767677648</v>
      </c>
      <c r="I25" s="8">
        <v>5169</v>
      </c>
      <c r="J25" s="8">
        <v>72.827793356193837</v>
      </c>
      <c r="K25" s="8">
        <v>9072</v>
      </c>
      <c r="L25" s="8">
        <v>78.580379350896152</v>
      </c>
      <c r="M25" s="8">
        <v>7591</v>
      </c>
      <c r="N25" s="8">
        <v>61.289583979556689</v>
      </c>
      <c r="O25" s="8">
        <v>3524</v>
      </c>
      <c r="P25" s="9">
        <v>29.77134011972468</v>
      </c>
      <c r="Q25" s="9">
        <v>6662</v>
      </c>
      <c r="R25" s="9">
        <v>121.1043619838829</v>
      </c>
      <c r="S25" s="9">
        <v>2426</v>
      </c>
      <c r="T25" s="9">
        <v>74.646518465686356</v>
      </c>
      <c r="U25" s="9">
        <v>1627</v>
      </c>
      <c r="V25" s="9">
        <v>12.961917694611</v>
      </c>
      <c r="W25" s="9">
        <v>6143</v>
      </c>
      <c r="X25">
        <v>4715.0138257094004</v>
      </c>
      <c r="Y25">
        <v>-0.57103711470834606</v>
      </c>
      <c r="Z25">
        <v>0.14908534963513889</v>
      </c>
      <c r="AA25">
        <v>-3.830269815953494</v>
      </c>
      <c r="AB25">
        <v>1.2800282501896951E-4</v>
      </c>
      <c r="AC25">
        <v>8.0271692018527262E-3</v>
      </c>
      <c r="AD25" t="s">
        <v>775</v>
      </c>
      <c r="AE25" t="s">
        <v>776</v>
      </c>
      <c r="AF25" t="s">
        <v>777</v>
      </c>
      <c r="AG25" t="s">
        <v>778</v>
      </c>
      <c r="AH25" t="s">
        <v>43</v>
      </c>
      <c r="AI25" t="s">
        <v>43</v>
      </c>
      <c r="AJ25" t="s">
        <v>43</v>
      </c>
      <c r="AK25" t="s">
        <v>43</v>
      </c>
      <c r="AL25" t="s">
        <v>43</v>
      </c>
      <c r="AM25" t="s">
        <v>779</v>
      </c>
      <c r="AN25" t="s">
        <v>43</v>
      </c>
    </row>
    <row r="26" spans="1:40" x14ac:dyDescent="0.3">
      <c r="A26" t="s">
        <v>792</v>
      </c>
      <c r="B26">
        <v>2144</v>
      </c>
      <c r="C26" t="str">
        <f>IF(Y26&lt;0, "Down", "Up")</f>
        <v>Down</v>
      </c>
      <c r="D26" s="7" t="str">
        <f>IF(AC26&lt;0.05, "Sig", "N")</f>
        <v>Sig</v>
      </c>
      <c r="E26" s="1" t="str">
        <f>IF(AND(H26&gt;2,J26&gt;2,L26&gt;2,N26&gt;2),"Y","N")</f>
        <v>Y</v>
      </c>
      <c r="F26" s="1" t="str">
        <f>IF(AND(P26&gt;2,R26&gt;2,T26&gt;2,V26&gt;2),"Y","N")</f>
        <v>Y</v>
      </c>
      <c r="G26" s="1" t="str">
        <f>IF(OR(E26="Y", F26="Y"), "Expressed", "N")</f>
        <v>Expressed</v>
      </c>
      <c r="H26" s="8">
        <v>77.410098373272987</v>
      </c>
      <c r="I26" s="8">
        <v>7384</v>
      </c>
      <c r="J26" s="8">
        <v>69.391030564237255</v>
      </c>
      <c r="K26" s="8">
        <v>14826</v>
      </c>
      <c r="L26" s="8">
        <v>115.2203099737457</v>
      </c>
      <c r="M26" s="8">
        <v>19091</v>
      </c>
      <c r="N26" s="8">
        <v>64.794309176932416</v>
      </c>
      <c r="O26" s="8">
        <v>6390</v>
      </c>
      <c r="P26" s="9">
        <v>31.473756078561092</v>
      </c>
      <c r="Q26" s="9">
        <v>12660</v>
      </c>
      <c r="R26" s="9">
        <v>134.1757697082183</v>
      </c>
      <c r="S26" s="9">
        <v>4680</v>
      </c>
      <c r="T26" s="9">
        <v>83.955633971578337</v>
      </c>
      <c r="U26" s="9">
        <v>3325</v>
      </c>
      <c r="V26" s="9">
        <v>15.44395715555223</v>
      </c>
      <c r="W26" s="9">
        <v>13022</v>
      </c>
      <c r="X26">
        <v>8860.6328032762958</v>
      </c>
      <c r="Y26">
        <v>-0.42352106748991197</v>
      </c>
      <c r="Z26">
        <v>0.13692246776595329</v>
      </c>
      <c r="AA26">
        <v>-3.093145152874782</v>
      </c>
      <c r="AB26">
        <v>1.9804724125904519E-3</v>
      </c>
      <c r="AC26">
        <v>4.6130373180752179E-2</v>
      </c>
      <c r="AD26" t="s">
        <v>793</v>
      </c>
      <c r="AE26" t="s">
        <v>794</v>
      </c>
      <c r="AF26" t="s">
        <v>795</v>
      </c>
      <c r="AG26" t="s">
        <v>796</v>
      </c>
      <c r="AH26" t="s">
        <v>43</v>
      </c>
      <c r="AI26" t="s">
        <v>43</v>
      </c>
      <c r="AJ26" t="s">
        <v>43</v>
      </c>
      <c r="AK26" t="s">
        <v>43</v>
      </c>
      <c r="AL26" t="s">
        <v>43</v>
      </c>
      <c r="AM26" t="s">
        <v>797</v>
      </c>
      <c r="AN26" t="s">
        <v>43</v>
      </c>
    </row>
    <row r="27" spans="1:40" x14ac:dyDescent="0.3">
      <c r="A27" t="s">
        <v>798</v>
      </c>
      <c r="B27">
        <v>1127</v>
      </c>
      <c r="C27" t="str">
        <f>IF(Y27&lt;0, "Down", "Up")</f>
        <v>Down</v>
      </c>
      <c r="D27" s="7" t="str">
        <f>IF(AC27&lt;0.05, "Sig", "N")</f>
        <v>Sig</v>
      </c>
      <c r="E27" s="1" t="str">
        <f>IF(AND(H27&gt;2,J27&gt;2,L27&gt;2,N27&gt;2),"Y","N")</f>
        <v>Y</v>
      </c>
      <c r="F27" s="1" t="str">
        <f>IF(AND(P27&gt;2,R27&gt;2,T27&gt;2,V27&gt;2),"Y","N")</f>
        <v>Y</v>
      </c>
      <c r="G27" s="1" t="str">
        <f>IF(OR(E27="Y", F27="Y"), "Expressed", "N")</f>
        <v>Expressed</v>
      </c>
      <c r="H27" s="8">
        <v>207.93352542531969</v>
      </c>
      <c r="I27" s="8">
        <v>10426</v>
      </c>
      <c r="J27" s="8">
        <v>68.141536171017279</v>
      </c>
      <c r="K27" s="8">
        <v>7653</v>
      </c>
      <c r="L27" s="8">
        <v>317.08648120838052</v>
      </c>
      <c r="M27" s="8">
        <v>27617</v>
      </c>
      <c r="N27" s="8">
        <v>106.2118755052939</v>
      </c>
      <c r="O27" s="8">
        <v>5506</v>
      </c>
      <c r="P27" s="9">
        <v>51.592288038317832</v>
      </c>
      <c r="Q27" s="9">
        <v>7322</v>
      </c>
      <c r="R27" s="9">
        <v>147.6287624572544</v>
      </c>
      <c r="S27" s="9">
        <v>934</v>
      </c>
      <c r="T27" s="9">
        <v>31.875113038463379</v>
      </c>
      <c r="U27" s="9">
        <v>1280</v>
      </c>
      <c r="V27" s="9">
        <v>11.310395020681719</v>
      </c>
      <c r="W27" s="9">
        <v>8139</v>
      </c>
      <c r="X27">
        <v>7287.2652335262565</v>
      </c>
      <c r="Y27">
        <v>-1.6899799521712091</v>
      </c>
      <c r="Z27">
        <v>0.51624106009345405</v>
      </c>
      <c r="AA27">
        <v>-3.2736256040255221</v>
      </c>
      <c r="AB27">
        <v>1.06177190051039E-3</v>
      </c>
      <c r="AC27">
        <v>3.2018381724319707E-2</v>
      </c>
      <c r="AD27" t="s">
        <v>799</v>
      </c>
      <c r="AE27" t="s">
        <v>800</v>
      </c>
      <c r="AF27" t="s">
        <v>801</v>
      </c>
      <c r="AG27" t="s">
        <v>802</v>
      </c>
      <c r="AH27" t="s">
        <v>43</v>
      </c>
      <c r="AI27" t="s">
        <v>43</v>
      </c>
      <c r="AJ27" t="s">
        <v>43</v>
      </c>
      <c r="AK27" t="s">
        <v>43</v>
      </c>
      <c r="AL27" t="s">
        <v>43</v>
      </c>
      <c r="AM27" t="s">
        <v>75</v>
      </c>
      <c r="AN27" t="s">
        <v>43</v>
      </c>
    </row>
    <row r="28" spans="1:40" x14ac:dyDescent="0.3">
      <c r="A28" t="s">
        <v>803</v>
      </c>
      <c r="B28">
        <v>1920</v>
      </c>
      <c r="C28" t="str">
        <f>IF(Y28&lt;0, "Down", "Up")</f>
        <v>Down</v>
      </c>
      <c r="D28" s="7" t="str">
        <f>IF(AC28&lt;0.05, "Sig", "N")</f>
        <v>Sig</v>
      </c>
      <c r="E28" s="1" t="str">
        <f>IF(AND(H28&gt;2,J28&gt;2,L28&gt;2,N28&gt;2),"Y","N")</f>
        <v>Y</v>
      </c>
      <c r="F28" s="1" t="str">
        <f>IF(AND(P28&gt;2,R28&gt;2,T28&gt;2,V28&gt;2),"Y","N")</f>
        <v>Y</v>
      </c>
      <c r="G28" s="1" t="str">
        <f>IF(OR(E28="Y", F28="Y"), "Expressed", "N")</f>
        <v>Expressed</v>
      </c>
      <c r="H28" s="8">
        <v>100.5359808676142</v>
      </c>
      <c r="I28" s="8">
        <v>8588</v>
      </c>
      <c r="J28" s="8">
        <v>65.685432835108784</v>
      </c>
      <c r="K28" s="8">
        <v>12568</v>
      </c>
      <c r="L28" s="8">
        <v>120.6629622986277</v>
      </c>
      <c r="M28" s="8">
        <v>17904</v>
      </c>
      <c r="N28" s="8">
        <v>64.54081031473784</v>
      </c>
      <c r="O28" s="8">
        <v>5700</v>
      </c>
      <c r="P28" s="9">
        <v>31.350619317690349</v>
      </c>
      <c r="Q28" s="9">
        <v>11478</v>
      </c>
      <c r="R28" s="9">
        <v>135.84077866723581</v>
      </c>
      <c r="S28" s="9">
        <v>4773</v>
      </c>
      <c r="T28" s="9">
        <v>95.61344780414889</v>
      </c>
      <c r="U28" s="9">
        <v>2001</v>
      </c>
      <c r="V28" s="9">
        <v>10.37857144848833</v>
      </c>
      <c r="W28" s="9">
        <v>11184</v>
      </c>
      <c r="X28">
        <v>8074.8467587138603</v>
      </c>
      <c r="Y28">
        <v>-0.61551233762213364</v>
      </c>
      <c r="Z28">
        <v>0.1960516607701214</v>
      </c>
      <c r="AA28">
        <v>-3.139541563709817</v>
      </c>
      <c r="AB28">
        <v>1.6921240842017341E-3</v>
      </c>
      <c r="AC28">
        <v>4.2145355938827532E-2</v>
      </c>
      <c r="AD28" t="s">
        <v>804</v>
      </c>
      <c r="AE28" t="s">
        <v>805</v>
      </c>
      <c r="AF28" t="s">
        <v>43</v>
      </c>
      <c r="AG28" t="s">
        <v>806</v>
      </c>
      <c r="AH28" t="s">
        <v>43</v>
      </c>
      <c r="AI28" t="s">
        <v>43</v>
      </c>
      <c r="AJ28" t="s">
        <v>43</v>
      </c>
      <c r="AK28" t="s">
        <v>43</v>
      </c>
      <c r="AL28" t="s">
        <v>43</v>
      </c>
      <c r="AM28" t="s">
        <v>807</v>
      </c>
      <c r="AN28" t="s">
        <v>43</v>
      </c>
    </row>
    <row r="29" spans="1:40" x14ac:dyDescent="0.3">
      <c r="A29" t="s">
        <v>808</v>
      </c>
      <c r="B29">
        <v>3018</v>
      </c>
      <c r="C29" t="str">
        <f>IF(Y29&lt;0, "Down", "Up")</f>
        <v>Down</v>
      </c>
      <c r="D29" s="7" t="str">
        <f>IF(AC29&lt;0.05, "Sig", "N")</f>
        <v>Sig</v>
      </c>
      <c r="E29" s="1" t="str">
        <f>IF(AND(H29&gt;2,J29&gt;2,L29&gt;2,N29&gt;2),"Y","N")</f>
        <v>Y</v>
      </c>
      <c r="F29" s="1" t="str">
        <f>IF(AND(P29&gt;2,R29&gt;2,T29&gt;2,V29&gt;2),"Y","N")</f>
        <v>Y</v>
      </c>
      <c r="G29" s="1" t="str">
        <f>IF(OR(E29="Y", F29="Y"), "Expressed", "N")</f>
        <v>Expressed</v>
      </c>
      <c r="H29" s="8">
        <v>82.1684500847648</v>
      </c>
      <c r="I29" s="8">
        <v>11033</v>
      </c>
      <c r="J29" s="8">
        <v>64.886364652423993</v>
      </c>
      <c r="K29" s="8">
        <v>19515</v>
      </c>
      <c r="L29" s="8">
        <v>118.5198466687264</v>
      </c>
      <c r="M29" s="8">
        <v>27643</v>
      </c>
      <c r="N29" s="8">
        <v>69.700743536580191</v>
      </c>
      <c r="O29" s="8">
        <v>9676</v>
      </c>
      <c r="P29" s="9">
        <v>33.857050540877893</v>
      </c>
      <c r="Q29" s="9">
        <v>16185</v>
      </c>
      <c r="R29" s="9">
        <v>121.85928874797</v>
      </c>
      <c r="S29" s="9">
        <v>6472</v>
      </c>
      <c r="T29" s="9">
        <v>82.479884964382791</v>
      </c>
      <c r="U29" s="9">
        <v>3941</v>
      </c>
      <c r="V29" s="9">
        <v>13.004058631834781</v>
      </c>
      <c r="W29" s="9">
        <v>14567</v>
      </c>
      <c r="X29">
        <v>12007.06375186914</v>
      </c>
      <c r="Y29">
        <v>-0.64508401625886835</v>
      </c>
      <c r="Z29">
        <v>0.14136970313828051</v>
      </c>
      <c r="AA29">
        <v>-4.563099461472877</v>
      </c>
      <c r="AB29">
        <v>5.0403921159859747E-6</v>
      </c>
      <c r="AC29">
        <v>7.4478094003837755E-4</v>
      </c>
      <c r="AD29" t="s">
        <v>809</v>
      </c>
      <c r="AE29" t="s">
        <v>810</v>
      </c>
      <c r="AF29" t="s">
        <v>811</v>
      </c>
      <c r="AG29" t="s">
        <v>812</v>
      </c>
      <c r="AH29" t="s">
        <v>43</v>
      </c>
      <c r="AI29" t="s">
        <v>43</v>
      </c>
      <c r="AJ29" t="s">
        <v>43</v>
      </c>
      <c r="AK29" t="s">
        <v>43</v>
      </c>
      <c r="AL29" t="s">
        <v>43</v>
      </c>
      <c r="AM29" t="s">
        <v>813</v>
      </c>
      <c r="AN29" t="s">
        <v>43</v>
      </c>
    </row>
    <row r="30" spans="1:40" x14ac:dyDescent="0.3">
      <c r="A30" t="s">
        <v>814</v>
      </c>
      <c r="B30">
        <v>1925</v>
      </c>
      <c r="C30" t="str">
        <f>IF(Y30&lt;0, "Down", "Up")</f>
        <v>Down</v>
      </c>
      <c r="D30" s="7" t="str">
        <f>IF(AC30&lt;0.05, "Sig", "N")</f>
        <v>Sig</v>
      </c>
      <c r="E30" s="1" t="str">
        <f>IF(AND(H30&gt;2,J30&gt;2,L30&gt;2,N30&gt;2),"Y","N")</f>
        <v>Y</v>
      </c>
      <c r="F30" s="1" t="str">
        <f>IF(AND(P30&gt;2,R30&gt;2,T30&gt;2,V30&gt;2),"Y","N")</f>
        <v>Y</v>
      </c>
      <c r="G30" s="1" t="str">
        <f>IF(OR(E30="Y", F30="Y"), "Expressed", "N")</f>
        <v>Expressed</v>
      </c>
      <c r="H30" s="8">
        <v>102.4115854393325</v>
      </c>
      <c r="I30" s="8">
        <v>8771</v>
      </c>
      <c r="J30" s="8">
        <v>64.414914629750399</v>
      </c>
      <c r="K30" s="8">
        <v>12357</v>
      </c>
      <c r="L30" s="8">
        <v>98.415873041423851</v>
      </c>
      <c r="M30" s="8">
        <v>14641</v>
      </c>
      <c r="N30" s="8">
        <v>50.696696213760553</v>
      </c>
      <c r="O30" s="8">
        <v>4489</v>
      </c>
      <c r="P30" s="9">
        <v>24.625857901558891</v>
      </c>
      <c r="Q30" s="9">
        <v>8303</v>
      </c>
      <c r="R30" s="9">
        <v>98.009793630103999</v>
      </c>
      <c r="S30" s="9">
        <v>2954</v>
      </c>
      <c r="T30" s="9">
        <v>59.021267317169382</v>
      </c>
      <c r="U30" s="9">
        <v>2027</v>
      </c>
      <c r="V30" s="9">
        <v>10.48611785174551</v>
      </c>
      <c r="W30" s="9">
        <v>4016</v>
      </c>
      <c r="X30">
        <v>6509.7288240814896</v>
      </c>
      <c r="Y30">
        <v>-1.091194834741076</v>
      </c>
      <c r="Z30">
        <v>0.25443564425615511</v>
      </c>
      <c r="AA30">
        <v>-4.2886869798891336</v>
      </c>
      <c r="AB30">
        <v>1.7973245859660059E-5</v>
      </c>
      <c r="AC30">
        <v>2.0043560311985048E-3</v>
      </c>
      <c r="AD30" t="s">
        <v>815</v>
      </c>
      <c r="AE30" t="s">
        <v>816</v>
      </c>
      <c r="AF30" t="s">
        <v>43</v>
      </c>
      <c r="AG30" t="s">
        <v>817</v>
      </c>
      <c r="AH30" t="s">
        <v>43</v>
      </c>
      <c r="AI30" t="s">
        <v>43</v>
      </c>
      <c r="AJ30" t="s">
        <v>43</v>
      </c>
      <c r="AK30" t="s">
        <v>43</v>
      </c>
      <c r="AL30" t="s">
        <v>43</v>
      </c>
      <c r="AM30" t="s">
        <v>818</v>
      </c>
      <c r="AN30" t="s">
        <v>43</v>
      </c>
    </row>
    <row r="31" spans="1:40" x14ac:dyDescent="0.3">
      <c r="A31" s="10" t="s">
        <v>825</v>
      </c>
      <c r="B31" s="10">
        <v>1326</v>
      </c>
      <c r="C31" s="10" t="str">
        <f>IF(Y31&lt;0, "Down", "Up")</f>
        <v>Down</v>
      </c>
      <c r="D31" s="11" t="str">
        <f>IF(AC31&lt;0.05, "Sig", "N")</f>
        <v>Sig</v>
      </c>
      <c r="E31" s="12" t="str">
        <f>IF(AND(H31&gt;2,J31&gt;2,L31&gt;2,N31&gt;2),"Y","N")</f>
        <v>Y</v>
      </c>
      <c r="F31" s="12" t="str">
        <f>IF(AND(P31&gt;2,R31&gt;2,T31&gt;2,V31&gt;2),"Y","N")</f>
        <v>Y</v>
      </c>
      <c r="G31" s="12" t="str">
        <f>IF(OR(E31="Y", F31="Y"), "Expressed", "N")</f>
        <v>Expressed</v>
      </c>
      <c r="H31" s="10">
        <v>55.801646665335127</v>
      </c>
      <c r="I31" s="10">
        <v>3292</v>
      </c>
      <c r="J31" s="10">
        <v>61.509796980194089</v>
      </c>
      <c r="K31" s="10">
        <v>8128</v>
      </c>
      <c r="L31" s="10">
        <v>56.491768162973237</v>
      </c>
      <c r="M31" s="10">
        <v>5789</v>
      </c>
      <c r="N31" s="10">
        <v>66.59738578987762</v>
      </c>
      <c r="O31" s="10">
        <v>4062</v>
      </c>
      <c r="P31" s="10">
        <v>32.349598328099248</v>
      </c>
      <c r="Q31" s="10">
        <v>5467</v>
      </c>
      <c r="R31" s="10">
        <v>93.685142236144429</v>
      </c>
      <c r="S31" s="10">
        <v>2128</v>
      </c>
      <c r="T31" s="10">
        <v>61.724399423143971</v>
      </c>
      <c r="U31" s="10">
        <v>1593</v>
      </c>
      <c r="V31" s="10">
        <v>11.96365749609677</v>
      </c>
      <c r="W31" s="10">
        <v>5986</v>
      </c>
      <c r="X31" s="10">
        <v>4095.464054655462</v>
      </c>
      <c r="Y31" s="10">
        <v>-0.45629320273615809</v>
      </c>
      <c r="Z31" s="10">
        <v>0.14543543214617141</v>
      </c>
      <c r="AA31" s="10">
        <v>-3.1374280393897132</v>
      </c>
      <c r="AB31" s="10">
        <v>1.7043710595573819E-3</v>
      </c>
      <c r="AC31" s="10">
        <v>4.2281994323248299E-2</v>
      </c>
      <c r="AD31" s="10" t="s">
        <v>826</v>
      </c>
      <c r="AE31" s="10" t="s">
        <v>827</v>
      </c>
      <c r="AF31" s="10" t="s">
        <v>828</v>
      </c>
      <c r="AG31" s="10" t="s">
        <v>829</v>
      </c>
      <c r="AH31" s="10" t="s">
        <v>830</v>
      </c>
      <c r="AI31" s="10" t="s">
        <v>831</v>
      </c>
      <c r="AJ31" s="10" t="s">
        <v>832</v>
      </c>
      <c r="AK31" s="10" t="s">
        <v>833</v>
      </c>
      <c r="AL31" s="10" t="s">
        <v>834</v>
      </c>
      <c r="AM31" s="10" t="s">
        <v>835</v>
      </c>
      <c r="AN31" s="10" t="s">
        <v>43</v>
      </c>
    </row>
    <row r="32" spans="1:40" x14ac:dyDescent="0.3">
      <c r="A32" t="s">
        <v>836</v>
      </c>
      <c r="B32">
        <v>967</v>
      </c>
      <c r="C32" t="str">
        <f>IF(Y32&lt;0, "Down", "Up")</f>
        <v>Down</v>
      </c>
      <c r="D32" s="7" t="str">
        <f>IF(AC32&lt;0.05, "Sig", "N")</f>
        <v>Sig</v>
      </c>
      <c r="E32" s="1" t="str">
        <f>IF(AND(H32&gt;2,J32&gt;2,L32&gt;2,N32&gt;2),"Y","N")</f>
        <v>Y</v>
      </c>
      <c r="F32" s="1" t="str">
        <f>IF(AND(P32&gt;2,R32&gt;2,T32&gt;2,V32&gt;2),"Y","N")</f>
        <v>Y</v>
      </c>
      <c r="G32" s="1" t="str">
        <f>IF(OR(E32="Y", F32="Y"), "Expressed", "N")</f>
        <v>Expressed</v>
      </c>
      <c r="H32" s="8">
        <v>89.023161260112786</v>
      </c>
      <c r="I32" s="8">
        <v>3830</v>
      </c>
      <c r="J32" s="8">
        <v>60.145899660765622</v>
      </c>
      <c r="K32" s="8">
        <v>5796</v>
      </c>
      <c r="L32" s="8">
        <v>110.95783187051759</v>
      </c>
      <c r="M32" s="8">
        <v>8292</v>
      </c>
      <c r="N32" s="8">
        <v>63.264256106477028</v>
      </c>
      <c r="O32" s="8">
        <v>2814</v>
      </c>
      <c r="P32" s="9">
        <v>30.730534679359721</v>
      </c>
      <c r="Q32" s="9">
        <v>5368</v>
      </c>
      <c r="R32" s="9">
        <v>126.1395286284454</v>
      </c>
      <c r="S32" s="9">
        <v>1861</v>
      </c>
      <c r="T32" s="9">
        <v>74.019930407828866</v>
      </c>
      <c r="U32" s="9">
        <v>1456</v>
      </c>
      <c r="V32" s="9">
        <v>14.9943146604971</v>
      </c>
      <c r="W32" s="9">
        <v>5469</v>
      </c>
      <c r="X32">
        <v>3857.4480418968328</v>
      </c>
      <c r="Y32">
        <v>-0.50930434168976335</v>
      </c>
      <c r="Z32">
        <v>0.16316509850379421</v>
      </c>
      <c r="AA32">
        <v>-3.1214049227440639</v>
      </c>
      <c r="AB32">
        <v>1.799903578599557E-3</v>
      </c>
      <c r="AC32">
        <v>4.3599036191588607E-2</v>
      </c>
      <c r="AD32" t="s">
        <v>837</v>
      </c>
      <c r="AE32" t="s">
        <v>838</v>
      </c>
      <c r="AF32" t="s">
        <v>839</v>
      </c>
      <c r="AG32" t="s">
        <v>840</v>
      </c>
      <c r="AH32" t="s">
        <v>43</v>
      </c>
      <c r="AI32" t="s">
        <v>43</v>
      </c>
      <c r="AJ32" t="s">
        <v>43</v>
      </c>
      <c r="AK32" t="s">
        <v>43</v>
      </c>
      <c r="AL32" t="s">
        <v>43</v>
      </c>
      <c r="AM32" t="s">
        <v>841</v>
      </c>
      <c r="AN32" t="s">
        <v>43</v>
      </c>
    </row>
    <row r="33" spans="1:40" x14ac:dyDescent="0.3">
      <c r="A33" t="s">
        <v>842</v>
      </c>
      <c r="B33">
        <v>639</v>
      </c>
      <c r="C33" t="str">
        <f>IF(Y33&lt;0, "Down", "Up")</f>
        <v>Down</v>
      </c>
      <c r="D33" s="7" t="str">
        <f>IF(AC33&lt;0.05, "Sig", "N")</f>
        <v>Sig</v>
      </c>
      <c r="E33" s="1" t="str">
        <f>IF(AND(H33&gt;2,J33&gt;2,L33&gt;2,N33&gt;2),"Y","N")</f>
        <v>Y</v>
      </c>
      <c r="F33" s="1" t="str">
        <f>IF(AND(P33&gt;2,R33&gt;2,T33&gt;2,V33&gt;2),"Y","N")</f>
        <v>Y</v>
      </c>
      <c r="G33" s="1" t="str">
        <f>IF(OR(E33="Y", F33="Y"), "Expressed", "N")</f>
        <v>Expressed</v>
      </c>
      <c r="H33" s="8">
        <v>65.284160841192772</v>
      </c>
      <c r="I33" s="8">
        <v>1856</v>
      </c>
      <c r="J33" s="8">
        <v>60.00401379772476</v>
      </c>
      <c r="K33" s="8">
        <v>3821</v>
      </c>
      <c r="L33" s="8">
        <v>72.920125235452261</v>
      </c>
      <c r="M33" s="8">
        <v>3601</v>
      </c>
      <c r="N33" s="8">
        <v>48.243205812396752</v>
      </c>
      <c r="O33" s="8">
        <v>1418</v>
      </c>
      <c r="P33" s="9">
        <v>23.434077953373151</v>
      </c>
      <c r="Q33" s="9">
        <v>2239</v>
      </c>
      <c r="R33" s="9">
        <v>79.61930936218549</v>
      </c>
      <c r="S33" s="9">
        <v>926</v>
      </c>
      <c r="T33" s="9">
        <v>55.736398409530523</v>
      </c>
      <c r="U33" s="9">
        <v>714</v>
      </c>
      <c r="V33" s="9">
        <v>11.127281451061391</v>
      </c>
      <c r="W33" s="9">
        <v>2708</v>
      </c>
      <c r="X33">
        <v>1908.040878021354</v>
      </c>
      <c r="Y33">
        <v>-0.6156059934832826</v>
      </c>
      <c r="Z33">
        <v>0.13388683916394509</v>
      </c>
      <c r="AA33">
        <v>-4.5979574790728286</v>
      </c>
      <c r="AB33">
        <v>4.2665304021210161E-6</v>
      </c>
      <c r="AC33">
        <v>6.4659815235221187E-4</v>
      </c>
      <c r="AD33" t="s">
        <v>843</v>
      </c>
      <c r="AE33" t="s">
        <v>844</v>
      </c>
      <c r="AF33" t="s">
        <v>43</v>
      </c>
      <c r="AG33" t="s">
        <v>43</v>
      </c>
      <c r="AH33" t="s">
        <v>43</v>
      </c>
      <c r="AI33" t="s">
        <v>43</v>
      </c>
      <c r="AJ33" t="s">
        <v>43</v>
      </c>
      <c r="AK33" t="s">
        <v>43</v>
      </c>
      <c r="AL33" t="s">
        <v>43</v>
      </c>
      <c r="AM33" t="s">
        <v>43</v>
      </c>
      <c r="AN33" t="s">
        <v>43</v>
      </c>
    </row>
    <row r="34" spans="1:40" x14ac:dyDescent="0.3">
      <c r="A34" t="s">
        <v>845</v>
      </c>
      <c r="B34">
        <v>2177</v>
      </c>
      <c r="C34" t="str">
        <f>IF(Y34&lt;0, "Down", "Up")</f>
        <v>Down</v>
      </c>
      <c r="D34" s="7" t="str">
        <f>IF(AC34&lt;0.05, "Sig", "N")</f>
        <v>Sig</v>
      </c>
      <c r="E34" s="1" t="str">
        <f>IF(AND(H34&gt;2,J34&gt;2,L34&gt;2,N34&gt;2),"Y","N")</f>
        <v>Y</v>
      </c>
      <c r="F34" s="1" t="str">
        <f>IF(AND(P34&gt;2,R34&gt;2,T34&gt;2,V34&gt;2),"Y","N")</f>
        <v>Y</v>
      </c>
      <c r="G34" s="1" t="str">
        <f>IF(OR(E34="Y", F34="Y"), "Expressed", "N")</f>
        <v>Expressed</v>
      </c>
      <c r="H34" s="8">
        <v>68.493246303954095</v>
      </c>
      <c r="I34" s="8">
        <v>6634</v>
      </c>
      <c r="J34" s="8">
        <v>58.673227715697948</v>
      </c>
      <c r="K34" s="8">
        <v>12729</v>
      </c>
      <c r="L34" s="8">
        <v>74.416808825329369</v>
      </c>
      <c r="M34" s="8">
        <v>12520</v>
      </c>
      <c r="N34" s="8">
        <v>64.431273654338582</v>
      </c>
      <c r="O34" s="8">
        <v>6452</v>
      </c>
      <c r="P34" s="9">
        <v>31.29741201947451</v>
      </c>
      <c r="Q34" s="9">
        <v>11186</v>
      </c>
      <c r="R34" s="9">
        <v>116.7566314407896</v>
      </c>
      <c r="S34" s="9">
        <v>5030</v>
      </c>
      <c r="T34" s="9">
        <v>88.866551883951061</v>
      </c>
      <c r="U34" s="9">
        <v>2621</v>
      </c>
      <c r="V34" s="9">
        <v>11.98947900226662</v>
      </c>
      <c r="W34" s="9">
        <v>10985</v>
      </c>
      <c r="X34">
        <v>7634.5123571295062</v>
      </c>
      <c r="Y34">
        <v>-0.33350095826420117</v>
      </c>
      <c r="Z34">
        <v>0.1048331900245288</v>
      </c>
      <c r="AA34">
        <v>-3.1812535532513042</v>
      </c>
      <c r="AB34">
        <v>1.46639227237865E-3</v>
      </c>
      <c r="AC34">
        <v>3.8956472605692051E-2</v>
      </c>
      <c r="AD34" t="s">
        <v>846</v>
      </c>
      <c r="AE34" t="s">
        <v>847</v>
      </c>
      <c r="AF34" t="s">
        <v>848</v>
      </c>
      <c r="AG34" t="s">
        <v>849</v>
      </c>
      <c r="AH34" t="s">
        <v>43</v>
      </c>
      <c r="AI34" t="s">
        <v>43</v>
      </c>
      <c r="AJ34" t="s">
        <v>43</v>
      </c>
      <c r="AK34" t="s">
        <v>43</v>
      </c>
      <c r="AL34" t="s">
        <v>43</v>
      </c>
      <c r="AM34" t="s">
        <v>850</v>
      </c>
      <c r="AN34" t="s">
        <v>43</v>
      </c>
    </row>
    <row r="35" spans="1:40" x14ac:dyDescent="0.3">
      <c r="A35" t="s">
        <v>851</v>
      </c>
      <c r="B35">
        <v>959</v>
      </c>
      <c r="C35" t="str">
        <f>IF(Y35&lt;0, "Down", "Up")</f>
        <v>Down</v>
      </c>
      <c r="D35" s="7" t="str">
        <f>IF(AC35&lt;0.05, "Sig", "N")</f>
        <v>Sig</v>
      </c>
      <c r="E35" s="1" t="str">
        <f>IF(AND(H35&gt;2,J35&gt;2,L35&gt;2,N35&gt;2),"Y","N")</f>
        <v>Y</v>
      </c>
      <c r="F35" s="1" t="str">
        <f>IF(AND(P35&gt;2,R35&gt;2,T35&gt;2,V35&gt;2),"Y","N")</f>
        <v>Y</v>
      </c>
      <c r="G35" s="1" t="str">
        <f>IF(OR(E35="Y", F35="Y"), "Expressed", "N")</f>
        <v>Expressed</v>
      </c>
      <c r="H35" s="8">
        <v>65.296998306749572</v>
      </c>
      <c r="I35" s="8">
        <v>2786</v>
      </c>
      <c r="J35" s="8">
        <v>58.649070350167378</v>
      </c>
      <c r="K35" s="8">
        <v>5605</v>
      </c>
      <c r="L35" s="8">
        <v>88.135873184996257</v>
      </c>
      <c r="M35" s="8">
        <v>6532</v>
      </c>
      <c r="N35" s="8">
        <v>61.117005515318183</v>
      </c>
      <c r="O35" s="8">
        <v>2696</v>
      </c>
      <c r="P35" s="9">
        <v>29.687510342744979</v>
      </c>
      <c r="Q35" s="9">
        <v>4154</v>
      </c>
      <c r="R35" s="9">
        <v>98.426729722481198</v>
      </c>
      <c r="S35" s="9">
        <v>1848</v>
      </c>
      <c r="T35" s="9">
        <v>74.116027384828882</v>
      </c>
      <c r="U35" s="9">
        <v>1004</v>
      </c>
      <c r="V35" s="9">
        <v>10.425738439342361</v>
      </c>
      <c r="W35" s="9">
        <v>3787</v>
      </c>
      <c r="X35">
        <v>3147.4789467094029</v>
      </c>
      <c r="Y35">
        <v>-0.62601973070063854</v>
      </c>
      <c r="Z35">
        <v>0.1154080705617718</v>
      </c>
      <c r="AA35">
        <v>-5.4244016701203206</v>
      </c>
      <c r="AB35">
        <v>5.8148989499512111E-8</v>
      </c>
      <c r="AC35">
        <v>2.925017893079713E-5</v>
      </c>
      <c r="AD35" t="s">
        <v>852</v>
      </c>
      <c r="AE35" t="s">
        <v>853</v>
      </c>
      <c r="AF35" t="s">
        <v>472</v>
      </c>
      <c r="AG35" t="s">
        <v>473</v>
      </c>
      <c r="AH35" t="s">
        <v>43</v>
      </c>
      <c r="AI35" t="s">
        <v>43</v>
      </c>
      <c r="AJ35" t="s">
        <v>43</v>
      </c>
      <c r="AK35" t="s">
        <v>43</v>
      </c>
      <c r="AL35" t="s">
        <v>43</v>
      </c>
      <c r="AM35" t="s">
        <v>474</v>
      </c>
      <c r="AN35" t="s">
        <v>43</v>
      </c>
    </row>
    <row r="36" spans="1:40" x14ac:dyDescent="0.3">
      <c r="A36" t="s">
        <v>854</v>
      </c>
      <c r="B36">
        <v>1315</v>
      </c>
      <c r="C36" t="str">
        <f>IF(Y36&lt;0, "Down", "Up")</f>
        <v>Down</v>
      </c>
      <c r="D36" s="7" t="str">
        <f>IF(AC36&lt;0.05, "Sig", "N")</f>
        <v>Sig</v>
      </c>
      <c r="E36" s="1" t="str">
        <f>IF(AND(H36&gt;2,J36&gt;2,L36&gt;2,N36&gt;2),"Y","N")</f>
        <v>Y</v>
      </c>
      <c r="F36" s="1" t="str">
        <f>IF(AND(P36&gt;2,R36&gt;2,T36&gt;2,V36&gt;2),"Y","N")</f>
        <v>Y</v>
      </c>
      <c r="G36" s="1" t="str">
        <f>IF(OR(E36="Y", F36="Y"), "Expressed", "N")</f>
        <v>Expressed</v>
      </c>
      <c r="H36" s="8">
        <v>56.046226322397089</v>
      </c>
      <c r="I36" s="8">
        <v>3279</v>
      </c>
      <c r="J36" s="8">
        <v>56.842915391515938</v>
      </c>
      <c r="K36" s="8">
        <v>7449</v>
      </c>
      <c r="L36" s="8">
        <v>45.963094171960179</v>
      </c>
      <c r="M36" s="8">
        <v>4671</v>
      </c>
      <c r="N36" s="8">
        <v>50.456783658823753</v>
      </c>
      <c r="O36" s="8">
        <v>3052</v>
      </c>
      <c r="P36" s="9">
        <v>24.509320672746931</v>
      </c>
      <c r="Q36" s="9">
        <v>4408</v>
      </c>
      <c r="R36" s="9">
        <v>76.169482272327656</v>
      </c>
      <c r="S36" s="9">
        <v>1876</v>
      </c>
      <c r="T36" s="9">
        <v>54.870113003311559</v>
      </c>
      <c r="U36" s="9">
        <v>1158</v>
      </c>
      <c r="V36" s="9">
        <v>8.7694938141997465</v>
      </c>
      <c r="W36" s="9">
        <v>5168</v>
      </c>
      <c r="X36">
        <v>3460.2223818459502</v>
      </c>
      <c r="Y36">
        <v>-0.53901670866458984</v>
      </c>
      <c r="Z36">
        <v>0.1547387306277799</v>
      </c>
      <c r="AA36">
        <v>-3.4833988005315928</v>
      </c>
      <c r="AB36">
        <v>4.9509025944821726E-4</v>
      </c>
      <c r="AC36">
        <v>1.909449251855588E-2</v>
      </c>
      <c r="AD36" t="s">
        <v>855</v>
      </c>
      <c r="AE36" t="s">
        <v>856</v>
      </c>
      <c r="AF36" t="s">
        <v>43</v>
      </c>
      <c r="AG36" t="s">
        <v>857</v>
      </c>
      <c r="AH36" t="s">
        <v>43</v>
      </c>
      <c r="AI36" t="s">
        <v>43</v>
      </c>
      <c r="AJ36" t="s">
        <v>43</v>
      </c>
      <c r="AK36" t="s">
        <v>43</v>
      </c>
      <c r="AL36" t="s">
        <v>43</v>
      </c>
      <c r="AM36" t="s">
        <v>858</v>
      </c>
      <c r="AN36" t="s">
        <v>43</v>
      </c>
    </row>
    <row r="37" spans="1:40" x14ac:dyDescent="0.3">
      <c r="A37" t="s">
        <v>859</v>
      </c>
      <c r="B37">
        <v>1940</v>
      </c>
      <c r="C37" t="str">
        <f>IF(Y37&lt;0, "Down", "Up")</f>
        <v>Down</v>
      </c>
      <c r="D37" s="7" t="str">
        <f>IF(AC37&lt;0.05, "Sig", "N")</f>
        <v>Sig</v>
      </c>
      <c r="E37" s="1" t="str">
        <f>IF(AND(H37&gt;2,J37&gt;2,L37&gt;2,N37&gt;2),"Y","N")</f>
        <v>Y</v>
      </c>
      <c r="F37" s="1" t="str">
        <f>IF(AND(P37&gt;2,R37&gt;2,T37&gt;2,V37&gt;2),"Y","N")</f>
        <v>Y</v>
      </c>
      <c r="G37" s="1" t="str">
        <f>IF(OR(E37="Y", F37="Y"), "Expressed", "N")</f>
        <v>Expressed</v>
      </c>
      <c r="H37" s="8">
        <v>72.481258007514981</v>
      </c>
      <c r="I37" s="8">
        <v>6256</v>
      </c>
      <c r="J37" s="8">
        <v>55.692550309589357</v>
      </c>
      <c r="K37" s="8">
        <v>10767</v>
      </c>
      <c r="L37" s="8">
        <v>85.909121052835772</v>
      </c>
      <c r="M37" s="8">
        <v>12880</v>
      </c>
      <c r="N37" s="8">
        <v>55.98626384502316</v>
      </c>
      <c r="O37" s="8">
        <v>4996</v>
      </c>
      <c r="P37" s="9">
        <v>27.195258879857789</v>
      </c>
      <c r="Q37" s="9">
        <v>8849</v>
      </c>
      <c r="R37" s="9">
        <v>103.64721469932751</v>
      </c>
      <c r="S37" s="9">
        <v>2889</v>
      </c>
      <c r="T37" s="9">
        <v>57.276251223687083</v>
      </c>
      <c r="U37" s="9">
        <v>2334</v>
      </c>
      <c r="V37" s="9">
        <v>11.9809385669747</v>
      </c>
      <c r="W37" s="9">
        <v>7792</v>
      </c>
      <c r="X37">
        <v>6299.4675604680024</v>
      </c>
      <c r="Y37">
        <v>-0.62220581276980436</v>
      </c>
      <c r="Z37">
        <v>0.1419100404696125</v>
      </c>
      <c r="AA37">
        <v>-4.3845087402609728</v>
      </c>
      <c r="AB37">
        <v>1.1624781572353939E-5</v>
      </c>
      <c r="AC37">
        <v>1.37416542966796E-3</v>
      </c>
      <c r="AD37" t="s">
        <v>860</v>
      </c>
      <c r="AE37" t="s">
        <v>861</v>
      </c>
      <c r="AF37" t="s">
        <v>862</v>
      </c>
      <c r="AG37" t="s">
        <v>863</v>
      </c>
      <c r="AH37" t="s">
        <v>43</v>
      </c>
      <c r="AI37" t="s">
        <v>43</v>
      </c>
      <c r="AJ37" t="s">
        <v>43</v>
      </c>
      <c r="AK37" t="s">
        <v>43</v>
      </c>
      <c r="AL37" t="s">
        <v>43</v>
      </c>
      <c r="AM37" t="s">
        <v>864</v>
      </c>
      <c r="AN37" t="s">
        <v>43</v>
      </c>
    </row>
    <row r="38" spans="1:40" x14ac:dyDescent="0.3">
      <c r="A38" t="s">
        <v>865</v>
      </c>
      <c r="B38">
        <v>2218</v>
      </c>
      <c r="C38" t="str">
        <f>IF(Y38&lt;0, "Down", "Up")</f>
        <v>Down</v>
      </c>
      <c r="D38" s="7" t="str">
        <f>IF(AC38&lt;0.05, "Sig", "N")</f>
        <v>Sig</v>
      </c>
      <c r="E38" s="1" t="str">
        <f>IF(AND(H38&gt;2,J38&gt;2,L38&gt;2,N38&gt;2),"Y","N")</f>
        <v>Y</v>
      </c>
      <c r="F38" s="1" t="str">
        <f>IF(AND(P38&gt;2,R38&gt;2,T38&gt;2,V38&gt;2),"Y","N")</f>
        <v>Y</v>
      </c>
      <c r="G38" s="1" t="str">
        <f>IF(OR(E38="Y", F38="Y"), "Expressed", "N")</f>
        <v>Expressed</v>
      </c>
      <c r="H38" s="8">
        <v>77.91822156016994</v>
      </c>
      <c r="I38" s="8">
        <v>7689</v>
      </c>
      <c r="J38" s="8">
        <v>54.874121049318788</v>
      </c>
      <c r="K38" s="8">
        <v>12129</v>
      </c>
      <c r="L38" s="8">
        <v>97.327989132445808</v>
      </c>
      <c r="M38" s="8">
        <v>16683</v>
      </c>
      <c r="N38" s="8">
        <v>67.190319162075326</v>
      </c>
      <c r="O38" s="8">
        <v>6855</v>
      </c>
      <c r="P38" s="9">
        <v>32.637614985186062</v>
      </c>
      <c r="Q38" s="9">
        <v>10317</v>
      </c>
      <c r="R38" s="9">
        <v>105.695636736156</v>
      </c>
      <c r="S38" s="9">
        <v>3322</v>
      </c>
      <c r="T38" s="9">
        <v>57.605885877290163</v>
      </c>
      <c r="U38" s="9">
        <v>2604</v>
      </c>
      <c r="V38" s="9">
        <v>11.691524864163529</v>
      </c>
      <c r="W38" s="9">
        <v>9497</v>
      </c>
      <c r="X38">
        <v>7676.5936889276327</v>
      </c>
      <c r="Y38">
        <v>-0.73504971153100862</v>
      </c>
      <c r="Z38">
        <v>0.14862893528146351</v>
      </c>
      <c r="AA38">
        <v>-4.9455357406619438</v>
      </c>
      <c r="AB38">
        <v>7.5934736255202603E-7</v>
      </c>
      <c r="AC38">
        <v>1.9109909166340489E-4</v>
      </c>
      <c r="AD38" t="s">
        <v>866</v>
      </c>
      <c r="AE38" t="s">
        <v>867</v>
      </c>
      <c r="AF38" t="s">
        <v>868</v>
      </c>
      <c r="AG38" t="s">
        <v>869</v>
      </c>
      <c r="AH38" t="s">
        <v>43</v>
      </c>
      <c r="AI38" t="s">
        <v>43</v>
      </c>
      <c r="AJ38" t="s">
        <v>43</v>
      </c>
      <c r="AK38" t="s">
        <v>43</v>
      </c>
      <c r="AL38" t="s">
        <v>43</v>
      </c>
      <c r="AM38" t="s">
        <v>870</v>
      </c>
      <c r="AN38" t="s">
        <v>43</v>
      </c>
    </row>
    <row r="39" spans="1:40" x14ac:dyDescent="0.3">
      <c r="A39" t="s">
        <v>871</v>
      </c>
      <c r="B39">
        <v>1105</v>
      </c>
      <c r="C39" t="str">
        <f>IF(Y39&lt;0, "Down", "Up")</f>
        <v>Down</v>
      </c>
      <c r="D39" s="7" t="str">
        <f>IF(AC39&lt;0.05, "Sig", "N")</f>
        <v>Sig</v>
      </c>
      <c r="E39" s="1" t="str">
        <f>IF(AND(H39&gt;2,J39&gt;2,L39&gt;2,N39&gt;2),"Y","N")</f>
        <v>Y</v>
      </c>
      <c r="F39" s="1" t="str">
        <f>IF(AND(P39&gt;2,R39&gt;2,T39&gt;2,V39&gt;2),"Y","N")</f>
        <v>Y</v>
      </c>
      <c r="G39" s="1" t="str">
        <f>IF(OR(E39="Y", F39="Y"), "Expressed", "N")</f>
        <v>Expressed</v>
      </c>
      <c r="H39" s="8">
        <v>86.550184651640706</v>
      </c>
      <c r="I39" s="8">
        <v>4255</v>
      </c>
      <c r="J39" s="8">
        <v>54.287239126122088</v>
      </c>
      <c r="K39" s="8">
        <v>5978</v>
      </c>
      <c r="L39" s="8">
        <v>107.17139310296029</v>
      </c>
      <c r="M39" s="8">
        <v>9152</v>
      </c>
      <c r="N39" s="8">
        <v>54.182924805117572</v>
      </c>
      <c r="O39" s="8">
        <v>2754</v>
      </c>
      <c r="P39" s="9">
        <v>26.319289156746031</v>
      </c>
      <c r="Q39" s="9">
        <v>5010</v>
      </c>
      <c r="R39" s="9">
        <v>103.0245244418695</v>
      </c>
      <c r="S39" s="9">
        <v>1721</v>
      </c>
      <c r="T39" s="9">
        <v>59.90283350031811</v>
      </c>
      <c r="U39" s="9">
        <v>1501</v>
      </c>
      <c r="V39" s="9">
        <v>13.52726922910829</v>
      </c>
      <c r="W39" s="9">
        <v>5879</v>
      </c>
      <c r="X39">
        <v>3993.727158813856</v>
      </c>
      <c r="Y39">
        <v>-0.60905773316700174</v>
      </c>
      <c r="Z39">
        <v>0.19499415247343821</v>
      </c>
      <c r="AA39">
        <v>-3.1234666549806751</v>
      </c>
      <c r="AB39">
        <v>1.7873411642325399E-3</v>
      </c>
      <c r="AC39">
        <v>4.3384311914564398E-2</v>
      </c>
      <c r="AD39" t="s">
        <v>872</v>
      </c>
      <c r="AE39" t="s">
        <v>873</v>
      </c>
      <c r="AF39" t="s">
        <v>874</v>
      </c>
      <c r="AG39" t="s">
        <v>875</v>
      </c>
      <c r="AH39" t="s">
        <v>43</v>
      </c>
      <c r="AI39" t="s">
        <v>43</v>
      </c>
      <c r="AJ39" t="s">
        <v>43</v>
      </c>
      <c r="AK39" t="s">
        <v>43</v>
      </c>
      <c r="AL39" t="s">
        <v>43</v>
      </c>
      <c r="AM39" t="s">
        <v>876</v>
      </c>
      <c r="AN39" t="s">
        <v>43</v>
      </c>
    </row>
    <row r="40" spans="1:40" x14ac:dyDescent="0.3">
      <c r="A40" t="s">
        <v>877</v>
      </c>
      <c r="B40">
        <v>1645</v>
      </c>
      <c r="C40" t="str">
        <f>IF(Y40&lt;0, "Down", "Up")</f>
        <v>Down</v>
      </c>
      <c r="D40" s="7" t="str">
        <f>IF(AC40&lt;0.05, "Sig", "N")</f>
        <v>Sig</v>
      </c>
      <c r="E40" s="1" t="str">
        <f>IF(AND(H40&gt;2,J40&gt;2,L40&gt;2,N40&gt;2),"Y","N")</f>
        <v>Y</v>
      </c>
      <c r="F40" s="1" t="str">
        <f>IF(AND(P40&gt;2,R40&gt;2,T40&gt;2,V40&gt;2),"Y","N")</f>
        <v>Y</v>
      </c>
      <c r="G40" s="1" t="str">
        <f>IF(OR(E40="Y", F40="Y"), "Expressed", "N")</f>
        <v>Expressed</v>
      </c>
      <c r="H40" s="8">
        <v>62.182996415634967</v>
      </c>
      <c r="I40" s="8">
        <v>4551</v>
      </c>
      <c r="J40" s="8">
        <v>53.967742007057929</v>
      </c>
      <c r="K40" s="8">
        <v>8847</v>
      </c>
      <c r="L40" s="8">
        <v>67.467505081469085</v>
      </c>
      <c r="M40" s="8">
        <v>8577</v>
      </c>
      <c r="N40" s="8">
        <v>45.383206295734517</v>
      </c>
      <c r="O40" s="8">
        <v>3434</v>
      </c>
      <c r="P40" s="9">
        <v>22.044836701854791</v>
      </c>
      <c r="Q40" s="9">
        <v>5863</v>
      </c>
      <c r="R40" s="9">
        <v>80.987718109915377</v>
      </c>
      <c r="S40" s="9">
        <v>2538</v>
      </c>
      <c r="T40" s="9">
        <v>59.340949198372734</v>
      </c>
      <c r="U40" s="9">
        <v>1679</v>
      </c>
      <c r="V40" s="9">
        <v>10.164277498655791</v>
      </c>
      <c r="W40" s="9">
        <v>7439</v>
      </c>
      <c r="X40">
        <v>4725.9645452046752</v>
      </c>
      <c r="Y40">
        <v>-0.48948862419284878</v>
      </c>
      <c r="Z40">
        <v>0.12711942702222839</v>
      </c>
      <c r="AA40">
        <v>-3.850620126751009</v>
      </c>
      <c r="AB40">
        <v>1.1781912348627649E-4</v>
      </c>
      <c r="AC40">
        <v>7.579764627389917E-3</v>
      </c>
      <c r="AD40" t="s">
        <v>878</v>
      </c>
      <c r="AE40" t="s">
        <v>879</v>
      </c>
      <c r="AF40" t="s">
        <v>43</v>
      </c>
      <c r="AG40" t="s">
        <v>880</v>
      </c>
      <c r="AH40" t="s">
        <v>43</v>
      </c>
      <c r="AI40" t="s">
        <v>43</v>
      </c>
      <c r="AJ40" t="s">
        <v>43</v>
      </c>
      <c r="AK40" t="s">
        <v>43</v>
      </c>
      <c r="AL40" t="s">
        <v>43</v>
      </c>
      <c r="AM40" t="s">
        <v>362</v>
      </c>
      <c r="AN40" t="s">
        <v>43</v>
      </c>
    </row>
    <row r="41" spans="1:40" x14ac:dyDescent="0.3">
      <c r="A41" t="s">
        <v>881</v>
      </c>
      <c r="B41">
        <v>210</v>
      </c>
      <c r="C41" t="str">
        <f>IF(Y41&lt;0, "Down", "Up")</f>
        <v>Down</v>
      </c>
      <c r="D41" s="7" t="str">
        <f>IF(AC41&lt;0.05, "Sig", "N")</f>
        <v>Sig</v>
      </c>
      <c r="E41" s="1" t="str">
        <f>IF(AND(H41&gt;2,J41&gt;2,L41&gt;2,N41&gt;2),"Y","N")</f>
        <v>Y</v>
      </c>
      <c r="F41" s="1" t="str">
        <f>IF(AND(P41&gt;2,R41&gt;2,T41&gt;2,V41&gt;2),"Y","N")</f>
        <v>Y</v>
      </c>
      <c r="G41" s="1" t="str">
        <f>IF(OR(E41="Y", F41="Y"), "Expressed", "N")</f>
        <v>Expressed</v>
      </c>
      <c r="H41" s="8">
        <v>70.533726945779762</v>
      </c>
      <c r="I41" s="8">
        <v>659</v>
      </c>
      <c r="J41" s="8">
        <v>53.900640711468732</v>
      </c>
      <c r="K41" s="8">
        <v>1128</v>
      </c>
      <c r="L41" s="8">
        <v>69.381588432659186</v>
      </c>
      <c r="M41" s="8">
        <v>1126</v>
      </c>
      <c r="N41" s="8">
        <v>46.068227512875531</v>
      </c>
      <c r="O41" s="8">
        <v>445</v>
      </c>
      <c r="P41" s="9">
        <v>22.37758491648675</v>
      </c>
      <c r="Q41" s="9">
        <v>802</v>
      </c>
      <c r="R41" s="9">
        <v>86.780119575733423</v>
      </c>
      <c r="S41" s="9">
        <v>401</v>
      </c>
      <c r="T41" s="9">
        <v>73.443582186874892</v>
      </c>
      <c r="U41" s="9">
        <v>192</v>
      </c>
      <c r="V41" s="9">
        <v>9.1048679916487867</v>
      </c>
      <c r="W41" s="9">
        <v>908</v>
      </c>
      <c r="X41">
        <v>628.82517515390794</v>
      </c>
      <c r="Y41">
        <v>-0.50390440729202546</v>
      </c>
      <c r="Z41">
        <v>0.16115716155120399</v>
      </c>
      <c r="AA41">
        <v>-3.126788796983877</v>
      </c>
      <c r="AB41">
        <v>1.767268356251751E-3</v>
      </c>
      <c r="AC41">
        <v>4.316297363481808E-2</v>
      </c>
      <c r="AD41" t="s">
        <v>882</v>
      </c>
      <c r="AE41" t="s">
        <v>883</v>
      </c>
      <c r="AF41" t="s">
        <v>43</v>
      </c>
      <c r="AG41" t="s">
        <v>43</v>
      </c>
      <c r="AH41" t="s">
        <v>43</v>
      </c>
      <c r="AI41" t="s">
        <v>43</v>
      </c>
      <c r="AJ41" t="s">
        <v>43</v>
      </c>
      <c r="AK41" t="s">
        <v>43</v>
      </c>
      <c r="AL41" t="s">
        <v>43</v>
      </c>
      <c r="AM41" t="s">
        <v>43</v>
      </c>
      <c r="AN41" t="s">
        <v>43</v>
      </c>
    </row>
    <row r="42" spans="1:40" x14ac:dyDescent="0.3">
      <c r="A42" t="s">
        <v>884</v>
      </c>
      <c r="B42">
        <v>1303</v>
      </c>
      <c r="C42" t="str">
        <f>IF(Y42&lt;0, "Down", "Up")</f>
        <v>Down</v>
      </c>
      <c r="D42" s="7" t="str">
        <f>IF(AC42&lt;0.05, "Sig", "N")</f>
        <v>Sig</v>
      </c>
      <c r="E42" s="1" t="str">
        <f>IF(AND(H42&gt;2,J42&gt;2,L42&gt;2,N42&gt;2),"Y","N")</f>
        <v>Y</v>
      </c>
      <c r="F42" s="1" t="str">
        <f>IF(AND(P42&gt;2,R42&gt;2,T42&gt;2,V42&gt;2),"Y","N")</f>
        <v>Y</v>
      </c>
      <c r="G42" s="1" t="str">
        <f>IF(OR(E42="Y", F42="Y"), "Expressed", "N")</f>
        <v>Expressed</v>
      </c>
      <c r="H42" s="8">
        <v>92.079905752314531</v>
      </c>
      <c r="I42" s="8">
        <v>5338</v>
      </c>
      <c r="J42" s="8">
        <v>53.508098366351653</v>
      </c>
      <c r="K42" s="8">
        <v>6948</v>
      </c>
      <c r="L42" s="8">
        <v>95.434216990678365</v>
      </c>
      <c r="M42" s="8">
        <v>9610</v>
      </c>
      <c r="N42" s="8">
        <v>69.925250659854754</v>
      </c>
      <c r="O42" s="8">
        <v>4191</v>
      </c>
      <c r="P42" s="9">
        <v>33.966104600186519</v>
      </c>
      <c r="Q42" s="9">
        <v>6910</v>
      </c>
      <c r="R42" s="9">
        <v>120.5032617194033</v>
      </c>
      <c r="S42" s="9">
        <v>2399</v>
      </c>
      <c r="T42" s="9">
        <v>70.813262832798472</v>
      </c>
      <c r="U42" s="9">
        <v>1358</v>
      </c>
      <c r="V42" s="9">
        <v>10.378798341401261</v>
      </c>
      <c r="W42" s="9">
        <v>6446</v>
      </c>
      <c r="X42">
        <v>4810.8670140384002</v>
      </c>
      <c r="Y42">
        <v>-0.66990014470392301</v>
      </c>
      <c r="Z42">
        <v>0.17301757858755271</v>
      </c>
      <c r="AA42">
        <v>-3.871861750538435</v>
      </c>
      <c r="AB42">
        <v>1.080072105536081E-4</v>
      </c>
      <c r="AC42">
        <v>7.1326996422022412E-3</v>
      </c>
      <c r="AD42" t="s">
        <v>885</v>
      </c>
      <c r="AE42" t="s">
        <v>886</v>
      </c>
      <c r="AF42" t="s">
        <v>887</v>
      </c>
      <c r="AG42" t="s">
        <v>802</v>
      </c>
      <c r="AH42" t="s">
        <v>43</v>
      </c>
      <c r="AI42" t="s">
        <v>43</v>
      </c>
      <c r="AJ42" t="s">
        <v>43</v>
      </c>
      <c r="AK42" t="s">
        <v>43</v>
      </c>
      <c r="AL42" t="s">
        <v>43</v>
      </c>
      <c r="AM42" t="s">
        <v>75</v>
      </c>
      <c r="AN42" t="s">
        <v>43</v>
      </c>
    </row>
    <row r="43" spans="1:40" x14ac:dyDescent="0.3">
      <c r="A43" t="s">
        <v>888</v>
      </c>
      <c r="B43">
        <v>1183</v>
      </c>
      <c r="C43" t="str">
        <f>IF(Y43&lt;0, "Down", "Up")</f>
        <v>Down</v>
      </c>
      <c r="D43" s="7" t="str">
        <f>IF(AC43&lt;0.05, "Sig", "N")</f>
        <v>Sig</v>
      </c>
      <c r="E43" s="1" t="str">
        <f>IF(AND(H43&gt;2,J43&gt;2,L43&gt;2,N43&gt;2),"Y","N")</f>
        <v>Y</v>
      </c>
      <c r="F43" s="1" t="str">
        <f>IF(AND(P43&gt;2,R43&gt;2,T43&gt;2,V43&gt;2),"Y","N")</f>
        <v>Y</v>
      </c>
      <c r="G43" s="1" t="str">
        <f>IF(OR(E43="Y", F43="Y"), "Expressed", "N")</f>
        <v>Expressed</v>
      </c>
      <c r="H43" s="8">
        <v>76.58765387356803</v>
      </c>
      <c r="I43" s="8">
        <v>4031</v>
      </c>
      <c r="J43" s="8">
        <v>52.692745200120193</v>
      </c>
      <c r="K43" s="8">
        <v>6212</v>
      </c>
      <c r="L43" s="8">
        <v>105.98982499382021</v>
      </c>
      <c r="M43" s="8">
        <v>9690</v>
      </c>
      <c r="N43" s="8">
        <v>57.57533015005879</v>
      </c>
      <c r="O43" s="8">
        <v>3133</v>
      </c>
      <c r="P43" s="9">
        <v>27.96714588525483</v>
      </c>
      <c r="Q43" s="9">
        <v>4802</v>
      </c>
      <c r="R43" s="9">
        <v>92.236450486801914</v>
      </c>
      <c r="S43" s="9">
        <v>1315</v>
      </c>
      <c r="T43" s="9">
        <v>42.753313716776333</v>
      </c>
      <c r="U43" s="9">
        <v>885</v>
      </c>
      <c r="V43" s="9">
        <v>7.449896609291029</v>
      </c>
      <c r="W43" s="9">
        <v>5229</v>
      </c>
      <c r="X43">
        <v>3764.973636232256</v>
      </c>
      <c r="Y43">
        <v>-0.98272869898499593</v>
      </c>
      <c r="Z43">
        <v>0.21108670586446091</v>
      </c>
      <c r="AA43">
        <v>-4.6555688808560376</v>
      </c>
      <c r="AB43">
        <v>3.2308736567047979E-6</v>
      </c>
      <c r="AC43">
        <v>5.126464093410391E-4</v>
      </c>
      <c r="AD43" t="s">
        <v>889</v>
      </c>
      <c r="AE43" t="s">
        <v>890</v>
      </c>
      <c r="AF43" t="s">
        <v>891</v>
      </c>
      <c r="AG43" t="s">
        <v>892</v>
      </c>
      <c r="AH43" t="s">
        <v>43</v>
      </c>
      <c r="AI43" t="s">
        <v>43</v>
      </c>
      <c r="AJ43" t="s">
        <v>43</v>
      </c>
      <c r="AK43" t="s">
        <v>43</v>
      </c>
      <c r="AL43" t="s">
        <v>43</v>
      </c>
      <c r="AM43" t="s">
        <v>893</v>
      </c>
      <c r="AN43" t="s">
        <v>43</v>
      </c>
    </row>
    <row r="44" spans="1:40" x14ac:dyDescent="0.3">
      <c r="A44" t="s">
        <v>894</v>
      </c>
      <c r="B44">
        <v>2259</v>
      </c>
      <c r="C44" t="str">
        <f>IF(Y44&lt;0, "Down", "Up")</f>
        <v>Down</v>
      </c>
      <c r="D44" s="7" t="str">
        <f>IF(AC44&lt;0.05, "Sig", "N")</f>
        <v>Sig</v>
      </c>
      <c r="E44" s="1" t="str">
        <f>IF(AND(H44&gt;2,J44&gt;2,L44&gt;2,N44&gt;2),"Y","N")</f>
        <v>Y</v>
      </c>
      <c r="F44" s="1" t="str">
        <f>IF(AND(P44&gt;2,R44&gt;2,T44&gt;2,V44&gt;2),"Y","N")</f>
        <v>Y</v>
      </c>
      <c r="G44" s="1" t="str">
        <f>IF(OR(E44="Y", F44="Y"), "Expressed", "N")</f>
        <v>Expressed</v>
      </c>
      <c r="H44" s="8">
        <v>60.992292302583479</v>
      </c>
      <c r="I44" s="8">
        <v>6130</v>
      </c>
      <c r="J44" s="8">
        <v>52.603294989504029</v>
      </c>
      <c r="K44" s="8">
        <v>11842</v>
      </c>
      <c r="L44" s="8">
        <v>65.202710152907798</v>
      </c>
      <c r="M44" s="8">
        <v>11383</v>
      </c>
      <c r="N44" s="8">
        <v>55.163363347407909</v>
      </c>
      <c r="O44" s="8">
        <v>5732</v>
      </c>
      <c r="P44" s="9">
        <v>26.795535974129379</v>
      </c>
      <c r="Q44" s="9">
        <v>9402</v>
      </c>
      <c r="R44" s="9">
        <v>94.573440067780737</v>
      </c>
      <c r="S44" s="9">
        <v>4417</v>
      </c>
      <c r="T44" s="9">
        <v>75.203827007381449</v>
      </c>
      <c r="U44" s="9">
        <v>2251</v>
      </c>
      <c r="V44" s="9">
        <v>9.9231826129101606</v>
      </c>
      <c r="W44" s="9">
        <v>10492</v>
      </c>
      <c r="X44">
        <v>6866.9201707357606</v>
      </c>
      <c r="Y44">
        <v>-0.38175956920728749</v>
      </c>
      <c r="Z44">
        <v>0.1081480604607145</v>
      </c>
      <c r="AA44">
        <v>-3.5299714815131988</v>
      </c>
      <c r="AB44">
        <v>4.156044628693529E-4</v>
      </c>
      <c r="AC44">
        <v>1.708820993244738E-2</v>
      </c>
      <c r="AD44" t="s">
        <v>895</v>
      </c>
      <c r="AE44" t="s">
        <v>896</v>
      </c>
      <c r="AF44" t="s">
        <v>55</v>
      </c>
      <c r="AG44" t="s">
        <v>897</v>
      </c>
      <c r="AH44" t="s">
        <v>43</v>
      </c>
      <c r="AI44" t="s">
        <v>43</v>
      </c>
      <c r="AJ44" t="s">
        <v>43</v>
      </c>
      <c r="AK44" t="s">
        <v>43</v>
      </c>
      <c r="AL44" t="s">
        <v>43</v>
      </c>
      <c r="AM44" t="s">
        <v>898</v>
      </c>
      <c r="AN44" t="s">
        <v>43</v>
      </c>
    </row>
    <row r="45" spans="1:40" x14ac:dyDescent="0.3">
      <c r="A45" t="s">
        <v>903</v>
      </c>
      <c r="B45">
        <v>3384</v>
      </c>
      <c r="C45" t="str">
        <f>IF(Y45&lt;0, "Down", "Up")</f>
        <v>Down</v>
      </c>
      <c r="D45" s="7" t="str">
        <f>IF(AC45&lt;0.05, "Sig", "N")</f>
        <v>Sig</v>
      </c>
      <c r="E45" s="1" t="str">
        <f>IF(AND(H45&gt;2,J45&gt;2,L45&gt;2,N45&gt;2),"Y","N")</f>
        <v>Y</v>
      </c>
      <c r="F45" s="1" t="str">
        <f>IF(AND(P45&gt;2,R45&gt;2,T45&gt;2,V45&gt;2),"Y","N")</f>
        <v>Y</v>
      </c>
      <c r="G45" s="1" t="str">
        <f>IF(OR(E45="Y", F45="Y"), "Expressed", "N")</f>
        <v>Expressed</v>
      </c>
      <c r="H45" s="8">
        <v>53.919940585629433</v>
      </c>
      <c r="I45" s="8">
        <v>8118</v>
      </c>
      <c r="J45" s="8">
        <v>51.632413583294472</v>
      </c>
      <c r="K45" s="8">
        <v>17412</v>
      </c>
      <c r="L45" s="8">
        <v>69.401909180565653</v>
      </c>
      <c r="M45" s="8">
        <v>18150</v>
      </c>
      <c r="N45" s="8">
        <v>47.186985368844041</v>
      </c>
      <c r="O45" s="8">
        <v>7345</v>
      </c>
      <c r="P45" s="9">
        <v>22.921020170554741</v>
      </c>
      <c r="Q45" s="9">
        <v>13488</v>
      </c>
      <c r="R45" s="9">
        <v>90.569584127695464</v>
      </c>
      <c r="S45" s="9">
        <v>4922</v>
      </c>
      <c r="T45" s="9">
        <v>55.942262709064828</v>
      </c>
      <c r="U45" s="9">
        <v>3631</v>
      </c>
      <c r="V45" s="9">
        <v>10.685321999840109</v>
      </c>
      <c r="W45" s="9">
        <v>15150</v>
      </c>
      <c r="X45">
        <v>9634.061049967082</v>
      </c>
      <c r="Y45">
        <v>-0.40732206180379132</v>
      </c>
      <c r="Z45">
        <v>0.11335583430427019</v>
      </c>
      <c r="AA45">
        <v>-3.593304784916989</v>
      </c>
      <c r="AB45">
        <v>3.265102907986128E-4</v>
      </c>
      <c r="AC45">
        <v>1.4507105150128079E-2</v>
      </c>
      <c r="AD45" t="s">
        <v>904</v>
      </c>
      <c r="AE45" t="s">
        <v>905</v>
      </c>
      <c r="AF45" t="s">
        <v>906</v>
      </c>
      <c r="AG45" t="s">
        <v>907</v>
      </c>
      <c r="AH45" t="s">
        <v>43</v>
      </c>
      <c r="AI45" t="s">
        <v>43</v>
      </c>
      <c r="AJ45" t="s">
        <v>43</v>
      </c>
      <c r="AK45" t="s">
        <v>43</v>
      </c>
      <c r="AL45" t="s">
        <v>43</v>
      </c>
      <c r="AM45" t="s">
        <v>908</v>
      </c>
      <c r="AN45" t="s">
        <v>43</v>
      </c>
    </row>
    <row r="46" spans="1:40" x14ac:dyDescent="0.3">
      <c r="A46" t="s">
        <v>909</v>
      </c>
      <c r="B46">
        <v>836</v>
      </c>
      <c r="C46" t="str">
        <f>IF(Y46&lt;0, "Down", "Up")</f>
        <v>Down</v>
      </c>
      <c r="D46" s="7" t="str">
        <f>IF(AC46&lt;0.05, "Sig", "N")</f>
        <v>Sig</v>
      </c>
      <c r="E46" s="1" t="str">
        <f>IF(AND(H46&gt;2,J46&gt;2,L46&gt;2,N46&gt;2),"Y","N")</f>
        <v>Y</v>
      </c>
      <c r="F46" s="1" t="str">
        <f>IF(AND(P46&gt;2,R46&gt;2,T46&gt;2,V46&gt;2),"Y","N")</f>
        <v>Y</v>
      </c>
      <c r="G46" s="1" t="str">
        <f>IF(OR(E46="Y", F46="Y"), "Expressed", "N")</f>
        <v>Expressed</v>
      </c>
      <c r="H46" s="8">
        <v>62.160180182230192</v>
      </c>
      <c r="I46" s="8">
        <v>2312</v>
      </c>
      <c r="J46" s="8">
        <v>50.581578301782322</v>
      </c>
      <c r="K46" s="8">
        <v>4214</v>
      </c>
      <c r="L46" s="8">
        <v>57.176261622577947</v>
      </c>
      <c r="M46" s="8">
        <v>3694</v>
      </c>
      <c r="N46" s="8">
        <v>49.565261932970166</v>
      </c>
      <c r="O46" s="8">
        <v>1906</v>
      </c>
      <c r="P46" s="9">
        <v>24.076265089707501</v>
      </c>
      <c r="Q46" s="9">
        <v>3264</v>
      </c>
      <c r="R46" s="9">
        <v>88.717448546681624</v>
      </c>
      <c r="S46" s="9">
        <v>1384</v>
      </c>
      <c r="T46" s="9">
        <v>63.673479956786622</v>
      </c>
      <c r="U46" s="9">
        <v>872</v>
      </c>
      <c r="V46" s="9">
        <v>10.387282113678269</v>
      </c>
      <c r="W46" s="9">
        <v>3698</v>
      </c>
      <c r="X46">
        <v>2391.2689664869622</v>
      </c>
      <c r="Y46">
        <v>-0.38133575065019282</v>
      </c>
      <c r="Z46">
        <v>0.118856497435279</v>
      </c>
      <c r="AA46">
        <v>-3.2083710935352259</v>
      </c>
      <c r="AB46">
        <v>1.334891349770765E-3</v>
      </c>
      <c r="AC46">
        <v>3.6954919544824848E-2</v>
      </c>
      <c r="AD46" t="s">
        <v>910</v>
      </c>
      <c r="AE46" t="s">
        <v>911</v>
      </c>
      <c r="AF46" t="s">
        <v>912</v>
      </c>
      <c r="AG46" t="s">
        <v>913</v>
      </c>
      <c r="AH46" t="s">
        <v>43</v>
      </c>
      <c r="AI46" t="s">
        <v>43</v>
      </c>
      <c r="AJ46" t="s">
        <v>43</v>
      </c>
      <c r="AK46" t="s">
        <v>43</v>
      </c>
      <c r="AL46" t="s">
        <v>43</v>
      </c>
      <c r="AM46" t="s">
        <v>914</v>
      </c>
      <c r="AN46" t="s">
        <v>43</v>
      </c>
    </row>
    <row r="47" spans="1:40" s="10" customFormat="1" x14ac:dyDescent="0.3">
      <c r="A47" t="s">
        <v>915</v>
      </c>
      <c r="B47">
        <v>1790</v>
      </c>
      <c r="C47" t="str">
        <f>IF(Y47&lt;0, "Down", "Up")</f>
        <v>Down</v>
      </c>
      <c r="D47" s="7" t="str">
        <f>IF(AC47&lt;0.05, "Sig", "N")</f>
        <v>Sig</v>
      </c>
      <c r="E47" s="1" t="str">
        <f>IF(AND(H47&gt;2,J47&gt;2,L47&gt;2,N47&gt;2),"Y","N")</f>
        <v>Y</v>
      </c>
      <c r="F47" s="1" t="str">
        <f>IF(AND(P47&gt;2,R47&gt;2,T47&gt;2,V47&gt;2),"Y","N")</f>
        <v>Y</v>
      </c>
      <c r="G47" s="1" t="str">
        <f>IF(OR(E47="Y", F47="Y"), "Expressed", "N")</f>
        <v>Expressed</v>
      </c>
      <c r="H47" s="8">
        <v>56.317079987354013</v>
      </c>
      <c r="I47" s="8">
        <v>4485</v>
      </c>
      <c r="J47" s="8">
        <v>49.43348015803101</v>
      </c>
      <c r="K47" s="8">
        <v>8818</v>
      </c>
      <c r="L47" s="8">
        <v>62.464909744181547</v>
      </c>
      <c r="M47" s="8">
        <v>8641</v>
      </c>
      <c r="N47" s="8">
        <v>47.184437155708373</v>
      </c>
      <c r="O47" s="8">
        <v>3885</v>
      </c>
      <c r="P47" s="9">
        <v>22.919782379154739</v>
      </c>
      <c r="Q47" s="9">
        <v>6524</v>
      </c>
      <c r="R47" s="9">
        <v>82.818258142031667</v>
      </c>
      <c r="S47" s="9">
        <v>2681</v>
      </c>
      <c r="T47" s="9">
        <v>57.606641506613961</v>
      </c>
      <c r="U47" s="9">
        <v>1641</v>
      </c>
      <c r="V47" s="9">
        <v>9.1295058152993729</v>
      </c>
      <c r="W47" s="9">
        <v>7150</v>
      </c>
      <c r="X47">
        <v>4839.8984799246873</v>
      </c>
      <c r="Y47">
        <v>-0.49074273142227709</v>
      </c>
      <c r="Z47">
        <v>9.648621998747825E-2</v>
      </c>
      <c r="AA47">
        <v>-5.086143197297651</v>
      </c>
      <c r="AB47">
        <v>3.6541819460156969E-7</v>
      </c>
      <c r="AC47">
        <v>1.1793746224867349E-4</v>
      </c>
      <c r="AD47" t="s">
        <v>916</v>
      </c>
      <c r="AE47" t="s">
        <v>917</v>
      </c>
      <c r="AF47" t="s">
        <v>918</v>
      </c>
      <c r="AG47" t="s">
        <v>919</v>
      </c>
      <c r="AH47" t="s">
        <v>43</v>
      </c>
      <c r="AI47" t="s">
        <v>43</v>
      </c>
      <c r="AJ47" t="s">
        <v>43</v>
      </c>
      <c r="AK47" t="s">
        <v>43</v>
      </c>
      <c r="AL47" t="s">
        <v>43</v>
      </c>
      <c r="AM47" t="s">
        <v>920</v>
      </c>
      <c r="AN47" t="s">
        <v>43</v>
      </c>
    </row>
    <row r="48" spans="1:40" x14ac:dyDescent="0.3">
      <c r="A48" t="s">
        <v>921</v>
      </c>
      <c r="B48">
        <v>432</v>
      </c>
      <c r="C48" t="str">
        <f>IF(Y48&lt;0, "Down", "Up")</f>
        <v>Down</v>
      </c>
      <c r="D48" s="7" t="str">
        <f>IF(AC48&lt;0.05, "Sig", "N")</f>
        <v>Sig</v>
      </c>
      <c r="E48" s="1" t="str">
        <f>IF(AND(H48&gt;2,J48&gt;2,L48&gt;2,N48&gt;2),"Y","N")</f>
        <v>Y</v>
      </c>
      <c r="F48" s="1" t="str">
        <f>IF(AND(P48&gt;2,R48&gt;2,T48&gt;2,V48&gt;2),"Y","N")</f>
        <v>Y</v>
      </c>
      <c r="G48" s="1" t="str">
        <f>IF(OR(E48="Y", F48="Y"), "Expressed", "N")</f>
        <v>Expressed</v>
      </c>
      <c r="H48" s="8">
        <v>52.289324003494407</v>
      </c>
      <c r="I48" s="8">
        <v>1005</v>
      </c>
      <c r="J48" s="8">
        <v>49.22110197948777</v>
      </c>
      <c r="K48" s="8">
        <v>2119</v>
      </c>
      <c r="L48" s="8">
        <v>68.143242783581101</v>
      </c>
      <c r="M48" s="8">
        <v>2275</v>
      </c>
      <c r="N48" s="8">
        <v>41.668452975128993</v>
      </c>
      <c r="O48" s="8">
        <v>828</v>
      </c>
      <c r="P48" s="9">
        <v>20.240399840193071</v>
      </c>
      <c r="Q48" s="9">
        <v>1455</v>
      </c>
      <c r="R48" s="9">
        <v>76.532238663657253</v>
      </c>
      <c r="S48" s="9">
        <v>549</v>
      </c>
      <c r="T48" s="9">
        <v>48.878443880604081</v>
      </c>
      <c r="U48" s="9">
        <v>438</v>
      </c>
      <c r="V48" s="9">
        <v>10.096761162613999</v>
      </c>
      <c r="W48" s="9">
        <v>1889</v>
      </c>
      <c r="X48">
        <v>1147.9619206489531</v>
      </c>
      <c r="Y48">
        <v>-0.46435577787487792</v>
      </c>
      <c r="Z48">
        <v>0.15030635187926811</v>
      </c>
      <c r="AA48">
        <v>-3.089395571571496</v>
      </c>
      <c r="AB48">
        <v>2.00564201199868E-3</v>
      </c>
      <c r="AC48">
        <v>4.6533256572789783E-2</v>
      </c>
      <c r="AD48" t="s">
        <v>922</v>
      </c>
      <c r="AE48" t="s">
        <v>923</v>
      </c>
      <c r="AF48" t="s">
        <v>43</v>
      </c>
      <c r="AG48" t="s">
        <v>43</v>
      </c>
      <c r="AH48" t="s">
        <v>43</v>
      </c>
      <c r="AI48" t="s">
        <v>43</v>
      </c>
      <c r="AJ48" t="s">
        <v>43</v>
      </c>
      <c r="AK48" t="s">
        <v>43</v>
      </c>
      <c r="AL48" t="s">
        <v>43</v>
      </c>
      <c r="AM48" t="s">
        <v>43</v>
      </c>
      <c r="AN48" t="s">
        <v>43</v>
      </c>
    </row>
    <row r="49" spans="1:40" x14ac:dyDescent="0.3">
      <c r="A49" t="s">
        <v>924</v>
      </c>
      <c r="B49">
        <v>1057</v>
      </c>
      <c r="C49" t="str">
        <f>IF(Y49&lt;0, "Down", "Up")</f>
        <v>Down</v>
      </c>
      <c r="D49" s="7" t="str">
        <f>IF(AC49&lt;0.05, "Sig", "N")</f>
        <v>Sig</v>
      </c>
      <c r="E49" s="1" t="str">
        <f>IF(AND(H49&gt;2,J49&gt;2,L49&gt;2,N49&gt;2),"Y","N")</f>
        <v>Y</v>
      </c>
      <c r="F49" s="1" t="str">
        <f>IF(AND(P49&gt;2,R49&gt;2,T49&gt;2,V49&gt;2),"Y","N")</f>
        <v>Y</v>
      </c>
      <c r="G49" s="1" t="str">
        <f>IF(OR(E49="Y", F49="Y"), "Expressed", "N")</f>
        <v>Expressed</v>
      </c>
      <c r="H49" s="8">
        <v>76.594825932940338</v>
      </c>
      <c r="I49" s="8">
        <v>3602</v>
      </c>
      <c r="J49" s="8">
        <v>49.081709257132133</v>
      </c>
      <c r="K49" s="8">
        <v>5170</v>
      </c>
      <c r="L49" s="8">
        <v>92.977514758809804</v>
      </c>
      <c r="M49" s="8">
        <v>7595</v>
      </c>
      <c r="N49" s="8">
        <v>55.080309522798117</v>
      </c>
      <c r="O49" s="8">
        <v>2678</v>
      </c>
      <c r="P49" s="9">
        <v>26.75519268086234</v>
      </c>
      <c r="Q49" s="9">
        <v>3943</v>
      </c>
      <c r="R49" s="9">
        <v>84.76507691543911</v>
      </c>
      <c r="S49" s="9">
        <v>2222</v>
      </c>
      <c r="T49" s="9">
        <v>80.853316849879945</v>
      </c>
      <c r="U49" s="9">
        <v>966</v>
      </c>
      <c r="V49" s="9">
        <v>9.1010994204601907</v>
      </c>
      <c r="W49" s="9">
        <v>4537</v>
      </c>
      <c r="X49">
        <v>3431.3871327441161</v>
      </c>
      <c r="Y49">
        <v>-0.65213557760296392</v>
      </c>
      <c r="Z49">
        <v>0.17928796226709789</v>
      </c>
      <c r="AA49">
        <v>-3.637363988952206</v>
      </c>
      <c r="AB49">
        <v>2.754425568195876E-4</v>
      </c>
      <c r="AC49">
        <v>1.302402585665738E-2</v>
      </c>
      <c r="AD49" t="s">
        <v>925</v>
      </c>
      <c r="AE49" t="s">
        <v>926</v>
      </c>
      <c r="AF49" t="s">
        <v>927</v>
      </c>
      <c r="AG49" t="s">
        <v>928</v>
      </c>
      <c r="AH49" t="s">
        <v>43</v>
      </c>
      <c r="AI49" t="s">
        <v>43</v>
      </c>
      <c r="AJ49" t="s">
        <v>43</v>
      </c>
      <c r="AK49" t="s">
        <v>43</v>
      </c>
      <c r="AL49" t="s">
        <v>43</v>
      </c>
      <c r="AM49" t="s">
        <v>929</v>
      </c>
      <c r="AN49" t="s">
        <v>43</v>
      </c>
    </row>
    <row r="50" spans="1:40" x14ac:dyDescent="0.3">
      <c r="A50" t="s">
        <v>935</v>
      </c>
      <c r="B50">
        <v>2839</v>
      </c>
      <c r="C50" t="str">
        <f>IF(Y50&lt;0, "Down", "Up")</f>
        <v>Down</v>
      </c>
      <c r="D50" s="7" t="str">
        <f>IF(AC50&lt;0.05, "Sig", "N")</f>
        <v>Sig</v>
      </c>
      <c r="E50" s="1" t="str">
        <f>IF(AND(H50&gt;2,J50&gt;2,L50&gt;2,N50&gt;2),"Y","N")</f>
        <v>Y</v>
      </c>
      <c r="F50" s="1" t="str">
        <f>IF(AND(P50&gt;2,R50&gt;2,T50&gt;2,V50&gt;2),"Y","N")</f>
        <v>Y</v>
      </c>
      <c r="G50" s="1" t="str">
        <f>IF(OR(E50="Y", F50="Y"), "Expressed", "N")</f>
        <v>Expressed</v>
      </c>
      <c r="H50" s="8">
        <v>54.390375473996997</v>
      </c>
      <c r="I50" s="8">
        <v>6870</v>
      </c>
      <c r="J50" s="8">
        <v>47.90072902180092</v>
      </c>
      <c r="K50" s="8">
        <v>13552</v>
      </c>
      <c r="L50" s="8">
        <v>76.672103581671834</v>
      </c>
      <c r="M50" s="8">
        <v>16822</v>
      </c>
      <c r="N50" s="8">
        <v>53.787318932993443</v>
      </c>
      <c r="O50" s="8">
        <v>7024</v>
      </c>
      <c r="P50" s="9">
        <v>26.127124090389959</v>
      </c>
      <c r="Q50" s="9">
        <v>12372</v>
      </c>
      <c r="R50" s="9">
        <v>99.023823091138183</v>
      </c>
      <c r="S50" s="9">
        <v>4300</v>
      </c>
      <c r="T50" s="9">
        <v>58.254816213032079</v>
      </c>
      <c r="U50" s="9">
        <v>2812</v>
      </c>
      <c r="V50" s="9">
        <v>9.8637406188146546</v>
      </c>
      <c r="W50" s="9">
        <v>12365</v>
      </c>
      <c r="X50">
        <v>8305.1991554677206</v>
      </c>
      <c r="Y50">
        <v>-0.46010777527981478</v>
      </c>
      <c r="Z50">
        <v>0.12439083879296629</v>
      </c>
      <c r="AA50">
        <v>-3.6988879546476019</v>
      </c>
      <c r="AB50">
        <v>2.1654616289788891E-4</v>
      </c>
      <c r="AC50">
        <v>1.135162834419488E-2</v>
      </c>
      <c r="AD50" t="s">
        <v>936</v>
      </c>
      <c r="AE50" t="s">
        <v>937</v>
      </c>
      <c r="AF50" t="s">
        <v>938</v>
      </c>
      <c r="AG50" t="s">
        <v>939</v>
      </c>
      <c r="AH50" t="s">
        <v>43</v>
      </c>
      <c r="AI50" t="s">
        <v>43</v>
      </c>
      <c r="AJ50" t="s">
        <v>43</v>
      </c>
      <c r="AK50" t="s">
        <v>43</v>
      </c>
      <c r="AL50" t="s">
        <v>43</v>
      </c>
      <c r="AM50" t="s">
        <v>940</v>
      </c>
      <c r="AN50" t="s">
        <v>43</v>
      </c>
    </row>
    <row r="51" spans="1:40" x14ac:dyDescent="0.3">
      <c r="A51" t="s">
        <v>941</v>
      </c>
      <c r="B51">
        <v>2090</v>
      </c>
      <c r="C51" t="str">
        <f>IF(Y51&lt;0, "Down", "Up")</f>
        <v>Down</v>
      </c>
      <c r="D51" s="7" t="str">
        <f>IF(AC51&lt;0.05, "Sig", "N")</f>
        <v>Sig</v>
      </c>
      <c r="E51" s="1" t="str">
        <f>IF(AND(H51&gt;2,J51&gt;2,L51&gt;2,N51&gt;2),"Y","N")</f>
        <v>Y</v>
      </c>
      <c r="F51" s="1" t="str">
        <f>IF(AND(P51&gt;2,R51&gt;2,T51&gt;2,V51&gt;2),"Y","N")</f>
        <v>Y</v>
      </c>
      <c r="G51" s="1" t="str">
        <f>IF(OR(E51="Y", F51="Y"), "Expressed", "N")</f>
        <v>Expressed</v>
      </c>
      <c r="H51" s="8">
        <v>67.827726022374705</v>
      </c>
      <c r="I51" s="8">
        <v>6307</v>
      </c>
      <c r="J51" s="8">
        <v>47.647990798945202</v>
      </c>
      <c r="K51" s="8">
        <v>9924</v>
      </c>
      <c r="L51" s="8">
        <v>91.36438470648433</v>
      </c>
      <c r="M51" s="8">
        <v>14757</v>
      </c>
      <c r="N51" s="8">
        <v>60.570518412525757</v>
      </c>
      <c r="O51" s="8">
        <v>5823</v>
      </c>
      <c r="P51" s="9">
        <v>29.422054903959449</v>
      </c>
      <c r="Q51" s="9">
        <v>9906</v>
      </c>
      <c r="R51" s="9">
        <v>107.70037319894951</v>
      </c>
      <c r="S51" s="9">
        <v>4097</v>
      </c>
      <c r="T51" s="9">
        <v>75.396025255189244</v>
      </c>
      <c r="U51" s="9">
        <v>2572</v>
      </c>
      <c r="V51" s="9">
        <v>12.255086970816739</v>
      </c>
      <c r="W51" s="9">
        <v>8986</v>
      </c>
      <c r="X51">
        <v>6995.7530306998742</v>
      </c>
      <c r="Y51">
        <v>-0.46185973737787411</v>
      </c>
      <c r="Z51">
        <v>0.1451281940334633</v>
      </c>
      <c r="AA51">
        <v>-3.1824259955400498</v>
      </c>
      <c r="AB51">
        <v>1.46046833530896E-3</v>
      </c>
      <c r="AC51">
        <v>3.8883324756052301E-2</v>
      </c>
      <c r="AD51" t="s">
        <v>942</v>
      </c>
      <c r="AE51" t="s">
        <v>943</v>
      </c>
      <c r="AF51" t="s">
        <v>944</v>
      </c>
      <c r="AG51" t="s">
        <v>945</v>
      </c>
      <c r="AH51" t="s">
        <v>43</v>
      </c>
      <c r="AI51" t="s">
        <v>43</v>
      </c>
      <c r="AJ51" t="s">
        <v>43</v>
      </c>
      <c r="AK51" t="s">
        <v>43</v>
      </c>
      <c r="AL51" t="s">
        <v>43</v>
      </c>
      <c r="AM51" t="s">
        <v>946</v>
      </c>
      <c r="AN51" t="s">
        <v>43</v>
      </c>
    </row>
    <row r="52" spans="1:40" x14ac:dyDescent="0.3">
      <c r="A52" t="s">
        <v>952</v>
      </c>
      <c r="B52">
        <v>1528</v>
      </c>
      <c r="C52" t="str">
        <f>IF(Y52&lt;0, "Down", "Up")</f>
        <v>Down</v>
      </c>
      <c r="D52" s="7" t="str">
        <f>IF(AC52&lt;0.05, "Sig", "N")</f>
        <v>Sig</v>
      </c>
      <c r="E52" s="1" t="str">
        <f>IF(AND(H52&gt;2,J52&gt;2,L52&gt;2,N52&gt;2),"Y","N")</f>
        <v>Y</v>
      </c>
      <c r="F52" s="1" t="str">
        <f>IF(AND(P52&gt;2,R52&gt;2,T52&gt;2,V52&gt;2),"Y","N")</f>
        <v>Y</v>
      </c>
      <c r="G52" s="1" t="str">
        <f>IF(OR(E52="Y", F52="Y"), "Expressed", "N")</f>
        <v>Expressed</v>
      </c>
      <c r="H52" s="8">
        <v>54.499883063109202</v>
      </c>
      <c r="I52" s="8">
        <v>3705</v>
      </c>
      <c r="J52" s="8">
        <v>46.830759900203027</v>
      </c>
      <c r="K52" s="8">
        <v>7131</v>
      </c>
      <c r="L52" s="8">
        <v>46.220572422968587</v>
      </c>
      <c r="M52" s="8">
        <v>5458</v>
      </c>
      <c r="N52" s="8">
        <v>38.884548821202209</v>
      </c>
      <c r="O52" s="8">
        <v>2733</v>
      </c>
      <c r="P52" s="9">
        <v>18.888121817635209</v>
      </c>
      <c r="Q52" s="9">
        <v>4319</v>
      </c>
      <c r="R52" s="9">
        <v>64.228091954337373</v>
      </c>
      <c r="S52" s="9">
        <v>1996</v>
      </c>
      <c r="T52" s="9">
        <v>50.241888585882293</v>
      </c>
      <c r="U52" s="9">
        <v>1241</v>
      </c>
      <c r="V52" s="9">
        <v>8.0879814548688049</v>
      </c>
      <c r="W52" s="9">
        <v>5113</v>
      </c>
      <c r="X52">
        <v>3551.9141545493608</v>
      </c>
      <c r="Y52">
        <v>-0.54380092408026404</v>
      </c>
      <c r="Z52">
        <v>0.14081978361427391</v>
      </c>
      <c r="AA52">
        <v>-3.8616798728353028</v>
      </c>
      <c r="AB52">
        <v>1.126100591935895E-4</v>
      </c>
      <c r="AC52">
        <v>7.3342342133742222E-3</v>
      </c>
      <c r="AD52" t="s">
        <v>953</v>
      </c>
      <c r="AE52" t="s">
        <v>954</v>
      </c>
      <c r="AF52" t="s">
        <v>55</v>
      </c>
      <c r="AG52" t="s">
        <v>955</v>
      </c>
      <c r="AH52" t="s">
        <v>43</v>
      </c>
      <c r="AI52" t="s">
        <v>43</v>
      </c>
      <c r="AJ52" t="s">
        <v>43</v>
      </c>
      <c r="AK52" t="s">
        <v>43</v>
      </c>
      <c r="AL52" t="s">
        <v>43</v>
      </c>
      <c r="AM52" t="s">
        <v>87</v>
      </c>
      <c r="AN52" t="s">
        <v>43</v>
      </c>
    </row>
    <row r="53" spans="1:40" x14ac:dyDescent="0.3">
      <c r="A53" t="s">
        <v>340</v>
      </c>
      <c r="B53">
        <v>1539</v>
      </c>
      <c r="C53" t="str">
        <f>IF(Y53&lt;0, "Down", "Up")</f>
        <v>Down</v>
      </c>
      <c r="D53" s="7" t="str">
        <f>IF(AC53&lt;0.05, "Sig", "N")</f>
        <v>Sig</v>
      </c>
      <c r="E53" s="1" t="str">
        <f>IF(AND(H53&gt;2,J53&gt;2,L53&gt;2,N53&gt;2),"Y","N")</f>
        <v>Y</v>
      </c>
      <c r="F53" s="1" t="str">
        <f>IF(AND(P53&gt;2,R53&gt;2,T53&gt;2,V53&gt;2),"Y","N")</f>
        <v>Y</v>
      </c>
      <c r="G53" s="1" t="str">
        <f>IF(OR(E53="Y", F53="Y"), "Expressed", "N")</f>
        <v>Expressed</v>
      </c>
      <c r="H53" s="8">
        <v>82.238961951974034</v>
      </c>
      <c r="I53" s="8">
        <v>5631</v>
      </c>
      <c r="J53" s="8">
        <v>46.00049668781682</v>
      </c>
      <c r="K53" s="8">
        <v>7055</v>
      </c>
      <c r="L53" s="8">
        <v>107.83947338403991</v>
      </c>
      <c r="M53" s="8">
        <v>12826</v>
      </c>
      <c r="N53" s="8">
        <v>44.0027904119084</v>
      </c>
      <c r="O53" s="8">
        <v>3115</v>
      </c>
      <c r="P53" s="9">
        <v>21.374301382219311</v>
      </c>
      <c r="Q53" s="9">
        <v>4587</v>
      </c>
      <c r="R53" s="9">
        <v>67.725978899175658</v>
      </c>
      <c r="S53" s="9">
        <v>637</v>
      </c>
      <c r="T53" s="9">
        <v>15.919505960793691</v>
      </c>
      <c r="U53" s="9">
        <v>1102</v>
      </c>
      <c r="V53" s="9">
        <v>7.1307415212372831</v>
      </c>
      <c r="W53" s="9">
        <v>3943</v>
      </c>
      <c r="X53">
        <v>4182.4108792525849</v>
      </c>
      <c r="Y53">
        <v>-1.5034363706658129</v>
      </c>
      <c r="Z53">
        <v>0.31727509773959289</v>
      </c>
      <c r="AA53">
        <v>-4.7385892601624073</v>
      </c>
      <c r="AB53">
        <v>2.1521122764674959E-6</v>
      </c>
      <c r="AC53">
        <v>3.9143968395848679E-4</v>
      </c>
      <c r="AD53" t="s">
        <v>341</v>
      </c>
      <c r="AE53" t="s">
        <v>342</v>
      </c>
      <c r="AF53" t="s">
        <v>343</v>
      </c>
      <c r="AG53" t="s">
        <v>344</v>
      </c>
      <c r="AH53" t="s">
        <v>43</v>
      </c>
      <c r="AI53" t="s">
        <v>43</v>
      </c>
      <c r="AJ53" t="s">
        <v>43</v>
      </c>
      <c r="AK53" t="s">
        <v>43</v>
      </c>
      <c r="AL53" t="s">
        <v>43</v>
      </c>
      <c r="AM53" t="s">
        <v>345</v>
      </c>
      <c r="AN53" t="s">
        <v>43</v>
      </c>
    </row>
    <row r="54" spans="1:40" x14ac:dyDescent="0.3">
      <c r="A54" t="s">
        <v>957</v>
      </c>
      <c r="B54">
        <v>2709</v>
      </c>
      <c r="C54" t="str">
        <f>IF(Y54&lt;0, "Down", "Up")</f>
        <v>Down</v>
      </c>
      <c r="D54" s="7" t="str">
        <f>IF(AC54&lt;0.05, "Sig", "N")</f>
        <v>Sig</v>
      </c>
      <c r="E54" s="1" t="str">
        <f>IF(AND(H54&gt;2,J54&gt;2,L54&gt;2,N54&gt;2),"Y","N")</f>
        <v>Y</v>
      </c>
      <c r="F54" s="1" t="str">
        <f>IF(AND(P54&gt;2,R54&gt;2,T54&gt;2,V54&gt;2),"Y","N")</f>
        <v>Y</v>
      </c>
      <c r="G54" s="1" t="str">
        <f>IF(OR(E54="Y", F54="Y"), "Expressed", "N")</f>
        <v>Expressed</v>
      </c>
      <c r="H54" s="8">
        <v>62.269073499673823</v>
      </c>
      <c r="I54" s="8">
        <v>7505</v>
      </c>
      <c r="J54" s="8">
        <v>45.950674035527634</v>
      </c>
      <c r="K54" s="8">
        <v>12405</v>
      </c>
      <c r="L54" s="8">
        <v>74.996924007681841</v>
      </c>
      <c r="M54" s="8">
        <v>15701</v>
      </c>
      <c r="N54" s="8">
        <v>41.016411604965917</v>
      </c>
      <c r="O54" s="8">
        <v>5111</v>
      </c>
      <c r="P54" s="9">
        <v>19.9236715457127</v>
      </c>
      <c r="Q54" s="9">
        <v>8625</v>
      </c>
      <c r="R54" s="9">
        <v>72.346124160596645</v>
      </c>
      <c r="S54" s="9">
        <v>3067</v>
      </c>
      <c r="T54" s="9">
        <v>43.544523684421748</v>
      </c>
      <c r="U54" s="9">
        <v>2246</v>
      </c>
      <c r="V54" s="9">
        <v>8.2564331028921103</v>
      </c>
      <c r="W54" s="9">
        <v>9348</v>
      </c>
      <c r="X54">
        <v>6996.572569980739</v>
      </c>
      <c r="Y54">
        <v>-0.76983511710418051</v>
      </c>
      <c r="Z54">
        <v>0.15768436096423691</v>
      </c>
      <c r="AA54">
        <v>-4.8821272597780361</v>
      </c>
      <c r="AB54">
        <v>1.0494748814390249E-6</v>
      </c>
      <c r="AC54">
        <v>2.3630176330458511E-4</v>
      </c>
      <c r="AD54" t="s">
        <v>958</v>
      </c>
      <c r="AE54" t="s">
        <v>959</v>
      </c>
      <c r="AF54" t="s">
        <v>960</v>
      </c>
      <c r="AG54" t="s">
        <v>961</v>
      </c>
      <c r="AH54" t="s">
        <v>43</v>
      </c>
      <c r="AI54" t="s">
        <v>43</v>
      </c>
      <c r="AJ54" t="s">
        <v>43</v>
      </c>
      <c r="AK54" t="s">
        <v>43</v>
      </c>
      <c r="AL54" t="s">
        <v>43</v>
      </c>
      <c r="AM54" t="s">
        <v>962</v>
      </c>
      <c r="AN54" t="s">
        <v>43</v>
      </c>
    </row>
    <row r="55" spans="1:40" x14ac:dyDescent="0.3">
      <c r="A55" t="s">
        <v>963</v>
      </c>
      <c r="B55">
        <v>1469</v>
      </c>
      <c r="C55" t="str">
        <f>IF(Y55&lt;0, "Down", "Up")</f>
        <v>Down</v>
      </c>
      <c r="D55" s="7" t="str">
        <f>IF(AC55&lt;0.05, "Sig", "N")</f>
        <v>Sig</v>
      </c>
      <c r="E55" s="1" t="str">
        <f>IF(AND(H55&gt;2,J55&gt;2,L55&gt;2,N55&gt;2),"Y","N")</f>
        <v>Y</v>
      </c>
      <c r="F55" s="1" t="str">
        <f>IF(AND(P55&gt;2,R55&gt;2,T55&gt;2,V55&gt;2),"Y","N")</f>
        <v>Y</v>
      </c>
      <c r="G55" s="1" t="str">
        <f>IF(OR(E55="Y", F55="Y"), "Expressed", "N")</f>
        <v>Expressed</v>
      </c>
      <c r="H55" s="8">
        <v>53.735763489507988</v>
      </c>
      <c r="I55" s="8">
        <v>3512</v>
      </c>
      <c r="J55" s="8">
        <v>44.858974712597693</v>
      </c>
      <c r="K55" s="8">
        <v>6567</v>
      </c>
      <c r="L55" s="8">
        <v>52.040784342746903</v>
      </c>
      <c r="M55" s="8">
        <v>5908</v>
      </c>
      <c r="N55" s="8">
        <v>37.693627629912172</v>
      </c>
      <c r="O55" s="8">
        <v>2547</v>
      </c>
      <c r="P55" s="9">
        <v>18.309633312092249</v>
      </c>
      <c r="Q55" s="9">
        <v>2421</v>
      </c>
      <c r="R55" s="9">
        <v>37.448822288644138</v>
      </c>
      <c r="S55" s="9">
        <v>935</v>
      </c>
      <c r="T55" s="9">
        <v>24.480404438856709</v>
      </c>
      <c r="U55" s="9">
        <v>620</v>
      </c>
      <c r="V55" s="9">
        <v>4.2030215158862054</v>
      </c>
      <c r="W55" s="9">
        <v>2655</v>
      </c>
      <c r="X55">
        <v>2772.8246262406101</v>
      </c>
      <c r="Y55">
        <v>-1.4595048339372381</v>
      </c>
      <c r="Z55">
        <v>0.13217034575196501</v>
      </c>
      <c r="AA55">
        <v>-11.04260434240061</v>
      </c>
      <c r="AB55">
        <v>2.380322289953777E-28</v>
      </c>
      <c r="AC55">
        <v>5.6275579579087193E-24</v>
      </c>
      <c r="AD55" t="s">
        <v>964</v>
      </c>
      <c r="AE55" t="s">
        <v>965</v>
      </c>
      <c r="AF55" t="s">
        <v>966</v>
      </c>
      <c r="AG55" t="s">
        <v>967</v>
      </c>
      <c r="AH55" t="s">
        <v>43</v>
      </c>
      <c r="AI55" t="s">
        <v>43</v>
      </c>
      <c r="AJ55" t="s">
        <v>43</v>
      </c>
      <c r="AK55" t="s">
        <v>43</v>
      </c>
      <c r="AL55" t="s">
        <v>43</v>
      </c>
      <c r="AM55" t="s">
        <v>968</v>
      </c>
      <c r="AN55" t="s">
        <v>43</v>
      </c>
    </row>
    <row r="56" spans="1:40" x14ac:dyDescent="0.3">
      <c r="A56" t="s">
        <v>981</v>
      </c>
      <c r="B56">
        <v>2876</v>
      </c>
      <c r="C56" t="str">
        <f>IF(Y56&lt;0, "Down", "Up")</f>
        <v>Down</v>
      </c>
      <c r="D56" s="7" t="str">
        <f>IF(AC56&lt;0.05, "Sig", "N")</f>
        <v>Sig</v>
      </c>
      <c r="E56" s="1" t="str">
        <f>IF(AND(H56&gt;2,J56&gt;2,L56&gt;2,N56&gt;2),"Y","N")</f>
        <v>Y</v>
      </c>
      <c r="F56" s="1" t="str">
        <f>IF(AND(P56&gt;2,R56&gt;2,T56&gt;2,V56&gt;2),"Y","N")</f>
        <v>Y</v>
      </c>
      <c r="G56" s="1" t="str">
        <f>IF(OR(E56="Y", F56="Y"), "Expressed", "N")</f>
        <v>Expressed</v>
      </c>
      <c r="H56" s="8">
        <v>49.384445982649723</v>
      </c>
      <c r="I56" s="8">
        <v>6319</v>
      </c>
      <c r="J56" s="8">
        <v>42.916110263751527</v>
      </c>
      <c r="K56" s="8">
        <v>12300</v>
      </c>
      <c r="L56" s="8">
        <v>55.002841826812038</v>
      </c>
      <c r="M56" s="8">
        <v>12225</v>
      </c>
      <c r="N56" s="8">
        <v>37.34211000129477</v>
      </c>
      <c r="O56" s="8">
        <v>4940</v>
      </c>
      <c r="P56" s="9">
        <v>18.13888405585422</v>
      </c>
      <c r="Q56" s="9">
        <v>9680</v>
      </c>
      <c r="R56" s="9">
        <v>76.480663377002074</v>
      </c>
      <c r="S56" s="9">
        <v>3936</v>
      </c>
      <c r="T56" s="9">
        <v>52.637466913716501</v>
      </c>
      <c r="U56" s="9">
        <v>2619</v>
      </c>
      <c r="V56" s="9">
        <v>9.0685601144654697</v>
      </c>
      <c r="W56" s="9">
        <v>9355</v>
      </c>
      <c r="X56">
        <v>6825.4538637899923</v>
      </c>
      <c r="Y56">
        <v>-0.40544916806668813</v>
      </c>
      <c r="Z56">
        <v>0.1108395373896644</v>
      </c>
      <c r="AA56">
        <v>-3.657983221648629</v>
      </c>
      <c r="AB56">
        <v>2.542076834277127E-4</v>
      </c>
      <c r="AC56">
        <v>1.24528616782505E-2</v>
      </c>
      <c r="AD56" t="s">
        <v>982</v>
      </c>
      <c r="AE56" t="s">
        <v>983</v>
      </c>
      <c r="AF56" t="s">
        <v>984</v>
      </c>
      <c r="AG56" t="s">
        <v>985</v>
      </c>
      <c r="AH56" t="s">
        <v>43</v>
      </c>
      <c r="AI56" t="s">
        <v>43</v>
      </c>
      <c r="AJ56" t="s">
        <v>43</v>
      </c>
      <c r="AK56" t="s">
        <v>43</v>
      </c>
      <c r="AL56" t="s">
        <v>43</v>
      </c>
      <c r="AM56" t="s">
        <v>986</v>
      </c>
      <c r="AN56" t="s">
        <v>43</v>
      </c>
    </row>
    <row r="57" spans="1:40" x14ac:dyDescent="0.3">
      <c r="A57" t="s">
        <v>997</v>
      </c>
      <c r="B57">
        <v>724</v>
      </c>
      <c r="C57" t="str">
        <f>IF(Y57&lt;0, "Down", "Up")</f>
        <v>Down</v>
      </c>
      <c r="D57" s="7" t="str">
        <f>IF(AC57&lt;0.05, "Sig", "N")</f>
        <v>Sig</v>
      </c>
      <c r="E57" s="1" t="str">
        <f>IF(AND(H57&gt;2,J57&gt;2,L57&gt;2,N57&gt;2),"Y","N")</f>
        <v>Y</v>
      </c>
      <c r="F57" s="1" t="str">
        <f>IF(AND(P57&gt;2,R57&gt;2,T57&gt;2,V57&gt;2),"Y","N")</f>
        <v>Y</v>
      </c>
      <c r="G57" s="1" t="str">
        <f>IF(OR(E57="Y", F57="Y"), "Expressed", "N")</f>
        <v>Expressed</v>
      </c>
      <c r="H57" s="8">
        <v>91.831211915298312</v>
      </c>
      <c r="I57" s="8">
        <v>2958</v>
      </c>
      <c r="J57" s="8">
        <v>42.037605168728433</v>
      </c>
      <c r="K57" s="8">
        <v>3033</v>
      </c>
      <c r="L57" s="8">
        <v>101.21226363768891</v>
      </c>
      <c r="M57" s="8">
        <v>5663</v>
      </c>
      <c r="N57" s="8">
        <v>35.492753843335912</v>
      </c>
      <c r="O57" s="8">
        <v>1182</v>
      </c>
      <c r="P57" s="9">
        <v>17.240561574183189</v>
      </c>
      <c r="Q57" s="9">
        <v>1998</v>
      </c>
      <c r="R57" s="9">
        <v>62.707875634784287</v>
      </c>
      <c r="S57" s="9">
        <v>1023</v>
      </c>
      <c r="T57" s="9">
        <v>54.345781820332917</v>
      </c>
      <c r="U57" s="9">
        <v>601</v>
      </c>
      <c r="V57" s="9">
        <v>8.2666133548140639</v>
      </c>
      <c r="W57" s="9">
        <v>2375</v>
      </c>
      <c r="X57">
        <v>2101.218133086571</v>
      </c>
      <c r="Y57">
        <v>-1.016370154130656</v>
      </c>
      <c r="Z57">
        <v>0.26606954337362149</v>
      </c>
      <c r="AA57">
        <v>-3.819941738703418</v>
      </c>
      <c r="AB57">
        <v>1.334832000786344E-4</v>
      </c>
      <c r="AC57">
        <v>8.1756730991167734E-3</v>
      </c>
      <c r="AD57" t="s">
        <v>998</v>
      </c>
      <c r="AE57" t="s">
        <v>999</v>
      </c>
      <c r="AF57" t="s">
        <v>55</v>
      </c>
      <c r="AG57" t="s">
        <v>43</v>
      </c>
      <c r="AH57" t="s">
        <v>43</v>
      </c>
      <c r="AI57" t="s">
        <v>43</v>
      </c>
      <c r="AJ57" t="s">
        <v>43</v>
      </c>
      <c r="AK57" t="s">
        <v>43</v>
      </c>
      <c r="AL57" t="s">
        <v>43</v>
      </c>
      <c r="AM57" t="s">
        <v>43</v>
      </c>
      <c r="AN57" t="s">
        <v>43</v>
      </c>
    </row>
    <row r="58" spans="1:40" x14ac:dyDescent="0.3">
      <c r="A58" t="s">
        <v>1000</v>
      </c>
      <c r="B58">
        <v>1941</v>
      </c>
      <c r="C58" t="str">
        <f>IF(Y58&lt;0, "Down", "Up")</f>
        <v>Down</v>
      </c>
      <c r="D58" s="7" t="str">
        <f>IF(AC58&lt;0.05, "Sig", "N")</f>
        <v>Sig</v>
      </c>
      <c r="E58" s="1" t="str">
        <f>IF(AND(H58&gt;2,J58&gt;2,L58&gt;2,N58&gt;2),"Y","N")</f>
        <v>Y</v>
      </c>
      <c r="F58" s="1" t="str">
        <f>IF(AND(P58&gt;2,R58&gt;2,T58&gt;2,V58&gt;2),"Y","N")</f>
        <v>Y</v>
      </c>
      <c r="G58" s="1" t="str">
        <f>IF(OR(E58="Y", F58="Y"), "Expressed", "N")</f>
        <v>Expressed</v>
      </c>
      <c r="H58" s="8">
        <v>66.10970511580696</v>
      </c>
      <c r="I58" s="8">
        <v>5709</v>
      </c>
      <c r="J58" s="8">
        <v>41.974074472948011</v>
      </c>
      <c r="K58" s="8">
        <v>8119</v>
      </c>
      <c r="L58" s="8">
        <v>87.318163583759855</v>
      </c>
      <c r="M58" s="8">
        <v>13098</v>
      </c>
      <c r="N58" s="8">
        <v>40.89282220608721</v>
      </c>
      <c r="O58" s="8">
        <v>3651</v>
      </c>
      <c r="P58" s="9">
        <v>19.86363814704519</v>
      </c>
      <c r="Q58" s="9">
        <v>6042</v>
      </c>
      <c r="R58" s="9">
        <v>70.732719540716786</v>
      </c>
      <c r="S58" s="9">
        <v>2796</v>
      </c>
      <c r="T58" s="9">
        <v>55.403908719758377</v>
      </c>
      <c r="U58" s="9">
        <v>1738</v>
      </c>
      <c r="V58" s="9">
        <v>8.9169422966897827</v>
      </c>
      <c r="W58" s="9">
        <v>6784</v>
      </c>
      <c r="X58">
        <v>5298.6376043956316</v>
      </c>
      <c r="Y58">
        <v>-0.7275502237645054</v>
      </c>
      <c r="Z58">
        <v>0.1866940364886199</v>
      </c>
      <c r="AA58">
        <v>-3.897019087746028</v>
      </c>
      <c r="AB58">
        <v>9.7383946438939182E-5</v>
      </c>
      <c r="AC58">
        <v>6.5407706298562509E-3</v>
      </c>
      <c r="AD58" t="s">
        <v>1001</v>
      </c>
      <c r="AE58" t="s">
        <v>1002</v>
      </c>
      <c r="AF58" t="s">
        <v>43</v>
      </c>
      <c r="AG58" t="s">
        <v>1003</v>
      </c>
      <c r="AH58" t="s">
        <v>43</v>
      </c>
      <c r="AI58" t="s">
        <v>43</v>
      </c>
      <c r="AJ58" t="s">
        <v>43</v>
      </c>
      <c r="AK58" t="s">
        <v>43</v>
      </c>
      <c r="AL58" t="s">
        <v>43</v>
      </c>
      <c r="AM58" t="s">
        <v>1004</v>
      </c>
      <c r="AN58" t="s">
        <v>43</v>
      </c>
    </row>
    <row r="59" spans="1:40" x14ac:dyDescent="0.3">
      <c r="A59" t="s">
        <v>1005</v>
      </c>
      <c r="B59">
        <v>1136</v>
      </c>
      <c r="C59" t="str">
        <f>IF(Y59&lt;0, "Down", "Up")</f>
        <v>Down</v>
      </c>
      <c r="D59" s="7" t="str">
        <f>IF(AC59&lt;0.05, "Sig", "N")</f>
        <v>Sig</v>
      </c>
      <c r="E59" s="1" t="str">
        <f>IF(AND(H59&gt;2,J59&gt;2,L59&gt;2,N59&gt;2),"Y","N")</f>
        <v>Y</v>
      </c>
      <c r="F59" s="1" t="str">
        <f>IF(AND(P59&gt;2,R59&gt;2,T59&gt;2,V59&gt;2),"Y","N")</f>
        <v>Y</v>
      </c>
      <c r="G59" s="1" t="str">
        <f>IF(OR(E59="Y", F59="Y"), "Expressed", "N")</f>
        <v>Expressed</v>
      </c>
      <c r="H59" s="8">
        <v>58.387729922590211</v>
      </c>
      <c r="I59" s="8">
        <v>2951</v>
      </c>
      <c r="J59" s="8">
        <v>41.446111859629703</v>
      </c>
      <c r="K59" s="8">
        <v>4692</v>
      </c>
      <c r="L59" s="8">
        <v>73.879467344041416</v>
      </c>
      <c r="M59" s="8">
        <v>6486</v>
      </c>
      <c r="N59" s="8">
        <v>39.461275276201462</v>
      </c>
      <c r="O59" s="8">
        <v>2062</v>
      </c>
      <c r="P59" s="9">
        <v>19.168265984604151</v>
      </c>
      <c r="Q59" s="9">
        <v>3186</v>
      </c>
      <c r="R59" s="9">
        <v>63.728340683656398</v>
      </c>
      <c r="S59" s="9">
        <v>1484</v>
      </c>
      <c r="T59" s="9">
        <v>50.244015736885103</v>
      </c>
      <c r="U59" s="9">
        <v>844</v>
      </c>
      <c r="V59" s="9">
        <v>7.3987070992876642</v>
      </c>
      <c r="W59" s="9">
        <v>5023</v>
      </c>
      <c r="X59">
        <v>2894.1405119225551</v>
      </c>
      <c r="Y59">
        <v>-0.61949848941861141</v>
      </c>
      <c r="Z59">
        <v>0.19227802736195879</v>
      </c>
      <c r="AA59">
        <v>-3.2218891462435302</v>
      </c>
      <c r="AB59">
        <v>1.273483958703863E-3</v>
      </c>
      <c r="AC59">
        <v>3.5928052209638087E-2</v>
      </c>
      <c r="AD59" t="s">
        <v>1006</v>
      </c>
      <c r="AE59" t="s">
        <v>1007</v>
      </c>
      <c r="AF59" t="s">
        <v>43</v>
      </c>
      <c r="AG59" t="s">
        <v>1008</v>
      </c>
      <c r="AH59" t="s">
        <v>43</v>
      </c>
      <c r="AI59" t="s">
        <v>43</v>
      </c>
      <c r="AJ59" t="s">
        <v>43</v>
      </c>
      <c r="AK59" t="s">
        <v>43</v>
      </c>
      <c r="AL59" t="s">
        <v>43</v>
      </c>
      <c r="AM59" t="s">
        <v>1009</v>
      </c>
      <c r="AN59" t="s">
        <v>43</v>
      </c>
    </row>
    <row r="60" spans="1:40" x14ac:dyDescent="0.3">
      <c r="A60" t="s">
        <v>1010</v>
      </c>
      <c r="B60">
        <v>1761</v>
      </c>
      <c r="C60" t="str">
        <f>IF(Y60&lt;0, "Down", "Up")</f>
        <v>Down</v>
      </c>
      <c r="D60" s="7" t="str">
        <f>IF(AC60&lt;0.05, "Sig", "N")</f>
        <v>Sig</v>
      </c>
      <c r="E60" s="1" t="str">
        <f>IF(AND(H60&gt;2,J60&gt;2,L60&gt;2,N60&gt;2),"Y","N")</f>
        <v>Y</v>
      </c>
      <c r="F60" s="1" t="str">
        <f>IF(AND(P60&gt;2,R60&gt;2,T60&gt;2,V60&gt;2),"Y","N")</f>
        <v>Y</v>
      </c>
      <c r="G60" s="1" t="str">
        <f>IF(OR(E60="Y", F60="Y"), "Expressed", "N")</f>
        <v>Expressed</v>
      </c>
      <c r="H60" s="8">
        <v>70.812154590386612</v>
      </c>
      <c r="I60" s="8">
        <v>5548</v>
      </c>
      <c r="J60" s="8">
        <v>39.586040589214498</v>
      </c>
      <c r="K60" s="8">
        <v>6947</v>
      </c>
      <c r="L60" s="8">
        <v>139.6403113343851</v>
      </c>
      <c r="M60" s="8">
        <v>19004</v>
      </c>
      <c r="N60" s="8">
        <v>67.936151906417251</v>
      </c>
      <c r="O60" s="8">
        <v>5503</v>
      </c>
      <c r="P60" s="9">
        <v>32.99990232444484</v>
      </c>
      <c r="Q60" s="9">
        <v>8060</v>
      </c>
      <c r="R60" s="9">
        <v>104.0018001517263</v>
      </c>
      <c r="S60" s="9">
        <v>2233</v>
      </c>
      <c r="T60" s="9">
        <v>48.770604713218717</v>
      </c>
      <c r="U60" s="9">
        <v>1822</v>
      </c>
      <c r="V60" s="9">
        <v>10.30340417070278</v>
      </c>
      <c r="W60" s="9">
        <v>6645</v>
      </c>
      <c r="X60">
        <v>6042.4038405628589</v>
      </c>
      <c r="Y60">
        <v>-0.94532446071295406</v>
      </c>
      <c r="Z60">
        <v>0.26180762865715168</v>
      </c>
      <c r="AA60">
        <v>-3.6107597993292129</v>
      </c>
      <c r="AB60">
        <v>3.0530131273558272E-4</v>
      </c>
      <c r="AC60">
        <v>1.388427420513467E-2</v>
      </c>
      <c r="AD60" t="s">
        <v>1011</v>
      </c>
      <c r="AE60" t="s">
        <v>1012</v>
      </c>
      <c r="AF60" t="s">
        <v>1013</v>
      </c>
      <c r="AG60" t="s">
        <v>1014</v>
      </c>
      <c r="AH60" t="s">
        <v>1015</v>
      </c>
      <c r="AI60" t="s">
        <v>1016</v>
      </c>
      <c r="AK60" t="s">
        <v>1017</v>
      </c>
      <c r="AL60" t="s">
        <v>1018</v>
      </c>
      <c r="AM60" t="s">
        <v>362</v>
      </c>
      <c r="AN60" t="s">
        <v>43</v>
      </c>
    </row>
    <row r="61" spans="1:40" x14ac:dyDescent="0.3">
      <c r="A61" t="s">
        <v>1019</v>
      </c>
      <c r="B61">
        <v>2165</v>
      </c>
      <c r="C61" t="str">
        <f>IF(Y61&lt;0, "Down", "Up")</f>
        <v>Down</v>
      </c>
      <c r="D61" s="7" t="str">
        <f>IF(AC61&lt;0.05, "Sig", "N")</f>
        <v>Sig</v>
      </c>
      <c r="E61" s="1" t="str">
        <f>IF(AND(H61&gt;2,J61&gt;2,L61&gt;2,N61&gt;2),"Y","N")</f>
        <v>Y</v>
      </c>
      <c r="F61" s="1" t="str">
        <f>IF(AND(P61&gt;2,R61&gt;2,T61&gt;2,V61&gt;2),"Y","N")</f>
        <v>Y</v>
      </c>
      <c r="G61" s="1" t="str">
        <f>IF(OR(E61="Y", F61="Y"), "Expressed", "N")</f>
        <v>Expressed</v>
      </c>
      <c r="H61" s="8">
        <v>100.3816596818164</v>
      </c>
      <c r="I61" s="8">
        <v>9669</v>
      </c>
      <c r="J61" s="8">
        <v>39.39718100255994</v>
      </c>
      <c r="K61" s="8">
        <v>8500</v>
      </c>
      <c r="L61" s="8">
        <v>148.80985878489659</v>
      </c>
      <c r="M61" s="8">
        <v>24898</v>
      </c>
      <c r="N61" s="8">
        <v>57.227074245669677</v>
      </c>
      <c r="O61" s="8">
        <v>5699</v>
      </c>
      <c r="P61" s="9">
        <v>27.797981007553439</v>
      </c>
      <c r="Q61" s="9">
        <v>9488</v>
      </c>
      <c r="R61" s="9">
        <v>99.582252597292751</v>
      </c>
      <c r="S61" s="9">
        <v>1559</v>
      </c>
      <c r="T61" s="9">
        <v>27.695996005553059</v>
      </c>
      <c r="U61" s="9">
        <v>1495</v>
      </c>
      <c r="V61" s="9">
        <v>6.8766197699628</v>
      </c>
      <c r="W61" s="9">
        <v>7244</v>
      </c>
      <c r="X61">
        <v>7318.3538590724347</v>
      </c>
      <c r="Y61">
        <v>-1.406230245590647</v>
      </c>
      <c r="Z61">
        <v>0.33272230767886612</v>
      </c>
      <c r="AA61">
        <v>-4.2264381231326977</v>
      </c>
      <c r="AB61">
        <v>2.374195185953596E-5</v>
      </c>
      <c r="AC61">
        <v>2.419427697685988E-3</v>
      </c>
      <c r="AD61" t="s">
        <v>1020</v>
      </c>
      <c r="AE61" t="s">
        <v>1021</v>
      </c>
      <c r="AF61" t="s">
        <v>1022</v>
      </c>
      <c r="AG61" t="s">
        <v>1023</v>
      </c>
      <c r="AH61" t="s">
        <v>43</v>
      </c>
      <c r="AI61" t="s">
        <v>43</v>
      </c>
      <c r="AJ61" t="s">
        <v>43</v>
      </c>
      <c r="AK61" t="s">
        <v>43</v>
      </c>
      <c r="AL61" t="s">
        <v>43</v>
      </c>
      <c r="AM61" t="s">
        <v>1024</v>
      </c>
      <c r="AN61" t="s">
        <v>43</v>
      </c>
    </row>
    <row r="62" spans="1:40" x14ac:dyDescent="0.3">
      <c r="A62" t="s">
        <v>1025</v>
      </c>
      <c r="B62">
        <v>2365</v>
      </c>
      <c r="C62" t="str">
        <f>IF(Y62&lt;0, "Down", "Up")</f>
        <v>Down</v>
      </c>
      <c r="D62" s="7" t="str">
        <f>IF(AC62&lt;0.05, "Sig", "N")</f>
        <v>Sig</v>
      </c>
      <c r="E62" s="1" t="str">
        <f>IF(AND(H62&gt;2,J62&gt;2,L62&gt;2,N62&gt;2),"Y","N")</f>
        <v>Y</v>
      </c>
      <c r="F62" s="1" t="str">
        <f>IF(AND(P62&gt;2,R62&gt;2,T62&gt;2,V62&gt;2),"Y","N")</f>
        <v>Y</v>
      </c>
      <c r="G62" s="1" t="str">
        <f>IF(OR(E62="Y", F62="Y"), "Expressed", "N")</f>
        <v>Expressed</v>
      </c>
      <c r="H62" s="8">
        <v>86.228429879086804</v>
      </c>
      <c r="I62" s="8">
        <v>9073</v>
      </c>
      <c r="J62" s="8">
        <v>39.341091097309693</v>
      </c>
      <c r="K62" s="8">
        <v>9272</v>
      </c>
      <c r="L62" s="8">
        <v>147.5347829838631</v>
      </c>
      <c r="M62" s="8">
        <v>26965</v>
      </c>
      <c r="N62" s="8">
        <v>58.831458562182313</v>
      </c>
      <c r="O62" s="8">
        <v>6400</v>
      </c>
      <c r="P62" s="9">
        <v>28.577308718206229</v>
      </c>
      <c r="Q62" s="9">
        <v>8571</v>
      </c>
      <c r="R62" s="9">
        <v>82.350363533849489</v>
      </c>
      <c r="S62" s="9">
        <v>2443</v>
      </c>
      <c r="T62" s="9">
        <v>39.730231471355893</v>
      </c>
      <c r="U62" s="9">
        <v>1909</v>
      </c>
      <c r="V62" s="9">
        <v>8.0383424268236485</v>
      </c>
      <c r="W62" s="9">
        <v>5722</v>
      </c>
      <c r="X62">
        <v>7661.7729163317208</v>
      </c>
      <c r="Y62">
        <v>-1.404852316809835</v>
      </c>
      <c r="Z62">
        <v>0.28407148251847658</v>
      </c>
      <c r="AA62">
        <v>-4.9454183304670893</v>
      </c>
      <c r="AB62">
        <v>7.5980520329752407E-7</v>
      </c>
      <c r="AC62">
        <v>1.9109909166340489E-4</v>
      </c>
      <c r="AD62" t="s">
        <v>1026</v>
      </c>
      <c r="AE62" t="s">
        <v>1027</v>
      </c>
      <c r="AF62" t="s">
        <v>1028</v>
      </c>
      <c r="AG62" t="s">
        <v>1029</v>
      </c>
      <c r="AH62" t="s">
        <v>43</v>
      </c>
      <c r="AI62" t="s">
        <v>43</v>
      </c>
      <c r="AJ62" t="s">
        <v>43</v>
      </c>
      <c r="AK62" t="s">
        <v>43</v>
      </c>
      <c r="AL62" t="s">
        <v>43</v>
      </c>
      <c r="AM62" t="s">
        <v>1030</v>
      </c>
      <c r="AN62" t="s">
        <v>43</v>
      </c>
    </row>
    <row r="63" spans="1:40" x14ac:dyDescent="0.3">
      <c r="A63" t="s">
        <v>1031</v>
      </c>
      <c r="B63">
        <v>2239</v>
      </c>
      <c r="C63" t="str">
        <f>IF(Y63&lt;0, "Down", "Up")</f>
        <v>Down</v>
      </c>
      <c r="D63" s="7" t="str">
        <f>IF(AC63&lt;0.05, "Sig", "N")</f>
        <v>Sig</v>
      </c>
      <c r="E63" s="1" t="str">
        <f>IF(AND(H63&gt;2,J63&gt;2,L63&gt;2,N63&gt;2),"Y","N")</f>
        <v>Y</v>
      </c>
      <c r="F63" s="1" t="str">
        <f>IF(AND(P63&gt;2,R63&gt;2,T63&gt;2,V63&gt;2),"Y","N")</f>
        <v>Y</v>
      </c>
      <c r="G63" s="1" t="str">
        <f>IF(OR(E63="Y", F63="Y"), "Expressed", "N")</f>
        <v>Expressed</v>
      </c>
      <c r="H63" s="8">
        <v>49.550925416463613</v>
      </c>
      <c r="I63" s="8">
        <v>4936</v>
      </c>
      <c r="J63" s="8">
        <v>38.839060309493178</v>
      </c>
      <c r="K63" s="8">
        <v>8666</v>
      </c>
      <c r="L63" s="8">
        <v>83.348260474901281</v>
      </c>
      <c r="M63" s="8">
        <v>14422</v>
      </c>
      <c r="N63" s="8">
        <v>38.023262368822678</v>
      </c>
      <c r="O63" s="8">
        <v>3916</v>
      </c>
      <c r="P63" s="9">
        <v>18.469752981539749</v>
      </c>
      <c r="Q63" s="9">
        <v>7105</v>
      </c>
      <c r="R63" s="9">
        <v>72.106623466441675</v>
      </c>
      <c r="S63" s="9">
        <v>3121</v>
      </c>
      <c r="T63" s="9">
        <v>53.612794945529963</v>
      </c>
      <c r="U63" s="9">
        <v>1905</v>
      </c>
      <c r="V63" s="9">
        <v>8.4729102465272295</v>
      </c>
      <c r="W63" s="9">
        <v>7976</v>
      </c>
      <c r="X63">
        <v>5643.7141750792362</v>
      </c>
      <c r="Y63">
        <v>-0.56597595461030203</v>
      </c>
      <c r="Z63">
        <v>0.1821477180851884</v>
      </c>
      <c r="AA63">
        <v>-3.1072360420436431</v>
      </c>
      <c r="AB63">
        <v>1.8884554693908439E-3</v>
      </c>
      <c r="AC63">
        <v>4.4871220308882742E-2</v>
      </c>
      <c r="AD63" t="s">
        <v>1032</v>
      </c>
      <c r="AE63" t="s">
        <v>1033</v>
      </c>
      <c r="AF63" t="s">
        <v>1034</v>
      </c>
      <c r="AG63" t="s">
        <v>1035</v>
      </c>
      <c r="AH63" t="s">
        <v>43</v>
      </c>
      <c r="AI63" t="s">
        <v>43</v>
      </c>
      <c r="AJ63" t="s">
        <v>43</v>
      </c>
      <c r="AK63" t="s">
        <v>43</v>
      </c>
      <c r="AL63" t="s">
        <v>43</v>
      </c>
      <c r="AM63" t="s">
        <v>1036</v>
      </c>
      <c r="AN63" t="s">
        <v>43</v>
      </c>
    </row>
    <row r="64" spans="1:40" x14ac:dyDescent="0.3">
      <c r="A64" t="s">
        <v>1037</v>
      </c>
      <c r="B64">
        <v>1521</v>
      </c>
      <c r="C64" t="str">
        <f>IF(Y64&lt;0, "Down", "Up")</f>
        <v>Down</v>
      </c>
      <c r="D64" s="7" t="str">
        <f>IF(AC64&lt;0.05, "Sig", "N")</f>
        <v>Sig</v>
      </c>
      <c r="E64" s="1" t="str">
        <f>IF(AND(H64&gt;2,J64&gt;2,L64&gt;2,N64&gt;2),"Y","N")</f>
        <v>Y</v>
      </c>
      <c r="F64" s="1" t="str">
        <f>IF(AND(P64&gt;2,R64&gt;2,T64&gt;2,V64&gt;2),"Y","N")</f>
        <v>Y</v>
      </c>
      <c r="G64" s="1" t="str">
        <f>IF(OR(E64="Y", F64="Y"), "Expressed", "N")</f>
        <v>Expressed</v>
      </c>
      <c r="H64" s="8">
        <v>75.985997781780313</v>
      </c>
      <c r="I64" s="8">
        <v>5142</v>
      </c>
      <c r="J64" s="8">
        <v>38.568586232369583</v>
      </c>
      <c r="K64" s="8">
        <v>5846</v>
      </c>
      <c r="L64" s="8">
        <v>89.795415888870622</v>
      </c>
      <c r="M64" s="8">
        <v>10555</v>
      </c>
      <c r="N64" s="8">
        <v>56.258307489960622</v>
      </c>
      <c r="O64" s="8">
        <v>3936</v>
      </c>
      <c r="P64" s="9">
        <v>27.327403746162389</v>
      </c>
      <c r="Q64" s="9">
        <v>5051</v>
      </c>
      <c r="R64" s="9">
        <v>75.459396081768134</v>
      </c>
      <c r="S64" s="9">
        <v>1603</v>
      </c>
      <c r="T64" s="9">
        <v>40.535271078660507</v>
      </c>
      <c r="U64" s="9">
        <v>928</v>
      </c>
      <c r="V64" s="9">
        <v>6.0758981009359099</v>
      </c>
      <c r="W64" s="9">
        <v>6129</v>
      </c>
      <c r="X64">
        <v>4283.0769913924742</v>
      </c>
      <c r="Y64">
        <v>-1.016631352996608</v>
      </c>
      <c r="Z64">
        <v>0.23065992607276881</v>
      </c>
      <c r="AA64">
        <v>-4.4074901536033613</v>
      </c>
      <c r="AB64">
        <v>1.045753531944138E-5</v>
      </c>
      <c r="AC64">
        <v>1.2876929688657979E-3</v>
      </c>
      <c r="AD64" t="s">
        <v>1038</v>
      </c>
      <c r="AE64" t="s">
        <v>1039</v>
      </c>
      <c r="AF64" t="s">
        <v>1040</v>
      </c>
      <c r="AG64" t="s">
        <v>1041</v>
      </c>
      <c r="AH64" t="s">
        <v>43</v>
      </c>
      <c r="AI64" t="s">
        <v>43</v>
      </c>
      <c r="AJ64" t="s">
        <v>43</v>
      </c>
      <c r="AK64" t="s">
        <v>43</v>
      </c>
      <c r="AL64" t="s">
        <v>43</v>
      </c>
      <c r="AM64" t="s">
        <v>1042</v>
      </c>
      <c r="AN64" t="s">
        <v>43</v>
      </c>
    </row>
    <row r="65" spans="1:40" x14ac:dyDescent="0.3">
      <c r="A65" t="s">
        <v>1043</v>
      </c>
      <c r="B65">
        <v>1448</v>
      </c>
      <c r="C65" t="str">
        <f>IF(Y65&lt;0, "Down", "Up")</f>
        <v>Down</v>
      </c>
      <c r="D65" s="7" t="str">
        <f>IF(AC65&lt;0.05, "Sig", "N")</f>
        <v>Sig</v>
      </c>
      <c r="E65" s="1" t="str">
        <f>IF(AND(H65&gt;2,J65&gt;2,L65&gt;2,N65&gt;2),"Y","N")</f>
        <v>Y</v>
      </c>
      <c r="F65" s="1" t="str">
        <f>IF(AND(P65&gt;2,R65&gt;2,T65&gt;2,V65&gt;2),"Y","N")</f>
        <v>Y</v>
      </c>
      <c r="G65" s="1" t="str">
        <f>IF(OR(E65="Y", F65="Y"), "Expressed", "N")</f>
        <v>Expressed</v>
      </c>
      <c r="H65" s="8">
        <v>37.502401620581587</v>
      </c>
      <c r="I65" s="8">
        <v>2416</v>
      </c>
      <c r="J65" s="8">
        <v>38.045903787721571</v>
      </c>
      <c r="K65" s="8">
        <v>5490</v>
      </c>
      <c r="L65" s="8">
        <v>27.389686389680069</v>
      </c>
      <c r="M65" s="8">
        <v>3065</v>
      </c>
      <c r="N65" s="8">
        <v>33.585994224848747</v>
      </c>
      <c r="O65" s="8">
        <v>2237</v>
      </c>
      <c r="P65" s="9">
        <v>16.314355432084511</v>
      </c>
      <c r="Q65" s="9">
        <v>3376</v>
      </c>
      <c r="R65" s="9">
        <v>52.97842546121916</v>
      </c>
      <c r="S65" s="9">
        <v>1218</v>
      </c>
      <c r="T65" s="9">
        <v>32.352474221488507</v>
      </c>
      <c r="U65" s="9">
        <v>739</v>
      </c>
      <c r="V65" s="9">
        <v>5.0823854153141381</v>
      </c>
      <c r="W65" s="9">
        <v>3272</v>
      </c>
      <c r="X65">
        <v>2424.1170883284381</v>
      </c>
      <c r="Y65">
        <v>-0.64206620081451915</v>
      </c>
      <c r="Z65">
        <v>0.18288698711248819</v>
      </c>
      <c r="AA65">
        <v>-3.5107265473163691</v>
      </c>
      <c r="AB65">
        <v>4.468838401301952E-4</v>
      </c>
      <c r="AC65">
        <v>1.7816572931463871E-2</v>
      </c>
      <c r="AD65" t="s">
        <v>1044</v>
      </c>
      <c r="AE65" t="s">
        <v>1045</v>
      </c>
      <c r="AF65" t="s">
        <v>1046</v>
      </c>
      <c r="AG65" t="s">
        <v>1047</v>
      </c>
      <c r="AH65" t="s">
        <v>43</v>
      </c>
      <c r="AI65" t="s">
        <v>43</v>
      </c>
      <c r="AJ65" t="s">
        <v>43</v>
      </c>
      <c r="AK65" t="s">
        <v>43</v>
      </c>
      <c r="AL65" t="s">
        <v>43</v>
      </c>
      <c r="AM65" t="s">
        <v>1048</v>
      </c>
      <c r="AN65" t="s">
        <v>43</v>
      </c>
    </row>
    <row r="66" spans="1:40" x14ac:dyDescent="0.3">
      <c r="A66" t="s">
        <v>1049</v>
      </c>
      <c r="B66">
        <v>1250</v>
      </c>
      <c r="C66" t="str">
        <f>IF(Y66&lt;0, "Down", "Up")</f>
        <v>Down</v>
      </c>
      <c r="D66" s="7" t="str">
        <f>IF(AC66&lt;0.05, "Sig", "N")</f>
        <v>Sig</v>
      </c>
      <c r="E66" s="1" t="str">
        <f>IF(AND(H66&gt;2,J66&gt;2,L66&gt;2,N66&gt;2),"Y","N")</f>
        <v>Y</v>
      </c>
      <c r="F66" s="1" t="str">
        <f>IF(AND(P66&gt;2,R66&gt;2,T66&gt;2,V66&gt;2),"Y","N")</f>
        <v>Y</v>
      </c>
      <c r="G66" s="1" t="str">
        <f>IF(OR(E66="Y", F66="Y"), "Expressed", "N")</f>
        <v>Expressed</v>
      </c>
      <c r="H66" s="8">
        <v>55.849867966803401</v>
      </c>
      <c r="I66" s="8">
        <v>3106</v>
      </c>
      <c r="J66" s="8">
        <v>36.879506468072577</v>
      </c>
      <c r="K66" s="8">
        <v>4594</v>
      </c>
      <c r="L66" s="8">
        <v>70.775135505477138</v>
      </c>
      <c r="M66" s="8">
        <v>6837</v>
      </c>
      <c r="N66" s="8">
        <v>41.271334501557327</v>
      </c>
      <c r="O66" s="8">
        <v>2373</v>
      </c>
      <c r="P66" s="9">
        <v>20.047500029542189</v>
      </c>
      <c r="Q66" s="9">
        <v>4272</v>
      </c>
      <c r="R66" s="9">
        <v>77.658035784321171</v>
      </c>
      <c r="S66" s="9">
        <v>1703</v>
      </c>
      <c r="T66" s="9">
        <v>52.400255955096398</v>
      </c>
      <c r="U66" s="9">
        <v>976</v>
      </c>
      <c r="V66" s="9">
        <v>7.7755572648680644</v>
      </c>
      <c r="W66" s="9">
        <v>3749</v>
      </c>
      <c r="X66">
        <v>3062.9591248115039</v>
      </c>
      <c r="Y66">
        <v>-0.61545152697084371</v>
      </c>
      <c r="Z66">
        <v>0.16281026172590971</v>
      </c>
      <c r="AA66">
        <v>-3.7801765100467271</v>
      </c>
      <c r="AB66">
        <v>1.5671721682614039E-4</v>
      </c>
      <c r="AC66">
        <v>8.9653256296358293E-3</v>
      </c>
      <c r="AD66" t="s">
        <v>1050</v>
      </c>
      <c r="AE66" t="s">
        <v>1051</v>
      </c>
      <c r="AF66" t="s">
        <v>1052</v>
      </c>
      <c r="AG66" t="s">
        <v>1053</v>
      </c>
      <c r="AH66" t="s">
        <v>43</v>
      </c>
      <c r="AI66" t="s">
        <v>43</v>
      </c>
      <c r="AJ66" t="s">
        <v>43</v>
      </c>
      <c r="AK66" t="s">
        <v>43</v>
      </c>
      <c r="AL66" t="s">
        <v>43</v>
      </c>
      <c r="AM66" t="s">
        <v>1054</v>
      </c>
      <c r="AN66" t="s">
        <v>43</v>
      </c>
    </row>
    <row r="67" spans="1:40" x14ac:dyDescent="0.3">
      <c r="A67" t="s">
        <v>1055</v>
      </c>
      <c r="B67">
        <v>1146</v>
      </c>
      <c r="C67" t="str">
        <f>IF(Y67&lt;0, "Down", "Up")</f>
        <v>Down</v>
      </c>
      <c r="D67" s="7" t="str">
        <f>IF(AC67&lt;0.05, "Sig", "N")</f>
        <v>Sig</v>
      </c>
      <c r="E67" s="1" t="str">
        <f>IF(AND(H67&gt;2,J67&gt;2,L67&gt;2,N67&gt;2),"Y","N")</f>
        <v>Y</v>
      </c>
      <c r="F67" s="1" t="str">
        <f>IF(AND(P67&gt;2,R67&gt;2,T67&gt;2,V67&gt;2),"Y","N")</f>
        <v>Y</v>
      </c>
      <c r="G67" s="1" t="str">
        <f>IF(OR(E67="Y", F67="Y"), "Expressed", "N")</f>
        <v>Expressed</v>
      </c>
      <c r="H67" s="8">
        <v>44.031394503528617</v>
      </c>
      <c r="I67" s="8">
        <v>2245</v>
      </c>
      <c r="J67" s="8">
        <v>36.863927299556821</v>
      </c>
      <c r="K67" s="8">
        <v>4210</v>
      </c>
      <c r="L67" s="8">
        <v>43.256629522998089</v>
      </c>
      <c r="M67" s="8">
        <v>3831</v>
      </c>
      <c r="N67" s="8">
        <v>33.520672163465939</v>
      </c>
      <c r="O67" s="8">
        <v>1767</v>
      </c>
      <c r="P67" s="9">
        <v>16.28262532102033</v>
      </c>
      <c r="Q67" s="9">
        <v>2998</v>
      </c>
      <c r="R67" s="9">
        <v>59.444568859798864</v>
      </c>
      <c r="S67" s="9">
        <v>1397</v>
      </c>
      <c r="T67" s="9">
        <v>46.885717003659018</v>
      </c>
      <c r="U67" s="9">
        <v>845</v>
      </c>
      <c r="V67" s="9">
        <v>7.3428357017073758</v>
      </c>
      <c r="W67" s="9">
        <v>3515</v>
      </c>
      <c r="X67">
        <v>2327.0658340824011</v>
      </c>
      <c r="Y67">
        <v>-0.41315872505858731</v>
      </c>
      <c r="Z67">
        <v>0.1165040972992346</v>
      </c>
      <c r="AA67">
        <v>-3.5463021012678291</v>
      </c>
      <c r="AB67">
        <v>3.9067805507938028E-4</v>
      </c>
      <c r="AC67">
        <v>1.631874660457016E-2</v>
      </c>
      <c r="AD67" t="s">
        <v>1056</v>
      </c>
      <c r="AE67" t="s">
        <v>1057</v>
      </c>
      <c r="AF67" t="s">
        <v>1058</v>
      </c>
      <c r="AG67" t="s">
        <v>1059</v>
      </c>
      <c r="AH67" t="s">
        <v>43</v>
      </c>
      <c r="AI67" t="s">
        <v>43</v>
      </c>
      <c r="AJ67" t="s">
        <v>43</v>
      </c>
      <c r="AK67" t="s">
        <v>43</v>
      </c>
      <c r="AL67" t="s">
        <v>43</v>
      </c>
      <c r="AM67" t="s">
        <v>864</v>
      </c>
      <c r="AN67" t="s">
        <v>43</v>
      </c>
    </row>
    <row r="68" spans="1:40" x14ac:dyDescent="0.3">
      <c r="A68" t="s">
        <v>1075</v>
      </c>
      <c r="B68">
        <v>2756</v>
      </c>
      <c r="C68" t="str">
        <f>IF(Y68&lt;0, "Down", "Up")</f>
        <v>Down</v>
      </c>
      <c r="D68" s="7" t="str">
        <f>IF(AC68&lt;0.05, "Sig", "N")</f>
        <v>Sig</v>
      </c>
      <c r="E68" s="1" t="str">
        <f>IF(AND(H68&gt;2,J68&gt;2,L68&gt;2,N68&gt;2),"Y","N")</f>
        <v>Y</v>
      </c>
      <c r="F68" s="1" t="str">
        <f>IF(AND(P68&gt;2,R68&gt;2,T68&gt;2,V68&gt;2),"Y","N")</f>
        <v>Y</v>
      </c>
      <c r="G68" s="1" t="str">
        <f>IF(OR(E68="Y", F68="Y"), "Expressed", "N")</f>
        <v>Expressed</v>
      </c>
      <c r="H68" s="8">
        <v>66.720284852427966</v>
      </c>
      <c r="I68" s="8">
        <v>8181</v>
      </c>
      <c r="J68" s="8">
        <v>35.194248832522057</v>
      </c>
      <c r="K68" s="8">
        <v>9666</v>
      </c>
      <c r="L68" s="8">
        <v>96.996312724559061</v>
      </c>
      <c r="M68" s="8">
        <v>20659</v>
      </c>
      <c r="N68" s="8">
        <v>43.519566176018166</v>
      </c>
      <c r="O68" s="8">
        <v>5517</v>
      </c>
      <c r="P68" s="9">
        <v>21.139575803308858</v>
      </c>
      <c r="Q68" s="9">
        <v>8149</v>
      </c>
      <c r="R68" s="9">
        <v>67.187777485149994</v>
      </c>
      <c r="S68" s="9">
        <v>1649</v>
      </c>
      <c r="T68" s="9">
        <v>23.012839884589059</v>
      </c>
      <c r="U68" s="9">
        <v>1392</v>
      </c>
      <c r="V68" s="9">
        <v>5.0298118712936422</v>
      </c>
      <c r="W68" s="9">
        <v>5438</v>
      </c>
      <c r="X68">
        <v>6529.7199598837942</v>
      </c>
      <c r="Y68">
        <v>-1.4478522748219249</v>
      </c>
      <c r="Z68">
        <v>0.27092619249364369</v>
      </c>
      <c r="AA68">
        <v>-5.3440837945408086</v>
      </c>
      <c r="AB68">
        <v>9.0875524485406213E-8</v>
      </c>
      <c r="AC68">
        <v>4.2969582997679471E-5</v>
      </c>
      <c r="AD68" t="s">
        <v>1076</v>
      </c>
      <c r="AE68" t="s">
        <v>1077</v>
      </c>
      <c r="AF68" t="s">
        <v>1078</v>
      </c>
      <c r="AG68" t="s">
        <v>1079</v>
      </c>
      <c r="AH68" t="s">
        <v>1080</v>
      </c>
      <c r="AJ68" t="s">
        <v>1081</v>
      </c>
      <c r="AK68" t="s">
        <v>1082</v>
      </c>
      <c r="AL68" t="s">
        <v>1083</v>
      </c>
      <c r="AM68" t="s">
        <v>1084</v>
      </c>
      <c r="AN68" t="s">
        <v>43</v>
      </c>
    </row>
    <row r="69" spans="1:40" x14ac:dyDescent="0.3">
      <c r="A69" t="s">
        <v>1085</v>
      </c>
      <c r="B69">
        <v>2976</v>
      </c>
      <c r="C69" t="str">
        <f>IF(Y69&lt;0, "Down", "Up")</f>
        <v>Down</v>
      </c>
      <c r="D69" s="7" t="str">
        <f>IF(AC69&lt;0.05, "Sig", "N")</f>
        <v>Sig</v>
      </c>
      <c r="E69" s="1" t="str">
        <f>IF(AND(H69&gt;2,J69&gt;2,L69&gt;2,N69&gt;2),"Y","N")</f>
        <v>Y</v>
      </c>
      <c r="F69" s="1" t="str">
        <f>IF(AND(P69&gt;2,R69&gt;2,T69&gt;2,V69&gt;2),"Y","N")</f>
        <v>Y</v>
      </c>
      <c r="G69" s="1" t="str">
        <f>IF(OR(E69="Y", F69="Y"), "Expressed", "N")</f>
        <v>Expressed</v>
      </c>
      <c r="H69" s="8">
        <v>37.151350713508293</v>
      </c>
      <c r="I69" s="8">
        <v>4919</v>
      </c>
      <c r="J69" s="8">
        <v>34.811215816393037</v>
      </c>
      <c r="K69" s="8">
        <v>10324</v>
      </c>
      <c r="L69" s="8">
        <v>47.245659587221063</v>
      </c>
      <c r="M69" s="8">
        <v>10866</v>
      </c>
      <c r="N69" s="8">
        <v>31.192898703331139</v>
      </c>
      <c r="O69" s="8">
        <v>4270</v>
      </c>
      <c r="P69" s="9">
        <v>15.151912222584921</v>
      </c>
      <c r="Q69" s="9">
        <v>8121</v>
      </c>
      <c r="R69" s="9">
        <v>62.007147674182967</v>
      </c>
      <c r="S69" s="9">
        <v>3694</v>
      </c>
      <c r="T69" s="9">
        <v>47.7411347686281</v>
      </c>
      <c r="U69" s="9">
        <v>1935</v>
      </c>
      <c r="V69" s="9">
        <v>6.4749998397010886</v>
      </c>
      <c r="W69" s="9">
        <v>8032</v>
      </c>
      <c r="X69">
        <v>5741.8084476039157</v>
      </c>
      <c r="Y69">
        <v>-0.40231959855226501</v>
      </c>
      <c r="Z69">
        <v>0.11274443016460239</v>
      </c>
      <c r="AA69">
        <v>-3.5684210560547789</v>
      </c>
      <c r="AB69">
        <v>3.5913902845579378E-4</v>
      </c>
      <c r="AC69">
        <v>1.5381820490492529E-2</v>
      </c>
      <c r="AD69" t="s">
        <v>1086</v>
      </c>
      <c r="AE69" t="s">
        <v>1087</v>
      </c>
      <c r="AF69" t="s">
        <v>1088</v>
      </c>
      <c r="AG69" t="s">
        <v>812</v>
      </c>
      <c r="AH69" t="s">
        <v>43</v>
      </c>
      <c r="AI69" t="s">
        <v>43</v>
      </c>
      <c r="AJ69" t="s">
        <v>43</v>
      </c>
      <c r="AK69" t="s">
        <v>43</v>
      </c>
      <c r="AL69" t="s">
        <v>43</v>
      </c>
      <c r="AM69" t="s">
        <v>813</v>
      </c>
      <c r="AN69" t="s">
        <v>43</v>
      </c>
    </row>
    <row r="70" spans="1:40" x14ac:dyDescent="0.3">
      <c r="A70" t="s">
        <v>1089</v>
      </c>
      <c r="B70">
        <v>2324</v>
      </c>
      <c r="C70" t="str">
        <f>IF(Y70&lt;0, "Down", "Up")</f>
        <v>Down</v>
      </c>
      <c r="D70" s="7" t="str">
        <f>IF(AC70&lt;0.05, "Sig", "N")</f>
        <v>Sig</v>
      </c>
      <c r="E70" s="1" t="str">
        <f>IF(AND(H70&gt;2,J70&gt;2,L70&gt;2,N70&gt;2),"Y","N")</f>
        <v>Y</v>
      </c>
      <c r="F70" s="1" t="str">
        <f>IF(AND(P70&gt;2,R70&gt;2,T70&gt;2,V70&gt;2),"Y","N")</f>
        <v>Y</v>
      </c>
      <c r="G70" s="1" t="str">
        <f>IF(OR(E70="Y", F70="Y"), "Expressed", "N")</f>
        <v>Expressed</v>
      </c>
      <c r="H70" s="8">
        <v>46.790798073525387</v>
      </c>
      <c r="I70" s="8">
        <v>4838</v>
      </c>
      <c r="J70" s="8">
        <v>33.705171862481173</v>
      </c>
      <c r="K70" s="8">
        <v>7806</v>
      </c>
      <c r="L70" s="8">
        <v>63.512683177310393</v>
      </c>
      <c r="M70" s="8">
        <v>11407</v>
      </c>
      <c r="N70" s="8">
        <v>36.436120108836512</v>
      </c>
      <c r="O70" s="8">
        <v>3895</v>
      </c>
      <c r="P70" s="9">
        <v>17.698800578661679</v>
      </c>
      <c r="Q70" s="9">
        <v>6974</v>
      </c>
      <c r="R70" s="9">
        <v>68.188476916274624</v>
      </c>
      <c r="S70" s="9">
        <v>2351</v>
      </c>
      <c r="T70" s="9">
        <v>38.908570829254323</v>
      </c>
      <c r="U70" s="9">
        <v>1974</v>
      </c>
      <c r="V70" s="9">
        <v>8.45868289510293</v>
      </c>
      <c r="W70" s="9">
        <v>6227</v>
      </c>
      <c r="X70">
        <v>5048.5732252954294</v>
      </c>
      <c r="Y70">
        <v>-0.59159317312864901</v>
      </c>
      <c r="Z70">
        <v>0.1658983652851358</v>
      </c>
      <c r="AA70">
        <v>-3.565997604086427</v>
      </c>
      <c r="AB70">
        <v>3.6247468174934979E-4</v>
      </c>
      <c r="AC70">
        <v>1.5412997168917499E-2</v>
      </c>
      <c r="AD70" t="s">
        <v>1090</v>
      </c>
      <c r="AE70" t="s">
        <v>1091</v>
      </c>
      <c r="AF70" t="s">
        <v>1092</v>
      </c>
      <c r="AG70" t="s">
        <v>1093</v>
      </c>
      <c r="AH70" t="s">
        <v>43</v>
      </c>
      <c r="AI70" t="s">
        <v>43</v>
      </c>
      <c r="AJ70" t="s">
        <v>43</v>
      </c>
      <c r="AK70" t="s">
        <v>43</v>
      </c>
      <c r="AL70" t="s">
        <v>43</v>
      </c>
      <c r="AM70" t="s">
        <v>1094</v>
      </c>
      <c r="AN70" t="s">
        <v>43</v>
      </c>
    </row>
    <row r="71" spans="1:40" x14ac:dyDescent="0.3">
      <c r="A71" t="s">
        <v>1095</v>
      </c>
      <c r="B71">
        <v>2088</v>
      </c>
      <c r="C71" t="str">
        <f>IF(Y71&lt;0, "Down", "Up")</f>
        <v>Down</v>
      </c>
      <c r="D71" s="7" t="str">
        <f>IF(AC71&lt;0.05, "Sig", "N")</f>
        <v>Sig</v>
      </c>
      <c r="E71" s="1" t="str">
        <f>IF(AND(H71&gt;2,J71&gt;2,L71&gt;2,N71&gt;2),"Y","N")</f>
        <v>Y</v>
      </c>
      <c r="F71" s="1" t="str">
        <f>IF(AND(P71&gt;2,R71&gt;2,T71&gt;2,V71&gt;2),"Y","N")</f>
        <v>Y</v>
      </c>
      <c r="G71" s="1" t="str">
        <f>IF(OR(E71="Y", F71="Y"), "Expressed", "N")</f>
        <v>Expressed</v>
      </c>
      <c r="H71" s="8">
        <v>61.369312638995709</v>
      </c>
      <c r="I71" s="8">
        <v>5701</v>
      </c>
      <c r="J71" s="8">
        <v>33.646020565171654</v>
      </c>
      <c r="K71" s="8">
        <v>7001</v>
      </c>
      <c r="L71" s="8">
        <v>103.2389494382731</v>
      </c>
      <c r="M71" s="8">
        <v>16659</v>
      </c>
      <c r="N71" s="8">
        <v>38.930121357822912</v>
      </c>
      <c r="O71" s="8">
        <v>3739</v>
      </c>
      <c r="P71" s="9">
        <v>18.910258621309811</v>
      </c>
      <c r="Q71" s="9">
        <v>6177</v>
      </c>
      <c r="R71" s="9">
        <v>67.222131279830904</v>
      </c>
      <c r="S71" s="9">
        <v>1995</v>
      </c>
      <c r="T71" s="9">
        <v>36.748632199662772</v>
      </c>
      <c r="U71" s="9">
        <v>1337</v>
      </c>
      <c r="V71" s="9">
        <v>6.3766507673192798</v>
      </c>
      <c r="W71" s="9">
        <v>6339</v>
      </c>
      <c r="X71">
        <v>5227.3585432755845</v>
      </c>
      <c r="Y71">
        <v>-1.0398972984827539</v>
      </c>
      <c r="Z71">
        <v>0.25339810634944548</v>
      </c>
      <c r="AA71">
        <v>-4.1038084832753086</v>
      </c>
      <c r="AB71">
        <v>4.0640393139785257E-5</v>
      </c>
      <c r="AC71">
        <v>3.4986633905419499E-3</v>
      </c>
      <c r="AD71" t="s">
        <v>1096</v>
      </c>
      <c r="AE71" t="s">
        <v>1097</v>
      </c>
      <c r="AF71" t="s">
        <v>1098</v>
      </c>
      <c r="AG71" t="s">
        <v>1099</v>
      </c>
      <c r="AH71" t="s">
        <v>43</v>
      </c>
      <c r="AI71" t="s">
        <v>43</v>
      </c>
      <c r="AJ71" t="s">
        <v>43</v>
      </c>
      <c r="AK71" t="s">
        <v>43</v>
      </c>
      <c r="AL71" t="s">
        <v>43</v>
      </c>
      <c r="AM71" t="s">
        <v>1100</v>
      </c>
      <c r="AN71" t="s">
        <v>43</v>
      </c>
    </row>
    <row r="72" spans="1:40" x14ac:dyDescent="0.3">
      <c r="A72" t="s">
        <v>1101</v>
      </c>
      <c r="B72">
        <v>647</v>
      </c>
      <c r="C72" t="str">
        <f>IF(Y72&lt;0, "Down", "Up")</f>
        <v>Down</v>
      </c>
      <c r="D72" s="7" t="str">
        <f>IF(AC72&lt;0.05, "Sig", "N")</f>
        <v>Sig</v>
      </c>
      <c r="E72" s="1" t="str">
        <f>IF(AND(H72&gt;2,J72&gt;2,L72&gt;2,N72&gt;2),"Y","N")</f>
        <v>Y</v>
      </c>
      <c r="F72" s="1" t="str">
        <f>IF(AND(P72&gt;2,R72&gt;2,T72&gt;2,V72&gt;2),"Y","N")</f>
        <v>Y</v>
      </c>
      <c r="G72" s="1" t="str">
        <f>IF(OR(E72="Y", F72="Y"), "Expressed", "N")</f>
        <v>Expressed</v>
      </c>
      <c r="H72" s="8">
        <v>48.913539045221341</v>
      </c>
      <c r="I72" s="8">
        <v>1408</v>
      </c>
      <c r="J72" s="8">
        <v>33.562716033794622</v>
      </c>
      <c r="K72" s="8">
        <v>2164</v>
      </c>
      <c r="L72" s="8">
        <v>60.878719640166061</v>
      </c>
      <c r="M72" s="8">
        <v>3044</v>
      </c>
      <c r="N72" s="8">
        <v>38.775938229929857</v>
      </c>
      <c r="O72" s="8">
        <v>1154</v>
      </c>
      <c r="P72" s="9">
        <v>18.835364356360031</v>
      </c>
      <c r="Q72" s="9">
        <v>1743</v>
      </c>
      <c r="R72" s="9">
        <v>61.215059662099968</v>
      </c>
      <c r="S72" s="9">
        <v>560</v>
      </c>
      <c r="T72" s="9">
        <v>33.289902235047961</v>
      </c>
      <c r="U72" s="9">
        <v>484</v>
      </c>
      <c r="V72" s="9">
        <v>7.4495973617914633</v>
      </c>
      <c r="W72" s="9">
        <v>2248</v>
      </c>
      <c r="X72">
        <v>1402.6955829754579</v>
      </c>
      <c r="Y72">
        <v>-0.64293465176555131</v>
      </c>
      <c r="Z72">
        <v>0.18403660617675971</v>
      </c>
      <c r="AA72">
        <v>-3.4935150409589628</v>
      </c>
      <c r="AB72">
        <v>4.7670612922929342E-4</v>
      </c>
      <c r="AC72">
        <v>1.8713568778102541E-2</v>
      </c>
      <c r="AD72" t="s">
        <v>1102</v>
      </c>
      <c r="AE72" t="s">
        <v>1103</v>
      </c>
      <c r="AF72" t="s">
        <v>55</v>
      </c>
      <c r="AG72" t="s">
        <v>43</v>
      </c>
      <c r="AH72" t="s">
        <v>43</v>
      </c>
      <c r="AI72" t="s">
        <v>43</v>
      </c>
      <c r="AJ72" t="s">
        <v>43</v>
      </c>
      <c r="AK72" t="s">
        <v>43</v>
      </c>
      <c r="AL72" t="s">
        <v>43</v>
      </c>
      <c r="AM72" t="s">
        <v>43</v>
      </c>
      <c r="AN72" t="s">
        <v>43</v>
      </c>
    </row>
    <row r="73" spans="1:40" x14ac:dyDescent="0.3">
      <c r="A73" t="s">
        <v>1107</v>
      </c>
      <c r="B73">
        <v>999</v>
      </c>
      <c r="C73" t="str">
        <f>IF(Y73&lt;0, "Down", "Up")</f>
        <v>Down</v>
      </c>
      <c r="D73" s="7" t="str">
        <f>IF(AC73&lt;0.05, "Sig", "N")</f>
        <v>Sig</v>
      </c>
      <c r="E73" s="1" t="str">
        <f>IF(AND(H73&gt;2,J73&gt;2,L73&gt;2,N73&gt;2),"Y","N")</f>
        <v>Y</v>
      </c>
      <c r="F73" s="1" t="str">
        <f>IF(AND(P73&gt;2,R73&gt;2,T73&gt;2,V73&gt;2),"Y","N")</f>
        <v>Y</v>
      </c>
      <c r="G73" s="1" t="str">
        <f>IF(OR(E73="Y", F73="Y"), "Expressed", "N")</f>
        <v>Expressed</v>
      </c>
      <c r="H73" s="8">
        <v>46.775637317526908</v>
      </c>
      <c r="I73" s="8">
        <v>2079</v>
      </c>
      <c r="J73" s="8">
        <v>33.18781596423149</v>
      </c>
      <c r="K73" s="8">
        <v>3304</v>
      </c>
      <c r="L73" s="8">
        <v>61.305037000475558</v>
      </c>
      <c r="M73" s="8">
        <v>4733</v>
      </c>
      <c r="N73" s="8">
        <v>27.028185713597189</v>
      </c>
      <c r="O73" s="8">
        <v>1242</v>
      </c>
      <c r="P73" s="9">
        <v>13.12890800444956</v>
      </c>
      <c r="Q73" s="9">
        <v>2450</v>
      </c>
      <c r="R73" s="9">
        <v>55.727013199876737</v>
      </c>
      <c r="S73" s="9">
        <v>1174</v>
      </c>
      <c r="T73" s="9">
        <v>45.199265980075182</v>
      </c>
      <c r="U73" s="9">
        <v>664</v>
      </c>
      <c r="V73" s="9">
        <v>6.619029408343275</v>
      </c>
      <c r="W73" s="9">
        <v>2595</v>
      </c>
      <c r="X73">
        <v>2005.824636550542</v>
      </c>
      <c r="Y73">
        <v>-0.61351733583050694</v>
      </c>
      <c r="Z73">
        <v>0.1892603941031169</v>
      </c>
      <c r="AA73">
        <v>-3.2416572877695549</v>
      </c>
      <c r="AB73">
        <v>1.188368364799881E-3</v>
      </c>
      <c r="AC73">
        <v>3.4262688878779021E-2</v>
      </c>
      <c r="AD73" t="s">
        <v>1108</v>
      </c>
      <c r="AE73" t="s">
        <v>1109</v>
      </c>
      <c r="AF73" t="s">
        <v>1110</v>
      </c>
      <c r="AG73" t="s">
        <v>754</v>
      </c>
      <c r="AH73" t="s">
        <v>43</v>
      </c>
      <c r="AI73" t="s">
        <v>43</v>
      </c>
      <c r="AJ73" t="s">
        <v>43</v>
      </c>
      <c r="AK73" t="s">
        <v>43</v>
      </c>
      <c r="AL73" t="s">
        <v>43</v>
      </c>
      <c r="AM73" t="s">
        <v>755</v>
      </c>
      <c r="AN73" t="s">
        <v>43</v>
      </c>
    </row>
    <row r="74" spans="1:40" x14ac:dyDescent="0.3">
      <c r="A74" t="s">
        <v>1111</v>
      </c>
      <c r="B74">
        <v>1373</v>
      </c>
      <c r="C74" t="str">
        <f>IF(Y74&lt;0, "Down", "Up")</f>
        <v>Down</v>
      </c>
      <c r="D74" s="7" t="str">
        <f>IF(AC74&lt;0.05, "Sig", "N")</f>
        <v>Sig</v>
      </c>
      <c r="E74" s="1" t="str">
        <f>IF(AND(H74&gt;2,J74&gt;2,L74&gt;2,N74&gt;2),"Y","N")</f>
        <v>Y</v>
      </c>
      <c r="F74" s="1" t="str">
        <f>IF(AND(P74&gt;2,R74&gt;2,T74&gt;2,V74&gt;2),"Y","N")</f>
        <v>Y</v>
      </c>
      <c r="G74" s="1" t="str">
        <f>IF(OR(E74="Y", F74="Y"), "Expressed", "N")</f>
        <v>Expressed</v>
      </c>
      <c r="H74" s="8">
        <v>49.56967208507718</v>
      </c>
      <c r="I74" s="8">
        <v>3028</v>
      </c>
      <c r="J74" s="8">
        <v>32.874036769949797</v>
      </c>
      <c r="K74" s="8">
        <v>4498</v>
      </c>
      <c r="L74" s="8">
        <v>59.345569072984262</v>
      </c>
      <c r="M74" s="8">
        <v>6297</v>
      </c>
      <c r="N74" s="8">
        <v>35.420626101661313</v>
      </c>
      <c r="O74" s="8">
        <v>2237</v>
      </c>
      <c r="P74" s="9">
        <v>17.2055256122785</v>
      </c>
      <c r="Q74" s="9">
        <v>3992</v>
      </c>
      <c r="R74" s="9">
        <v>66.067088145194958</v>
      </c>
      <c r="S74" s="9">
        <v>1556</v>
      </c>
      <c r="T74" s="9">
        <v>43.588088982538629</v>
      </c>
      <c r="U74" s="9">
        <v>1134</v>
      </c>
      <c r="V74" s="9">
        <v>8.2249683764689632</v>
      </c>
      <c r="W74" s="9">
        <v>4274</v>
      </c>
      <c r="X74">
        <v>3011.00736570656</v>
      </c>
      <c r="Y74">
        <v>-0.50359842052206183</v>
      </c>
      <c r="Z74">
        <v>0.1538293208813101</v>
      </c>
      <c r="AA74">
        <v>-3.2737479281379831</v>
      </c>
      <c r="AB74">
        <v>1.061312406644232E-3</v>
      </c>
      <c r="AC74">
        <v>3.2018381724319707E-2</v>
      </c>
      <c r="AD74" t="s">
        <v>1112</v>
      </c>
      <c r="AE74" t="s">
        <v>1113</v>
      </c>
      <c r="AF74" t="s">
        <v>1114</v>
      </c>
      <c r="AG74" t="s">
        <v>1115</v>
      </c>
      <c r="AH74" t="s">
        <v>43</v>
      </c>
      <c r="AI74" t="s">
        <v>43</v>
      </c>
      <c r="AJ74" t="s">
        <v>43</v>
      </c>
      <c r="AK74" t="s">
        <v>43</v>
      </c>
      <c r="AL74" t="s">
        <v>43</v>
      </c>
      <c r="AM74" t="s">
        <v>731</v>
      </c>
      <c r="AN74" t="s">
        <v>43</v>
      </c>
    </row>
    <row r="75" spans="1:40" x14ac:dyDescent="0.3">
      <c r="A75" t="s">
        <v>1116</v>
      </c>
      <c r="B75">
        <v>1638</v>
      </c>
      <c r="C75" t="str">
        <f>IF(Y75&lt;0, "Down", "Up")</f>
        <v>Down</v>
      </c>
      <c r="D75" s="7" t="str">
        <f>IF(AC75&lt;0.05, "Sig", "N")</f>
        <v>Sig</v>
      </c>
      <c r="E75" s="1" t="str">
        <f>IF(AND(H75&gt;2,J75&gt;2,L75&gt;2,N75&gt;2),"Y","N")</f>
        <v>Y</v>
      </c>
      <c r="F75" s="1" t="str">
        <f>IF(AND(P75&gt;2,R75&gt;2,T75&gt;2,V75&gt;2),"Y","N")</f>
        <v>Y</v>
      </c>
      <c r="G75" s="1" t="str">
        <f>IF(OR(E75="Y", F75="Y"), "Expressed", "N")</f>
        <v>Expressed</v>
      </c>
      <c r="H75" s="8">
        <v>35.539930895601252</v>
      </c>
      <c r="I75" s="8">
        <v>2590</v>
      </c>
      <c r="J75" s="8">
        <v>31.801034953313579</v>
      </c>
      <c r="K75" s="8">
        <v>5191</v>
      </c>
      <c r="L75" s="8">
        <v>38.013412981959739</v>
      </c>
      <c r="M75" s="8">
        <v>4812</v>
      </c>
      <c r="N75" s="8">
        <v>26.3057409768134</v>
      </c>
      <c r="O75" s="8">
        <v>1982</v>
      </c>
      <c r="P75" s="9">
        <v>12.777981361128409</v>
      </c>
      <c r="Q75" s="9">
        <v>2310</v>
      </c>
      <c r="R75" s="9">
        <v>32.045219678359267</v>
      </c>
      <c r="S75" s="9">
        <v>1401</v>
      </c>
      <c r="T75" s="9">
        <v>32.896751276875669</v>
      </c>
      <c r="U75" s="9">
        <v>682</v>
      </c>
      <c r="V75" s="9">
        <v>4.1463140827353584</v>
      </c>
      <c r="W75" s="9">
        <v>2511</v>
      </c>
      <c r="X75">
        <v>2404.86047521501</v>
      </c>
      <c r="Y75">
        <v>-0.94573328151440705</v>
      </c>
      <c r="Z75">
        <v>0.15190430637616281</v>
      </c>
      <c r="AA75">
        <v>-6.2258490498121493</v>
      </c>
      <c r="AB75">
        <v>4.7895504421583911E-10</v>
      </c>
      <c r="AC75">
        <v>7.0771594720942927E-7</v>
      </c>
      <c r="AD75" t="s">
        <v>1117</v>
      </c>
      <c r="AE75" t="s">
        <v>1118</v>
      </c>
      <c r="AF75" t="s">
        <v>55</v>
      </c>
      <c r="AG75" t="s">
        <v>1119</v>
      </c>
      <c r="AH75" t="s">
        <v>43</v>
      </c>
      <c r="AI75" t="s">
        <v>43</v>
      </c>
      <c r="AJ75" t="s">
        <v>43</v>
      </c>
      <c r="AK75" t="s">
        <v>43</v>
      </c>
      <c r="AL75" t="s">
        <v>43</v>
      </c>
      <c r="AM75" t="s">
        <v>1120</v>
      </c>
      <c r="AN75" t="s">
        <v>43</v>
      </c>
    </row>
    <row r="76" spans="1:40" x14ac:dyDescent="0.3">
      <c r="A76" t="s">
        <v>1121</v>
      </c>
      <c r="B76">
        <v>3474</v>
      </c>
      <c r="C76" t="str">
        <f>IF(Y76&lt;0, "Down", "Up")</f>
        <v>Down</v>
      </c>
      <c r="D76" s="7" t="str">
        <f>IF(AC76&lt;0.05, "Sig", "N")</f>
        <v>Sig</v>
      </c>
      <c r="E76" s="1" t="str">
        <f>IF(AND(H76&gt;2,J76&gt;2,L76&gt;2,N76&gt;2),"Y","N")</f>
        <v>Y</v>
      </c>
      <c r="F76" s="1" t="str">
        <f>IF(AND(P76&gt;2,R76&gt;2,T76&gt;2,V76&gt;2),"Y","N")</f>
        <v>Y</v>
      </c>
      <c r="G76" s="1" t="str">
        <f>IF(OR(E76="Y", F76="Y"), "Expressed", "N")</f>
        <v>Expressed</v>
      </c>
      <c r="H76" s="8">
        <v>47.76116802026705</v>
      </c>
      <c r="I76" s="8">
        <v>7382</v>
      </c>
      <c r="J76" s="8">
        <v>31.490567431428492</v>
      </c>
      <c r="K76" s="8">
        <v>10902</v>
      </c>
      <c r="L76" s="8">
        <v>69.782901976221396</v>
      </c>
      <c r="M76" s="8">
        <v>18735</v>
      </c>
      <c r="N76" s="8">
        <v>58.261364751588332</v>
      </c>
      <c r="O76" s="8">
        <v>9310</v>
      </c>
      <c r="P76" s="9">
        <v>28.3003863501085</v>
      </c>
      <c r="Q76" s="9">
        <v>8216</v>
      </c>
      <c r="R76" s="9">
        <v>53.739767991932737</v>
      </c>
      <c r="S76" s="9">
        <v>3492</v>
      </c>
      <c r="T76" s="9">
        <v>38.661009888404422</v>
      </c>
      <c r="U76" s="9">
        <v>2280</v>
      </c>
      <c r="V76" s="9">
        <v>6.5357698774249178</v>
      </c>
      <c r="W76" s="9">
        <v>7152</v>
      </c>
      <c r="X76">
        <v>7707.6084282946003</v>
      </c>
      <c r="Y76">
        <v>-1.077669002335703</v>
      </c>
      <c r="Z76">
        <v>0.18869028429292189</v>
      </c>
      <c r="AA76">
        <v>-5.7113115620872907</v>
      </c>
      <c r="AB76">
        <v>1.121087858746086E-8</v>
      </c>
      <c r="AC76">
        <v>7.1634484206689076E-6</v>
      </c>
      <c r="AD76" t="s">
        <v>1122</v>
      </c>
      <c r="AE76" t="s">
        <v>1123</v>
      </c>
      <c r="AF76" t="s">
        <v>55</v>
      </c>
      <c r="AG76" t="s">
        <v>1124</v>
      </c>
      <c r="AH76" t="s">
        <v>43</v>
      </c>
      <c r="AI76" t="s">
        <v>43</v>
      </c>
      <c r="AJ76" t="s">
        <v>43</v>
      </c>
      <c r="AK76" t="s">
        <v>43</v>
      </c>
      <c r="AL76" t="s">
        <v>43</v>
      </c>
      <c r="AM76" t="s">
        <v>1125</v>
      </c>
      <c r="AN76" t="s">
        <v>43</v>
      </c>
    </row>
    <row r="77" spans="1:40" x14ac:dyDescent="0.3">
      <c r="A77" t="s">
        <v>1126</v>
      </c>
      <c r="B77">
        <v>1059</v>
      </c>
      <c r="C77" t="str">
        <f>IF(Y77&lt;0, "Down", "Up")</f>
        <v>Down</v>
      </c>
      <c r="D77" s="7" t="str">
        <f>IF(AC77&lt;0.05, "Sig", "N")</f>
        <v>Sig</v>
      </c>
      <c r="E77" s="1" t="str">
        <f>IF(AND(H77&gt;2,J77&gt;2,L77&gt;2,N77&gt;2),"Y","N")</f>
        <v>Y</v>
      </c>
      <c r="F77" s="1" t="str">
        <f>IF(AND(P77&gt;2,R77&gt;2,T77&gt;2,V77&gt;2),"Y","N")</f>
        <v>Y</v>
      </c>
      <c r="G77" s="1" t="str">
        <f>IF(OR(E77="Y", F77="Y"), "Expressed", "N")</f>
        <v>Expressed</v>
      </c>
      <c r="H77" s="8">
        <v>37.864271219544491</v>
      </c>
      <c r="I77" s="8">
        <v>1784</v>
      </c>
      <c r="J77" s="8">
        <v>31.30748644784444</v>
      </c>
      <c r="K77" s="8">
        <v>3304</v>
      </c>
      <c r="L77" s="8">
        <v>37.145205567276363</v>
      </c>
      <c r="M77" s="8">
        <v>3040</v>
      </c>
      <c r="N77" s="8">
        <v>29.41785594943212</v>
      </c>
      <c r="O77" s="8">
        <v>1433</v>
      </c>
      <c r="P77" s="9">
        <v>14.289687385636981</v>
      </c>
      <c r="Q77" s="9">
        <v>2324</v>
      </c>
      <c r="R77" s="9">
        <v>49.866092038248269</v>
      </c>
      <c r="S77" s="9">
        <v>1064</v>
      </c>
      <c r="T77" s="9">
        <v>38.643320885311098</v>
      </c>
      <c r="U77" s="9">
        <v>688</v>
      </c>
      <c r="V77" s="9">
        <v>6.4697008155955738</v>
      </c>
      <c r="W77" s="9">
        <v>2717</v>
      </c>
      <c r="X77">
        <v>1836.5396476985411</v>
      </c>
      <c r="Y77">
        <v>-0.44094227008429421</v>
      </c>
      <c r="Z77">
        <v>0.11539385891677489</v>
      </c>
      <c r="AA77">
        <v>-3.8211935559093608</v>
      </c>
      <c r="AB77">
        <v>1.328073658786584E-4</v>
      </c>
      <c r="AC77">
        <v>8.1565860996397743E-3</v>
      </c>
      <c r="AD77" t="s">
        <v>1127</v>
      </c>
      <c r="AE77" t="s">
        <v>1128</v>
      </c>
      <c r="AF77" t="s">
        <v>1129</v>
      </c>
      <c r="AG77" t="s">
        <v>473</v>
      </c>
      <c r="AH77" t="s">
        <v>43</v>
      </c>
      <c r="AI77" t="s">
        <v>43</v>
      </c>
      <c r="AJ77" t="s">
        <v>43</v>
      </c>
      <c r="AK77" t="s">
        <v>43</v>
      </c>
      <c r="AL77" t="s">
        <v>43</v>
      </c>
      <c r="AM77" t="s">
        <v>474</v>
      </c>
      <c r="AN77" t="s">
        <v>43</v>
      </c>
    </row>
    <row r="78" spans="1:40" x14ac:dyDescent="0.3">
      <c r="A78" t="s">
        <v>1130</v>
      </c>
      <c r="B78">
        <v>1768</v>
      </c>
      <c r="C78" t="str">
        <f>IF(Y78&lt;0, "Down", "Up")</f>
        <v>Down</v>
      </c>
      <c r="D78" s="7" t="str">
        <f>IF(AC78&lt;0.05, "Sig", "N")</f>
        <v>Sig</v>
      </c>
      <c r="E78" s="1" t="str">
        <f>IF(AND(H78&gt;2,J78&gt;2,L78&gt;2,N78&gt;2),"Y","N")</f>
        <v>Y</v>
      </c>
      <c r="F78" s="1" t="str">
        <f>IF(AND(P78&gt;2,R78&gt;2,T78&gt;2,V78&gt;2),"Y","N")</f>
        <v>Y</v>
      </c>
      <c r="G78" s="1" t="str">
        <f>IF(OR(E78="Y", F78="Y"), "Expressed", "N")</f>
        <v>Expressed</v>
      </c>
      <c r="H78" s="8">
        <v>45.639712529287621</v>
      </c>
      <c r="I78" s="8">
        <v>3590</v>
      </c>
      <c r="J78" s="8">
        <v>31.040576988620959</v>
      </c>
      <c r="K78" s="8">
        <v>5469</v>
      </c>
      <c r="L78" s="8">
        <v>69.98284943526734</v>
      </c>
      <c r="M78" s="8">
        <v>9562</v>
      </c>
      <c r="N78" s="8">
        <v>32.856021940648631</v>
      </c>
      <c r="O78" s="8">
        <v>2672</v>
      </c>
      <c r="P78" s="9">
        <v>15.959772291853991</v>
      </c>
      <c r="Q78" s="9">
        <v>4326</v>
      </c>
      <c r="R78" s="9">
        <v>55.599312966008902</v>
      </c>
      <c r="S78" s="9">
        <v>1350</v>
      </c>
      <c r="T78" s="9">
        <v>29.368399631547589</v>
      </c>
      <c r="U78" s="9">
        <v>975</v>
      </c>
      <c r="V78" s="9">
        <v>5.4917919297054381</v>
      </c>
      <c r="W78" s="9">
        <v>4296</v>
      </c>
      <c r="X78">
        <v>3467.5278083144872</v>
      </c>
      <c r="Y78">
        <v>-0.93654497859143049</v>
      </c>
      <c r="Z78">
        <v>0.2014432496283742</v>
      </c>
      <c r="AA78">
        <v>-4.6491752904065242</v>
      </c>
      <c r="AB78">
        <v>3.3326489475943201E-6</v>
      </c>
      <c r="AC78">
        <v>5.1835846328305852E-4</v>
      </c>
      <c r="AD78" t="s">
        <v>1131</v>
      </c>
      <c r="AE78" t="s">
        <v>1132</v>
      </c>
      <c r="AF78" t="s">
        <v>1133</v>
      </c>
      <c r="AG78" t="s">
        <v>1134</v>
      </c>
      <c r="AH78" t="s">
        <v>43</v>
      </c>
      <c r="AI78" t="s">
        <v>43</v>
      </c>
      <c r="AJ78" t="s">
        <v>43</v>
      </c>
      <c r="AK78" t="s">
        <v>43</v>
      </c>
      <c r="AL78" t="s">
        <v>43</v>
      </c>
      <c r="AM78" t="s">
        <v>1135</v>
      </c>
      <c r="AN78" t="s">
        <v>43</v>
      </c>
    </row>
    <row r="79" spans="1:40" x14ac:dyDescent="0.3">
      <c r="A79" t="s">
        <v>1136</v>
      </c>
      <c r="B79">
        <v>1914</v>
      </c>
      <c r="C79" t="str">
        <f>IF(Y79&lt;0, "Down", "Up")</f>
        <v>Down</v>
      </c>
      <c r="D79" s="7" t="str">
        <f>IF(AC79&lt;0.05, "Sig", "N")</f>
        <v>Sig</v>
      </c>
      <c r="E79" s="1" t="str">
        <f>IF(AND(H79&gt;2,J79&gt;2,L79&gt;2,N79&gt;2),"Y","N")</f>
        <v>Y</v>
      </c>
      <c r="F79" s="1" t="str">
        <f>IF(AND(P79&gt;2,R79&gt;2,T79&gt;2,V79&gt;2),"Y","N")</f>
        <v>Y</v>
      </c>
      <c r="G79" s="1" t="str">
        <f>IF(OR(E79="Y", F79="Y"), "Expressed", "N")</f>
        <v>Expressed</v>
      </c>
      <c r="H79" s="8">
        <v>50.472543392209381</v>
      </c>
      <c r="I79" s="8">
        <v>4298</v>
      </c>
      <c r="J79" s="8">
        <v>31.03205449485154</v>
      </c>
      <c r="K79" s="8">
        <v>5919</v>
      </c>
      <c r="L79" s="8">
        <v>96.8113390603651</v>
      </c>
      <c r="M79" s="8">
        <v>14320</v>
      </c>
      <c r="N79" s="8">
        <v>46.319735922741181</v>
      </c>
      <c r="O79" s="8">
        <v>4078</v>
      </c>
      <c r="P79" s="9">
        <v>22.499754817584119</v>
      </c>
      <c r="Q79" s="9">
        <v>6073</v>
      </c>
      <c r="R79" s="9">
        <v>72.098547973405118</v>
      </c>
      <c r="S79" s="9">
        <v>2080</v>
      </c>
      <c r="T79" s="9">
        <v>41.797487341243233</v>
      </c>
      <c r="U79" s="9">
        <v>1236</v>
      </c>
      <c r="V79" s="9">
        <v>6.4308481798381427</v>
      </c>
      <c r="W79" s="9">
        <v>5580</v>
      </c>
      <c r="X79">
        <v>4691.5594920982994</v>
      </c>
      <c r="Y79">
        <v>-0.90659638485117167</v>
      </c>
      <c r="Z79">
        <v>0.23702793527909249</v>
      </c>
      <c r="AA79">
        <v>-3.8248503653532842</v>
      </c>
      <c r="AB79">
        <v>1.308515369902373E-4</v>
      </c>
      <c r="AC79">
        <v>8.1276064953187573E-3</v>
      </c>
      <c r="AD79" t="s">
        <v>1137</v>
      </c>
      <c r="AE79" t="s">
        <v>1138</v>
      </c>
      <c r="AF79" t="s">
        <v>1139</v>
      </c>
      <c r="AG79" t="s">
        <v>1140</v>
      </c>
      <c r="AH79" t="s">
        <v>43</v>
      </c>
      <c r="AI79" t="s">
        <v>43</v>
      </c>
      <c r="AJ79" t="s">
        <v>43</v>
      </c>
      <c r="AK79" t="s">
        <v>43</v>
      </c>
      <c r="AL79" t="s">
        <v>43</v>
      </c>
      <c r="AM79" t="s">
        <v>1141</v>
      </c>
      <c r="AN79" t="s">
        <v>43</v>
      </c>
    </row>
    <row r="80" spans="1:40" x14ac:dyDescent="0.3">
      <c r="A80" t="s">
        <v>1148</v>
      </c>
      <c r="B80">
        <v>892</v>
      </c>
      <c r="C80" t="str">
        <f>IF(Y80&lt;0, "Down", "Up")</f>
        <v>Down</v>
      </c>
      <c r="D80" s="7" t="str">
        <f>IF(AC80&lt;0.05, "Sig", "N")</f>
        <v>Sig</v>
      </c>
      <c r="E80" s="1" t="str">
        <f>IF(AND(H80&gt;2,J80&gt;2,L80&gt;2,N80&gt;2),"Y","N")</f>
        <v>Y</v>
      </c>
      <c r="F80" s="1" t="str">
        <f>IF(AND(P80&gt;2,R80&gt;2,T80&gt;2,V80&gt;2),"Y","N")</f>
        <v>Y</v>
      </c>
      <c r="G80" s="1" t="str">
        <f>IF(OR(E80="Y", F80="Y"), "Expressed", "N")</f>
        <v>Expressed</v>
      </c>
      <c r="H80" s="8">
        <v>39.636434504650047</v>
      </c>
      <c r="I80" s="8">
        <v>1573</v>
      </c>
      <c r="J80" s="8">
        <v>30.036583308407788</v>
      </c>
      <c r="K80" s="8">
        <v>2670</v>
      </c>
      <c r="L80" s="8">
        <v>43.200122834527157</v>
      </c>
      <c r="M80" s="8">
        <v>2978</v>
      </c>
      <c r="N80" s="8">
        <v>28.028107382373761</v>
      </c>
      <c r="O80" s="8">
        <v>1150</v>
      </c>
      <c r="P80" s="9">
        <v>13.61461872658727</v>
      </c>
      <c r="Q80" s="9">
        <v>2400</v>
      </c>
      <c r="R80" s="9">
        <v>61.138046512320159</v>
      </c>
      <c r="S80" s="9">
        <v>844</v>
      </c>
      <c r="T80" s="9">
        <v>36.392037022918338</v>
      </c>
      <c r="U80" s="9">
        <v>501</v>
      </c>
      <c r="V80" s="9">
        <v>5.593254632621969</v>
      </c>
      <c r="W80" s="9">
        <v>2310</v>
      </c>
      <c r="X80">
        <v>1578.239935861928</v>
      </c>
      <c r="Y80">
        <v>-0.47177678680648788</v>
      </c>
      <c r="Z80">
        <v>0.14703438650267259</v>
      </c>
      <c r="AA80">
        <v>-3.2086153316109671</v>
      </c>
      <c r="AB80">
        <v>1.333758045167321E-3</v>
      </c>
      <c r="AC80">
        <v>3.6954919544824848E-2</v>
      </c>
      <c r="AD80" t="s">
        <v>1149</v>
      </c>
      <c r="AE80" t="s">
        <v>1150</v>
      </c>
      <c r="AF80" t="s">
        <v>1151</v>
      </c>
      <c r="AG80" t="s">
        <v>1152</v>
      </c>
      <c r="AH80" t="s">
        <v>43</v>
      </c>
      <c r="AI80" t="s">
        <v>43</v>
      </c>
      <c r="AJ80" t="s">
        <v>43</v>
      </c>
      <c r="AK80" t="s">
        <v>43</v>
      </c>
      <c r="AL80" t="s">
        <v>43</v>
      </c>
      <c r="AM80" t="s">
        <v>1153</v>
      </c>
      <c r="AN80" t="s">
        <v>43</v>
      </c>
    </row>
    <row r="81" spans="1:40" x14ac:dyDescent="0.3">
      <c r="A81" t="s">
        <v>1160</v>
      </c>
      <c r="B81">
        <v>2513</v>
      </c>
      <c r="C81" t="str">
        <f>IF(Y81&lt;0, "Down", "Up")</f>
        <v>Down</v>
      </c>
      <c r="D81" s="7" t="str">
        <f>IF(AC81&lt;0.05, "Sig", "N")</f>
        <v>Sig</v>
      </c>
      <c r="E81" s="1" t="str">
        <f>IF(AND(H81&gt;2,J81&gt;2,L81&gt;2,N81&gt;2),"Y","N")</f>
        <v>Y</v>
      </c>
      <c r="F81" s="1" t="str">
        <f>IF(AND(P81&gt;2,R81&gt;2,T81&gt;2,V81&gt;2),"Y","N")</f>
        <v>Y</v>
      </c>
      <c r="G81" s="1" t="str">
        <f>IF(OR(E81="Y", F81="Y"), "Expressed", "N")</f>
        <v>Expressed</v>
      </c>
      <c r="H81" s="8">
        <v>42.529349985060009</v>
      </c>
      <c r="I81" s="8">
        <v>4755</v>
      </c>
      <c r="J81" s="8">
        <v>28.886181688701239</v>
      </c>
      <c r="K81" s="8">
        <v>7234</v>
      </c>
      <c r="L81" s="8">
        <v>36.90886164092835</v>
      </c>
      <c r="M81" s="8">
        <v>7168</v>
      </c>
      <c r="N81" s="8">
        <v>27.596816205954049</v>
      </c>
      <c r="O81" s="8">
        <v>3190</v>
      </c>
      <c r="P81" s="9">
        <v>13.40511956751139</v>
      </c>
      <c r="Q81" s="9">
        <v>5654</v>
      </c>
      <c r="R81" s="9">
        <v>51.124430853353743</v>
      </c>
      <c r="S81" s="9">
        <v>2424</v>
      </c>
      <c r="T81" s="9">
        <v>37.099572076977083</v>
      </c>
      <c r="U81" s="9">
        <v>1508</v>
      </c>
      <c r="V81" s="9">
        <v>5.9758621741845284</v>
      </c>
      <c r="W81" s="9">
        <v>6260</v>
      </c>
      <c r="X81">
        <v>4301.3382764652943</v>
      </c>
      <c r="Y81">
        <v>-0.48639302060338219</v>
      </c>
      <c r="Z81">
        <v>0.14655802876300669</v>
      </c>
      <c r="AA81">
        <v>-3.3187743087750552</v>
      </c>
      <c r="AB81">
        <v>9.0413471854562276E-4</v>
      </c>
      <c r="AC81">
        <v>2.8885882453858942E-2</v>
      </c>
      <c r="AD81" t="s">
        <v>1161</v>
      </c>
      <c r="AE81" t="s">
        <v>1162</v>
      </c>
      <c r="AF81" t="s">
        <v>1163</v>
      </c>
      <c r="AG81" t="s">
        <v>1164</v>
      </c>
      <c r="AH81" t="s">
        <v>43</v>
      </c>
      <c r="AI81" t="s">
        <v>43</v>
      </c>
      <c r="AJ81" t="s">
        <v>43</v>
      </c>
      <c r="AK81" t="s">
        <v>43</v>
      </c>
      <c r="AL81" t="s">
        <v>43</v>
      </c>
      <c r="AM81" t="s">
        <v>1165</v>
      </c>
      <c r="AN81" t="s">
        <v>43</v>
      </c>
    </row>
    <row r="82" spans="1:40" x14ac:dyDescent="0.3">
      <c r="A82" t="s">
        <v>1172</v>
      </c>
      <c r="B82">
        <v>931</v>
      </c>
      <c r="C82" t="str">
        <f>IF(Y82&lt;0, "Down", "Up")</f>
        <v>Down</v>
      </c>
      <c r="D82" s="7" t="str">
        <f>IF(AC82&lt;0.05, "Sig", "N")</f>
        <v>Sig</v>
      </c>
      <c r="E82" s="1" t="str">
        <f>IF(AND(H82&gt;2,J82&gt;2,L82&gt;2,N82&gt;2),"Y","N")</f>
        <v>Y</v>
      </c>
      <c r="F82" s="1" t="str">
        <f>IF(AND(P82&gt;2,R82&gt;2,T82&gt;2,V82&gt;2),"Y","N")</f>
        <v>Y</v>
      </c>
      <c r="G82" s="1" t="str">
        <f>IF(OR(E82="Y", F82="Y"), "Expressed", "N")</f>
        <v>Expressed</v>
      </c>
      <c r="H82" s="8">
        <v>26.653245820669571</v>
      </c>
      <c r="I82" s="8">
        <v>1104</v>
      </c>
      <c r="J82" s="8">
        <v>27.872951703699041</v>
      </c>
      <c r="K82" s="8">
        <v>2586</v>
      </c>
      <c r="L82" s="8">
        <v>32.272876575669002</v>
      </c>
      <c r="M82" s="8">
        <v>2322</v>
      </c>
      <c r="N82" s="8">
        <v>21.553252003573942</v>
      </c>
      <c r="O82" s="8">
        <v>923</v>
      </c>
      <c r="P82" s="9">
        <v>10.46946568112728</v>
      </c>
      <c r="Q82" s="9">
        <v>1193</v>
      </c>
      <c r="R82" s="9">
        <v>29.11762398154519</v>
      </c>
      <c r="S82" s="9">
        <v>404</v>
      </c>
      <c r="T82" s="9">
        <v>16.690158365457101</v>
      </c>
      <c r="U82" s="9">
        <v>203</v>
      </c>
      <c r="V82" s="9">
        <v>2.171391215113609</v>
      </c>
      <c r="W82" s="9">
        <v>1902</v>
      </c>
      <c r="X82">
        <v>1107.7655311784449</v>
      </c>
      <c r="Y82">
        <v>-1.0000938583993511</v>
      </c>
      <c r="Z82">
        <v>0.24188265372719869</v>
      </c>
      <c r="AA82">
        <v>-4.1346241369059973</v>
      </c>
      <c r="AB82">
        <v>3.555360352352692E-5</v>
      </c>
      <c r="AC82">
        <v>3.196039142597808E-3</v>
      </c>
      <c r="AD82" t="s">
        <v>1173</v>
      </c>
      <c r="AE82" t="s">
        <v>1174</v>
      </c>
      <c r="AF82" t="s">
        <v>43</v>
      </c>
      <c r="AG82" t="s">
        <v>1175</v>
      </c>
      <c r="AH82" t="s">
        <v>43</v>
      </c>
      <c r="AI82" t="s">
        <v>43</v>
      </c>
      <c r="AJ82" t="s">
        <v>43</v>
      </c>
      <c r="AK82" t="s">
        <v>43</v>
      </c>
      <c r="AL82" t="s">
        <v>43</v>
      </c>
      <c r="AM82" t="s">
        <v>1176</v>
      </c>
      <c r="AN82" t="s">
        <v>43</v>
      </c>
    </row>
    <row r="83" spans="1:40" x14ac:dyDescent="0.3">
      <c r="A83" t="s">
        <v>1177</v>
      </c>
      <c r="B83">
        <v>2972</v>
      </c>
      <c r="C83" t="str">
        <f>IF(Y83&lt;0, "Down", "Up")</f>
        <v>Down</v>
      </c>
      <c r="D83" s="7" t="str">
        <f>IF(AC83&lt;0.05, "Sig", "N")</f>
        <v>Sig</v>
      </c>
      <c r="E83" s="1" t="str">
        <f>IF(AND(H83&gt;2,J83&gt;2,L83&gt;2,N83&gt;2),"Y","N")</f>
        <v>Y</v>
      </c>
      <c r="F83" s="1" t="str">
        <f>IF(AND(P83&gt;2,R83&gt;2,T83&gt;2,V83&gt;2),"Y","N")</f>
        <v>Y</v>
      </c>
      <c r="G83" s="1" t="str">
        <f>IF(OR(E83="Y", F83="Y"), "Expressed", "N")</f>
        <v>Expressed</v>
      </c>
      <c r="H83" s="8">
        <v>46.012000162878849</v>
      </c>
      <c r="I83" s="8">
        <v>6084</v>
      </c>
      <c r="J83" s="8">
        <v>27.473857011938978</v>
      </c>
      <c r="K83" s="8">
        <v>8137</v>
      </c>
      <c r="L83" s="8">
        <v>51.371416226568932</v>
      </c>
      <c r="M83" s="8">
        <v>11799</v>
      </c>
      <c r="N83" s="8">
        <v>29.179377187276529</v>
      </c>
      <c r="O83" s="8">
        <v>3989</v>
      </c>
      <c r="P83" s="9">
        <v>14.17384661990698</v>
      </c>
      <c r="Q83" s="9">
        <v>6620</v>
      </c>
      <c r="R83" s="9">
        <v>50.61443054300009</v>
      </c>
      <c r="S83" s="9">
        <v>2632</v>
      </c>
      <c r="T83" s="9">
        <v>34.061663427509203</v>
      </c>
      <c r="U83" s="9">
        <v>1978</v>
      </c>
      <c r="V83" s="9">
        <v>6.6277970544019764</v>
      </c>
      <c r="W83" s="9">
        <v>5885</v>
      </c>
      <c r="X83">
        <v>5333.8298125576939</v>
      </c>
      <c r="Y83">
        <v>-0.7222187340358327</v>
      </c>
      <c r="Z83">
        <v>0.18039523584333181</v>
      </c>
      <c r="AA83">
        <v>-4.0035355183274319</v>
      </c>
      <c r="AB83">
        <v>6.2402827204868571E-5</v>
      </c>
      <c r="AC83">
        <v>4.8056274943892602E-3</v>
      </c>
      <c r="AD83" t="s">
        <v>1178</v>
      </c>
      <c r="AE83" t="s">
        <v>1179</v>
      </c>
      <c r="AF83" t="s">
        <v>1180</v>
      </c>
      <c r="AG83" t="s">
        <v>945</v>
      </c>
      <c r="AH83" t="s">
        <v>43</v>
      </c>
      <c r="AI83" t="s">
        <v>43</v>
      </c>
      <c r="AJ83" t="s">
        <v>43</v>
      </c>
      <c r="AK83" t="s">
        <v>43</v>
      </c>
      <c r="AL83" t="s">
        <v>43</v>
      </c>
      <c r="AM83" t="s">
        <v>946</v>
      </c>
      <c r="AN83" t="s">
        <v>43</v>
      </c>
    </row>
    <row r="84" spans="1:40" x14ac:dyDescent="0.3">
      <c r="A84" t="s">
        <v>1181</v>
      </c>
      <c r="B84">
        <v>1613</v>
      </c>
      <c r="C84" t="str">
        <f>IF(Y84&lt;0, "Down", "Up")</f>
        <v>Down</v>
      </c>
      <c r="D84" s="7" t="str">
        <f>IF(AC84&lt;0.05, "Sig", "N")</f>
        <v>Sig</v>
      </c>
      <c r="E84" s="1" t="str">
        <f>IF(AND(H84&gt;2,J84&gt;2,L84&gt;2,N84&gt;2),"Y","N")</f>
        <v>Y</v>
      </c>
      <c r="F84" s="1" t="str">
        <f>IF(AND(P84&gt;2,R84&gt;2,T84&gt;2,V84&gt;2),"Y","N")</f>
        <v>Y</v>
      </c>
      <c r="G84" s="1" t="str">
        <f>IF(OR(E84="Y", F84="Y"), "Expressed", "N")</f>
        <v>Expressed</v>
      </c>
      <c r="H84" s="8">
        <v>35.95142018446807</v>
      </c>
      <c r="I84" s="8">
        <v>2580</v>
      </c>
      <c r="J84" s="8">
        <v>27.447655810716789</v>
      </c>
      <c r="K84" s="8">
        <v>4412</v>
      </c>
      <c r="L84" s="8">
        <v>35.586257153703421</v>
      </c>
      <c r="M84" s="8">
        <v>4436</v>
      </c>
      <c r="N84" s="8">
        <v>22.777870733324779</v>
      </c>
      <c r="O84" s="8">
        <v>1690</v>
      </c>
      <c r="P84" s="9">
        <v>11.064322724577901</v>
      </c>
      <c r="Q84" s="9">
        <v>2952</v>
      </c>
      <c r="R84" s="9">
        <v>41.586000689062111</v>
      </c>
      <c r="S84" s="9">
        <v>804</v>
      </c>
      <c r="T84" s="9">
        <v>19.171251067050221</v>
      </c>
      <c r="U84" s="9">
        <v>648</v>
      </c>
      <c r="V84" s="9">
        <v>4.0006665772356342</v>
      </c>
      <c r="W84" s="9">
        <v>3120</v>
      </c>
      <c r="X84">
        <v>2237.7461249125272</v>
      </c>
      <c r="Y84">
        <v>-0.84531926930057788</v>
      </c>
      <c r="Z84">
        <v>0.18726994378413869</v>
      </c>
      <c r="AA84">
        <v>-4.5139078499161398</v>
      </c>
      <c r="AB84">
        <v>6.3643879073546356E-6</v>
      </c>
      <c r="AC84">
        <v>8.6975062951259144E-4</v>
      </c>
      <c r="AD84" t="s">
        <v>1182</v>
      </c>
      <c r="AE84" t="s">
        <v>1183</v>
      </c>
      <c r="AF84" t="s">
        <v>43</v>
      </c>
      <c r="AG84" t="s">
        <v>1184</v>
      </c>
      <c r="AH84" t="s">
        <v>43</v>
      </c>
      <c r="AI84" t="s">
        <v>43</v>
      </c>
      <c r="AJ84" t="s">
        <v>43</v>
      </c>
      <c r="AK84" t="s">
        <v>43</v>
      </c>
      <c r="AL84" t="s">
        <v>43</v>
      </c>
      <c r="AM84" t="s">
        <v>1042</v>
      </c>
      <c r="AN84" t="s">
        <v>43</v>
      </c>
    </row>
    <row r="85" spans="1:40" x14ac:dyDescent="0.3">
      <c r="A85" t="s">
        <v>1194</v>
      </c>
      <c r="B85">
        <v>1079</v>
      </c>
      <c r="C85" t="str">
        <f>IF(Y85&lt;0, "Down", "Up")</f>
        <v>Down</v>
      </c>
      <c r="D85" s="7" t="str">
        <f>IF(AC85&lt;0.05, "Sig", "N")</f>
        <v>Sig</v>
      </c>
      <c r="E85" s="1" t="str">
        <f>IF(AND(H85&gt;2,J85&gt;2,L85&gt;2,N85&gt;2),"Y","N")</f>
        <v>Y</v>
      </c>
      <c r="F85" s="1" t="str">
        <f>IF(AND(P85&gt;2,R85&gt;2,T85&gt;2,V85&gt;2),"Y","N")</f>
        <v>Y</v>
      </c>
      <c r="G85" s="1" t="str">
        <f>IF(OR(E85="Y", F85="Y"), "Expressed", "N")</f>
        <v>Expressed</v>
      </c>
      <c r="H85" s="8">
        <v>30.163228878637291</v>
      </c>
      <c r="I85" s="8">
        <v>1448</v>
      </c>
      <c r="J85" s="8">
        <v>26.737483345451569</v>
      </c>
      <c r="K85" s="8">
        <v>2875</v>
      </c>
      <c r="L85" s="8">
        <v>31.01217446441585</v>
      </c>
      <c r="M85" s="8">
        <v>2586</v>
      </c>
      <c r="N85" s="8">
        <v>23.77504509521</v>
      </c>
      <c r="O85" s="8">
        <v>1180</v>
      </c>
      <c r="P85" s="9">
        <v>11.548698945768381</v>
      </c>
      <c r="Q85" s="9">
        <v>2105</v>
      </c>
      <c r="R85" s="9">
        <v>44.329805535342551</v>
      </c>
      <c r="S85" s="9">
        <v>772</v>
      </c>
      <c r="T85" s="9">
        <v>27.518491870731321</v>
      </c>
      <c r="U85" s="9">
        <v>505</v>
      </c>
      <c r="V85" s="9">
        <v>4.660812724524801</v>
      </c>
      <c r="W85" s="9">
        <v>2155</v>
      </c>
      <c r="X85">
        <v>1499.825905002675</v>
      </c>
      <c r="Y85">
        <v>-0.52737592516686915</v>
      </c>
      <c r="Z85">
        <v>0.1200826346089129</v>
      </c>
      <c r="AA85">
        <v>-4.3917751045722468</v>
      </c>
      <c r="AB85">
        <v>1.1242896130288651E-5</v>
      </c>
      <c r="AC85">
        <v>1.3363730457348129E-3</v>
      </c>
      <c r="AD85" t="s">
        <v>1195</v>
      </c>
      <c r="AE85" t="s">
        <v>1196</v>
      </c>
      <c r="AF85" t="s">
        <v>1197</v>
      </c>
      <c r="AG85" t="s">
        <v>1198</v>
      </c>
      <c r="AH85" t="s">
        <v>43</v>
      </c>
      <c r="AI85" t="s">
        <v>43</v>
      </c>
      <c r="AJ85" t="s">
        <v>43</v>
      </c>
      <c r="AK85" t="s">
        <v>43</v>
      </c>
      <c r="AL85" t="s">
        <v>43</v>
      </c>
      <c r="AM85" t="s">
        <v>1199</v>
      </c>
      <c r="AN85" t="s">
        <v>43</v>
      </c>
    </row>
    <row r="86" spans="1:40" x14ac:dyDescent="0.3">
      <c r="A86" t="s">
        <v>1200</v>
      </c>
      <c r="B86">
        <v>1048</v>
      </c>
      <c r="C86" t="str">
        <f>IF(Y86&lt;0, "Down", "Up")</f>
        <v>Down</v>
      </c>
      <c r="D86" s="7" t="str">
        <f>IF(AC86&lt;0.05, "Sig", "N")</f>
        <v>Sig</v>
      </c>
      <c r="E86" s="1" t="str">
        <f>IF(AND(H86&gt;2,J86&gt;2,L86&gt;2,N86&gt;2),"Y","N")</f>
        <v>Y</v>
      </c>
      <c r="F86" s="1" t="str">
        <f>IF(AND(P86&gt;2,R86&gt;2,T86&gt;2,V86&gt;2),"Y","N")</f>
        <v>Y</v>
      </c>
      <c r="G86" s="1" t="str">
        <f>IF(OR(E86="Y", F86="Y"), "Expressed", "N")</f>
        <v>Expressed</v>
      </c>
      <c r="H86" s="8">
        <v>45.618071295380823</v>
      </c>
      <c r="I86" s="8">
        <v>2127</v>
      </c>
      <c r="J86" s="8">
        <v>26.695349402230789</v>
      </c>
      <c r="K86" s="8">
        <v>2788</v>
      </c>
      <c r="L86" s="8">
        <v>49.635215647881182</v>
      </c>
      <c r="M86" s="8">
        <v>4020</v>
      </c>
      <c r="N86" s="8">
        <v>31.448410907880291</v>
      </c>
      <c r="O86" s="8">
        <v>1516</v>
      </c>
      <c r="P86" s="9">
        <v>15.27602696203088</v>
      </c>
      <c r="Q86" s="9">
        <v>2512</v>
      </c>
      <c r="R86" s="9">
        <v>54.465754362413257</v>
      </c>
      <c r="S86" s="9">
        <v>683</v>
      </c>
      <c r="T86" s="9">
        <v>25.066182332964029</v>
      </c>
      <c r="U86" s="9">
        <v>576</v>
      </c>
      <c r="V86" s="9">
        <v>5.4733462163537556</v>
      </c>
      <c r="W86" s="9">
        <v>2215</v>
      </c>
      <c r="X86">
        <v>1822.775488274885</v>
      </c>
      <c r="Y86">
        <v>-0.83475501663424212</v>
      </c>
      <c r="Z86">
        <v>0.19481771496070899</v>
      </c>
      <c r="AA86">
        <v>-4.2848003673721173</v>
      </c>
      <c r="AB86">
        <v>1.8290334843389269E-5</v>
      </c>
      <c r="AC86">
        <v>2.0112562621739959E-3</v>
      </c>
      <c r="AD86" t="s">
        <v>1201</v>
      </c>
      <c r="AE86" t="s">
        <v>1202</v>
      </c>
      <c r="AF86" t="s">
        <v>1203</v>
      </c>
      <c r="AG86" t="s">
        <v>1204</v>
      </c>
      <c r="AH86" t="s">
        <v>43</v>
      </c>
      <c r="AI86" t="s">
        <v>43</v>
      </c>
      <c r="AJ86" t="s">
        <v>43</v>
      </c>
      <c r="AK86" t="s">
        <v>43</v>
      </c>
      <c r="AL86" t="s">
        <v>43</v>
      </c>
      <c r="AM86" t="s">
        <v>1205</v>
      </c>
      <c r="AN86" t="s">
        <v>43</v>
      </c>
    </row>
    <row r="87" spans="1:40" x14ac:dyDescent="0.3">
      <c r="A87" t="s">
        <v>1218</v>
      </c>
      <c r="B87">
        <v>3110</v>
      </c>
      <c r="C87" t="str">
        <f>IF(Y87&lt;0, "Down", "Up")</f>
        <v>Down</v>
      </c>
      <c r="D87" s="7" t="str">
        <f>IF(AC87&lt;0.05, "Sig", "N")</f>
        <v>Sig</v>
      </c>
      <c r="E87" s="1" t="str">
        <f>IF(AND(H87&gt;2,J87&gt;2,L87&gt;2,N87&gt;2),"Y","N")</f>
        <v>Y</v>
      </c>
      <c r="F87" s="1" t="str">
        <f>IF(AND(P87&gt;2,R87&gt;2,T87&gt;2,V87&gt;2),"Y","N")</f>
        <v>Y</v>
      </c>
      <c r="G87" s="1" t="str">
        <f>IF(OR(E87="Y", F87="Y"), "Expressed", "N")</f>
        <v>Expressed</v>
      </c>
      <c r="H87" s="8">
        <v>30.852934568903532</v>
      </c>
      <c r="I87" s="8">
        <v>4269</v>
      </c>
      <c r="J87" s="8">
        <v>26.487074273133409</v>
      </c>
      <c r="K87" s="8">
        <v>8209</v>
      </c>
      <c r="L87" s="8">
        <v>29.13727144909322</v>
      </c>
      <c r="M87" s="8">
        <v>7003</v>
      </c>
      <c r="N87" s="8">
        <v>24.03290501806126</v>
      </c>
      <c r="O87" s="8">
        <v>3438</v>
      </c>
      <c r="P87" s="9">
        <v>11.67395408649525</v>
      </c>
      <c r="Q87" s="9">
        <v>5870</v>
      </c>
      <c r="R87" s="9">
        <v>42.888700034883293</v>
      </c>
      <c r="S87" s="9">
        <v>2700</v>
      </c>
      <c r="T87" s="9">
        <v>33.391209355997518</v>
      </c>
      <c r="U87" s="9">
        <v>1798</v>
      </c>
      <c r="V87" s="9">
        <v>5.757328604445922</v>
      </c>
      <c r="W87" s="9">
        <v>6470</v>
      </c>
      <c r="X87">
        <v>4492.3615944374424</v>
      </c>
      <c r="Y87">
        <v>-0.37254264903857792</v>
      </c>
      <c r="Z87">
        <v>0.1172068525067325</v>
      </c>
      <c r="AA87">
        <v>-3.1785057022769081</v>
      </c>
      <c r="AB87">
        <v>1.4803630622435449E-3</v>
      </c>
      <c r="AC87">
        <v>3.9148482681836558E-2</v>
      </c>
      <c r="AD87" t="s">
        <v>1219</v>
      </c>
      <c r="AE87" t="s">
        <v>1220</v>
      </c>
      <c r="AF87" t="s">
        <v>43</v>
      </c>
      <c r="AG87" t="s">
        <v>1221</v>
      </c>
      <c r="AH87" t="s">
        <v>43</v>
      </c>
      <c r="AI87" t="s">
        <v>43</v>
      </c>
      <c r="AJ87" t="s">
        <v>43</v>
      </c>
      <c r="AK87" t="s">
        <v>43</v>
      </c>
      <c r="AL87" t="s">
        <v>43</v>
      </c>
      <c r="AM87" t="s">
        <v>1222</v>
      </c>
      <c r="AN87" t="s">
        <v>43</v>
      </c>
    </row>
    <row r="88" spans="1:40" x14ac:dyDescent="0.3">
      <c r="A88" t="s">
        <v>1228</v>
      </c>
      <c r="B88">
        <v>1527</v>
      </c>
      <c r="C88" t="str">
        <f>IF(Y88&lt;0, "Down", "Up")</f>
        <v>Down</v>
      </c>
      <c r="D88" s="7" t="str">
        <f>IF(AC88&lt;0.05, "Sig", "N")</f>
        <v>Sig</v>
      </c>
      <c r="E88" s="1" t="str">
        <f>IF(AND(H88&gt;2,J88&gt;2,L88&gt;2,N88&gt;2),"Y","N")</f>
        <v>Y</v>
      </c>
      <c r="F88" s="1" t="str">
        <f>IF(AND(P88&gt;2,R88&gt;2,T88&gt;2,V88&gt;2),"Y","N")</f>
        <v>Y</v>
      </c>
      <c r="G88" s="1" t="str">
        <f>IF(OR(E88="Y", F88="Y"), "Expressed", "N")</f>
        <v>Expressed</v>
      </c>
      <c r="H88" s="8">
        <v>38.035066913769583</v>
      </c>
      <c r="I88" s="8">
        <v>2584</v>
      </c>
      <c r="J88" s="8">
        <v>25.970602290718681</v>
      </c>
      <c r="K88" s="8">
        <v>3952</v>
      </c>
      <c r="L88" s="8">
        <v>51.479270957556729</v>
      </c>
      <c r="M88" s="8">
        <v>6075</v>
      </c>
      <c r="N88" s="8">
        <v>24.72985489631812</v>
      </c>
      <c r="O88" s="8">
        <v>1737</v>
      </c>
      <c r="P88" s="9">
        <v>12.01249663360907</v>
      </c>
      <c r="Q88" s="9">
        <v>3449</v>
      </c>
      <c r="R88" s="9">
        <v>51.323861929580083</v>
      </c>
      <c r="S88" s="9">
        <v>1149</v>
      </c>
      <c r="T88" s="9">
        <v>28.94074889049649</v>
      </c>
      <c r="U88" s="9">
        <v>984</v>
      </c>
      <c r="V88" s="9">
        <v>6.4172325972573727</v>
      </c>
      <c r="W88" s="9">
        <v>3017</v>
      </c>
      <c r="X88">
        <v>2534.7893860246691</v>
      </c>
      <c r="Y88">
        <v>-0.63983964831862628</v>
      </c>
      <c r="Z88">
        <v>0.19391540982207781</v>
      </c>
      <c r="AA88">
        <v>-3.29958123960182</v>
      </c>
      <c r="AB88">
        <v>9.6829196932581745E-4</v>
      </c>
      <c r="AC88">
        <v>3.0081943152169478E-2</v>
      </c>
      <c r="AD88" t="s">
        <v>1229</v>
      </c>
      <c r="AE88" t="s">
        <v>1230</v>
      </c>
      <c r="AF88" t="s">
        <v>1231</v>
      </c>
      <c r="AG88" t="s">
        <v>1232</v>
      </c>
      <c r="AH88" t="s">
        <v>43</v>
      </c>
      <c r="AI88" t="s">
        <v>43</v>
      </c>
      <c r="AJ88" t="s">
        <v>43</v>
      </c>
      <c r="AK88" t="s">
        <v>43</v>
      </c>
      <c r="AL88" t="s">
        <v>43</v>
      </c>
      <c r="AM88" t="s">
        <v>1233</v>
      </c>
      <c r="AN88" t="s">
        <v>43</v>
      </c>
    </row>
    <row r="89" spans="1:40" x14ac:dyDescent="0.3">
      <c r="A89" t="s">
        <v>1234</v>
      </c>
      <c r="B89">
        <v>2796</v>
      </c>
      <c r="C89" t="str">
        <f>IF(Y89&lt;0, "Down", "Up")</f>
        <v>Down</v>
      </c>
      <c r="D89" s="7" t="str">
        <f>IF(AC89&lt;0.05, "Sig", "N")</f>
        <v>Sig</v>
      </c>
      <c r="E89" s="1" t="str">
        <f>IF(AND(H89&gt;2,J89&gt;2,L89&gt;2,N89&gt;2),"Y","N")</f>
        <v>Y</v>
      </c>
      <c r="F89" s="1" t="str">
        <f>IF(AND(P89&gt;2,R89&gt;2,T89&gt;2,V89&gt;2),"Y","N")</f>
        <v>Y</v>
      </c>
      <c r="G89" s="1" t="str">
        <f>IF(OR(E89="Y", F89="Y"), "Expressed", "N")</f>
        <v>Expressed</v>
      </c>
      <c r="H89" s="8">
        <v>30.451137171261831</v>
      </c>
      <c r="I89" s="8">
        <v>3788</v>
      </c>
      <c r="J89" s="8">
        <v>25.858357820089921</v>
      </c>
      <c r="K89" s="8">
        <v>7205</v>
      </c>
      <c r="L89" s="8">
        <v>37.689965556310803</v>
      </c>
      <c r="M89" s="8">
        <v>8144</v>
      </c>
      <c r="N89" s="8">
        <v>23.536183458801169</v>
      </c>
      <c r="O89" s="8">
        <v>3027</v>
      </c>
      <c r="P89" s="9">
        <v>11.432672199340249</v>
      </c>
      <c r="Q89" s="9">
        <v>5054</v>
      </c>
      <c r="R89" s="9">
        <v>41.07364462168475</v>
      </c>
      <c r="S89" s="9">
        <v>2041</v>
      </c>
      <c r="T89" s="9">
        <v>28.075959743984502</v>
      </c>
      <c r="U89" s="9">
        <v>1394</v>
      </c>
      <c r="V89" s="9">
        <v>4.9649779742550111</v>
      </c>
      <c r="W89" s="9">
        <v>5260</v>
      </c>
      <c r="X89">
        <v>3961.558622299151</v>
      </c>
      <c r="Y89">
        <v>-0.6130995447781632</v>
      </c>
      <c r="Z89">
        <v>0.11613033490172769</v>
      </c>
      <c r="AA89">
        <v>-5.2794090820196358</v>
      </c>
      <c r="AB89">
        <v>1.296011662457162E-7</v>
      </c>
      <c r="AC89">
        <v>5.5709650406931307E-5</v>
      </c>
      <c r="AD89" t="s">
        <v>1235</v>
      </c>
      <c r="AE89" t="s">
        <v>1236</v>
      </c>
      <c r="AF89" t="s">
        <v>1237</v>
      </c>
      <c r="AG89" t="s">
        <v>961</v>
      </c>
      <c r="AH89" t="s">
        <v>43</v>
      </c>
      <c r="AI89" t="s">
        <v>43</v>
      </c>
      <c r="AJ89" t="s">
        <v>43</v>
      </c>
      <c r="AK89" t="s">
        <v>43</v>
      </c>
      <c r="AL89" t="s">
        <v>43</v>
      </c>
      <c r="AM89" t="s">
        <v>962</v>
      </c>
      <c r="AN89" t="s">
        <v>43</v>
      </c>
    </row>
    <row r="90" spans="1:40" x14ac:dyDescent="0.3">
      <c r="A90" t="s">
        <v>1247</v>
      </c>
      <c r="B90">
        <v>2526</v>
      </c>
      <c r="C90" t="str">
        <f>IF(Y90&lt;0, "Down", "Up")</f>
        <v>Down</v>
      </c>
      <c r="D90" s="7" t="str">
        <f>IF(AC90&lt;0.05, "Sig", "N")</f>
        <v>Sig</v>
      </c>
      <c r="E90" s="1" t="str">
        <f>IF(AND(H90&gt;2,J90&gt;2,L90&gt;2,N90&gt;2),"Y","N")</f>
        <v>Y</v>
      </c>
      <c r="F90" s="1" t="str">
        <f>IF(AND(P90&gt;2,R90&gt;2,T90&gt;2,V90&gt;2),"Y","N")</f>
        <v>Y</v>
      </c>
      <c r="G90" s="1" t="str">
        <f>IF(OR(E90="Y", F90="Y"), "Expressed", "N")</f>
        <v>Expressed</v>
      </c>
      <c r="H90" s="8">
        <v>43.502819309207077</v>
      </c>
      <c r="I90" s="8">
        <v>4889</v>
      </c>
      <c r="J90" s="8">
        <v>25.642893172155489</v>
      </c>
      <c r="K90" s="8">
        <v>6455</v>
      </c>
      <c r="L90" s="8">
        <v>38.844796661020048</v>
      </c>
      <c r="M90" s="8">
        <v>7583</v>
      </c>
      <c r="N90" s="8">
        <v>24.55439354291914</v>
      </c>
      <c r="O90" s="8">
        <v>2853</v>
      </c>
      <c r="P90" s="9">
        <v>11.927266496761501</v>
      </c>
      <c r="Q90" s="9">
        <v>4986</v>
      </c>
      <c r="R90" s="9">
        <v>44.852235998961149</v>
      </c>
      <c r="S90" s="9">
        <v>1814</v>
      </c>
      <c r="T90" s="9">
        <v>27.620574650337851</v>
      </c>
      <c r="U90" s="9">
        <v>1011</v>
      </c>
      <c r="V90" s="9">
        <v>3.9857451737491632</v>
      </c>
      <c r="W90" s="9">
        <v>5350</v>
      </c>
      <c r="X90">
        <v>3862.5966725333969</v>
      </c>
      <c r="Y90">
        <v>-0.78869384299806911</v>
      </c>
      <c r="Z90">
        <v>0.19109828820362479</v>
      </c>
      <c r="AA90">
        <v>-4.1271633064429976</v>
      </c>
      <c r="AB90">
        <v>3.672655880370192E-5</v>
      </c>
      <c r="AC90">
        <v>3.252019862311314E-3</v>
      </c>
      <c r="AD90" t="s">
        <v>1248</v>
      </c>
      <c r="AE90" t="s">
        <v>1249</v>
      </c>
      <c r="AF90" t="s">
        <v>1250</v>
      </c>
      <c r="AG90" t="s">
        <v>1251</v>
      </c>
      <c r="AH90" t="s">
        <v>43</v>
      </c>
      <c r="AI90" t="s">
        <v>43</v>
      </c>
      <c r="AJ90" t="s">
        <v>43</v>
      </c>
      <c r="AK90" t="s">
        <v>43</v>
      </c>
      <c r="AL90" t="s">
        <v>43</v>
      </c>
      <c r="AM90" t="s">
        <v>1252</v>
      </c>
      <c r="AN90" t="s">
        <v>43</v>
      </c>
    </row>
    <row r="91" spans="1:40" x14ac:dyDescent="0.3">
      <c r="A91" t="s">
        <v>1253</v>
      </c>
      <c r="B91">
        <v>2177</v>
      </c>
      <c r="C91" t="str">
        <f>IF(Y91&lt;0, "Down", "Up")</f>
        <v>Down</v>
      </c>
      <c r="D91" s="7" t="str">
        <f>IF(AC91&lt;0.05, "Sig", "N")</f>
        <v>Sig</v>
      </c>
      <c r="E91" s="1" t="str">
        <f>IF(AND(H91&gt;2,J91&gt;2,L91&gt;2,N91&gt;2),"Y","N")</f>
        <v>Y</v>
      </c>
      <c r="F91" s="1" t="str">
        <f>IF(AND(P91&gt;2,R91&gt;2,T91&gt;2,V91&gt;2),"Y","N")</f>
        <v>Y</v>
      </c>
      <c r="G91" s="1" t="str">
        <f>IF(OR(E91="Y", F91="Y"), "Expressed", "N")</f>
        <v>Expressed</v>
      </c>
      <c r="H91" s="8">
        <v>35.268756312075247</v>
      </c>
      <c r="I91" s="8">
        <v>3416</v>
      </c>
      <c r="J91" s="8">
        <v>25.32411918218591</v>
      </c>
      <c r="K91" s="8">
        <v>5494</v>
      </c>
      <c r="L91" s="8">
        <v>44.513377100071217</v>
      </c>
      <c r="M91" s="8">
        <v>7489</v>
      </c>
      <c r="N91" s="8">
        <v>48.59308394327519</v>
      </c>
      <c r="O91" s="8">
        <v>4866</v>
      </c>
      <c r="P91" s="9">
        <v>23.60403082559872</v>
      </c>
      <c r="Q91" s="9">
        <v>2888</v>
      </c>
      <c r="R91" s="9">
        <v>30.144211657518358</v>
      </c>
      <c r="S91" s="9">
        <v>709</v>
      </c>
      <c r="T91" s="9">
        <v>12.526120335133459</v>
      </c>
      <c r="U91" s="9">
        <v>838</v>
      </c>
      <c r="V91" s="9">
        <v>3.8333397191527752</v>
      </c>
      <c r="W91" s="9">
        <v>2511</v>
      </c>
      <c r="X91">
        <v>3241.3147843673828</v>
      </c>
      <c r="Y91">
        <v>-1.6418479060442679</v>
      </c>
      <c r="Z91">
        <v>0.23049873039541749</v>
      </c>
      <c r="AA91">
        <v>-7.1230236419424076</v>
      </c>
      <c r="AB91">
        <v>1.0558470021175069E-12</v>
      </c>
      <c r="AC91">
        <v>4.1603891373436838E-9</v>
      </c>
      <c r="AD91" t="s">
        <v>1254</v>
      </c>
      <c r="AE91" t="s">
        <v>1255</v>
      </c>
      <c r="AF91" t="s">
        <v>1256</v>
      </c>
      <c r="AG91" t="s">
        <v>1257</v>
      </c>
      <c r="AH91" t="s">
        <v>43</v>
      </c>
      <c r="AI91" t="s">
        <v>43</v>
      </c>
      <c r="AJ91" t="s">
        <v>43</v>
      </c>
      <c r="AK91" t="s">
        <v>43</v>
      </c>
      <c r="AL91" t="s">
        <v>43</v>
      </c>
      <c r="AM91" t="s">
        <v>1258</v>
      </c>
      <c r="AN91" t="s">
        <v>43</v>
      </c>
    </row>
    <row r="92" spans="1:40" x14ac:dyDescent="0.3">
      <c r="A92" t="s">
        <v>1265</v>
      </c>
      <c r="B92">
        <v>1957</v>
      </c>
      <c r="C92" t="str">
        <f>IF(Y92&lt;0, "Down", "Up")</f>
        <v>Down</v>
      </c>
      <c r="D92" s="7" t="str">
        <f>IF(AC92&lt;0.05, "Sig", "N")</f>
        <v>Sig</v>
      </c>
      <c r="E92" s="1" t="str">
        <f>IF(AND(H92&gt;2,J92&gt;2,L92&gt;2,N92&gt;2),"Y","N")</f>
        <v>Y</v>
      </c>
      <c r="F92" s="1" t="str">
        <f>IF(AND(P92&gt;2,R92&gt;2,T92&gt;2,V92&gt;2),"Y","N")</f>
        <v>Y</v>
      </c>
      <c r="G92" s="1" t="str">
        <f>IF(OR(E92="Y", F92="Y"), "Expressed", "N")</f>
        <v>Expressed</v>
      </c>
      <c r="H92" s="8">
        <v>37.809393703747773</v>
      </c>
      <c r="I92" s="8">
        <v>3292</v>
      </c>
      <c r="J92" s="8">
        <v>24.781642765056411</v>
      </c>
      <c r="K92" s="8">
        <v>4833</v>
      </c>
      <c r="L92" s="8">
        <v>62.708420556176868</v>
      </c>
      <c r="M92" s="8">
        <v>9484</v>
      </c>
      <c r="N92" s="8">
        <v>23.328631111800458</v>
      </c>
      <c r="O92" s="8">
        <v>2100</v>
      </c>
      <c r="P92" s="9">
        <v>11.33185390177657</v>
      </c>
      <c r="Q92" s="9">
        <v>4112</v>
      </c>
      <c r="R92" s="9">
        <v>47.744950893102789</v>
      </c>
      <c r="S92" s="9">
        <v>1523</v>
      </c>
      <c r="T92" s="9">
        <v>29.932145735339979</v>
      </c>
      <c r="U92" s="9">
        <v>769</v>
      </c>
      <c r="V92" s="9">
        <v>3.9131566491317562</v>
      </c>
      <c r="W92" s="9">
        <v>3601</v>
      </c>
      <c r="X92">
        <v>3165.916358666238</v>
      </c>
      <c r="Y92">
        <v>-0.92287511607733153</v>
      </c>
      <c r="Z92">
        <v>0.2372583822537527</v>
      </c>
      <c r="AA92">
        <v>-3.889747149545586</v>
      </c>
      <c r="AB92">
        <v>1.003487237587983E-4</v>
      </c>
      <c r="AC92">
        <v>6.6829423298746769E-3</v>
      </c>
      <c r="AD92" t="s">
        <v>1266</v>
      </c>
      <c r="AE92" t="s">
        <v>1267</v>
      </c>
      <c r="AF92" t="s">
        <v>1268</v>
      </c>
      <c r="AG92" t="s">
        <v>1269</v>
      </c>
      <c r="AH92" t="s">
        <v>43</v>
      </c>
      <c r="AI92" t="s">
        <v>43</v>
      </c>
      <c r="AJ92" t="s">
        <v>43</v>
      </c>
      <c r="AK92" t="s">
        <v>43</v>
      </c>
      <c r="AL92" t="s">
        <v>43</v>
      </c>
      <c r="AM92" t="s">
        <v>1270</v>
      </c>
      <c r="AN92" t="s">
        <v>43</v>
      </c>
    </row>
    <row r="93" spans="1:40" x14ac:dyDescent="0.3">
      <c r="A93" t="s">
        <v>1271</v>
      </c>
      <c r="B93">
        <v>649</v>
      </c>
      <c r="C93" t="str">
        <f>IF(Y93&lt;0, "Down", "Up")</f>
        <v>Down</v>
      </c>
      <c r="D93" s="7" t="str">
        <f>IF(AC93&lt;0.05, "Sig", "N")</f>
        <v>Sig</v>
      </c>
      <c r="E93" s="1" t="str">
        <f>IF(AND(H93&gt;2,J93&gt;2,L93&gt;2,N93&gt;2),"Y","N")</f>
        <v>Y</v>
      </c>
      <c r="F93" s="1" t="str">
        <f>IF(AND(P93&gt;2,R93&gt;2,T93&gt;2,V93&gt;2),"Y","N")</f>
        <v>Y</v>
      </c>
      <c r="G93" s="1" t="str">
        <f>IF(OR(E93="Y", F93="Y"), "Expressed", "N")</f>
        <v>Expressed</v>
      </c>
      <c r="H93" s="8">
        <v>26.043770290414201</v>
      </c>
      <c r="I93" s="8">
        <v>752</v>
      </c>
      <c r="J93" s="8">
        <v>24.36776170905005</v>
      </c>
      <c r="K93" s="8">
        <v>1576</v>
      </c>
      <c r="L93" s="8">
        <v>21.951680083740161</v>
      </c>
      <c r="M93" s="8">
        <v>1101</v>
      </c>
      <c r="N93" s="8">
        <v>23.917418442480422</v>
      </c>
      <c r="O93" s="8">
        <v>714</v>
      </c>
      <c r="P93" s="9">
        <v>11.61785662428982</v>
      </c>
      <c r="Q93" s="9">
        <v>1029</v>
      </c>
      <c r="R93" s="9">
        <v>36.027642832672242</v>
      </c>
      <c r="S93" s="9">
        <v>379</v>
      </c>
      <c r="T93" s="9">
        <v>22.460699969081041</v>
      </c>
      <c r="U93" s="9">
        <v>181</v>
      </c>
      <c r="V93" s="9">
        <v>2.7773179279225282</v>
      </c>
      <c r="W93" s="9">
        <v>1262</v>
      </c>
      <c r="X93">
        <v>761.07466398131169</v>
      </c>
      <c r="Y93">
        <v>-0.6370864198087397</v>
      </c>
      <c r="Z93">
        <v>0.20072212316586699</v>
      </c>
      <c r="AA93">
        <v>-3.1739721051190881</v>
      </c>
      <c r="AB93">
        <v>1.5036814126558151E-3</v>
      </c>
      <c r="AC93">
        <v>3.9481017139851513E-2</v>
      </c>
      <c r="AD93" t="s">
        <v>1272</v>
      </c>
      <c r="AE93" t="s">
        <v>1273</v>
      </c>
      <c r="AF93" t="s">
        <v>1274</v>
      </c>
      <c r="AG93" t="s">
        <v>1275</v>
      </c>
      <c r="AH93" t="s">
        <v>43</v>
      </c>
      <c r="AI93" t="s">
        <v>43</v>
      </c>
      <c r="AJ93" t="s">
        <v>43</v>
      </c>
      <c r="AK93" t="s">
        <v>43</v>
      </c>
      <c r="AL93" t="s">
        <v>43</v>
      </c>
      <c r="AM93" t="s">
        <v>1276</v>
      </c>
      <c r="AN93" t="s">
        <v>43</v>
      </c>
    </row>
    <row r="94" spans="1:40" x14ac:dyDescent="0.3">
      <c r="A94" t="s">
        <v>1277</v>
      </c>
      <c r="B94">
        <v>4482</v>
      </c>
      <c r="C94" t="str">
        <f>IF(Y94&lt;0, "Down", "Up")</f>
        <v>Down</v>
      </c>
      <c r="D94" s="7" t="str">
        <f>IF(AC94&lt;0.05, "Sig", "N")</f>
        <v>Sig</v>
      </c>
      <c r="E94" s="1" t="str">
        <f>IF(AND(H94&gt;2,J94&gt;2,L94&gt;2,N94&gt;2),"Y","N")</f>
        <v>Y</v>
      </c>
      <c r="F94" s="1" t="str">
        <f>IF(AND(P94&gt;2,R94&gt;2,T94&gt;2,V94&gt;2),"Y","N")</f>
        <v>Y</v>
      </c>
      <c r="G94" s="1" t="str">
        <f>IF(OR(E94="Y", F94="Y"), "Expressed", "N")</f>
        <v>Expressed</v>
      </c>
      <c r="H94" s="8">
        <v>36.809076370978737</v>
      </c>
      <c r="I94" s="8">
        <v>7340</v>
      </c>
      <c r="J94" s="8">
        <v>23.985201726490789</v>
      </c>
      <c r="K94" s="8">
        <v>10713</v>
      </c>
      <c r="L94" s="8">
        <v>56.407051079279022</v>
      </c>
      <c r="M94" s="8">
        <v>19538</v>
      </c>
      <c r="N94" s="8">
        <v>33.211558991992113</v>
      </c>
      <c r="O94" s="8">
        <v>6847</v>
      </c>
      <c r="P94" s="9">
        <v>16.132473977743079</v>
      </c>
      <c r="Q94" s="9">
        <v>9118</v>
      </c>
      <c r="R94" s="9">
        <v>46.226701586401809</v>
      </c>
      <c r="S94" s="9">
        <v>2676</v>
      </c>
      <c r="T94" s="9">
        <v>22.963761638816951</v>
      </c>
      <c r="U94" s="9">
        <v>1799</v>
      </c>
      <c r="V94" s="9">
        <v>3.997155379114834</v>
      </c>
      <c r="W94" s="9">
        <v>8096</v>
      </c>
      <c r="X94">
        <v>7184.9371402735705</v>
      </c>
      <c r="Y94">
        <v>-1.05775053169311</v>
      </c>
      <c r="Z94">
        <v>0.19888409209097771</v>
      </c>
      <c r="AA94">
        <v>-5.3184270324106766</v>
      </c>
      <c r="AB94">
        <v>1.0466817981964659E-7</v>
      </c>
      <c r="AC94">
        <v>4.6689907684831797E-5</v>
      </c>
      <c r="AD94" t="s">
        <v>1278</v>
      </c>
      <c r="AE94" t="s">
        <v>1279</v>
      </c>
      <c r="AF94" t="s">
        <v>43</v>
      </c>
      <c r="AG94" t="s">
        <v>43</v>
      </c>
      <c r="AH94" t="s">
        <v>43</v>
      </c>
      <c r="AI94" t="s">
        <v>43</v>
      </c>
      <c r="AJ94" t="s">
        <v>43</v>
      </c>
      <c r="AK94" t="s">
        <v>43</v>
      </c>
      <c r="AL94" t="s">
        <v>43</v>
      </c>
      <c r="AM94" t="s">
        <v>43</v>
      </c>
      <c r="AN94" t="s">
        <v>43</v>
      </c>
    </row>
    <row r="95" spans="1:40" x14ac:dyDescent="0.3">
      <c r="A95" t="s">
        <v>1280</v>
      </c>
      <c r="B95">
        <v>530</v>
      </c>
      <c r="C95" t="str">
        <f>IF(Y95&lt;0, "Down", "Up")</f>
        <v>Down</v>
      </c>
      <c r="D95" s="7" t="str">
        <f>IF(AC95&lt;0.05, "Sig", "N")</f>
        <v>Sig</v>
      </c>
      <c r="E95" s="1" t="str">
        <f>IF(AND(H95&gt;2,J95&gt;2,L95&gt;2,N95&gt;2),"Y","N")</f>
        <v>Y</v>
      </c>
      <c r="F95" s="1" t="str">
        <f>IF(AND(P95&gt;2,R95&gt;2,T95&gt;2,V95&gt;2),"Y","N")</f>
        <v>Y</v>
      </c>
      <c r="G95" s="1" t="str">
        <f>IF(OR(E95="Y", F95="Y"), "Expressed", "N")</f>
        <v>Expressed</v>
      </c>
      <c r="H95" s="8">
        <v>83.290664361432135</v>
      </c>
      <c r="I95" s="8">
        <v>1964</v>
      </c>
      <c r="J95" s="8">
        <v>23.704597310081891</v>
      </c>
      <c r="K95" s="8">
        <v>1252</v>
      </c>
      <c r="L95" s="8">
        <v>153.90951779666131</v>
      </c>
      <c r="M95" s="8">
        <v>6304</v>
      </c>
      <c r="N95" s="8">
        <v>686.04253585794822</v>
      </c>
      <c r="O95" s="8">
        <v>16725</v>
      </c>
      <c r="P95" s="9">
        <v>333.24431894394979</v>
      </c>
      <c r="Q95" s="9">
        <v>1778</v>
      </c>
      <c r="R95" s="9">
        <v>76.229146584452423</v>
      </c>
      <c r="S95" s="9">
        <v>833</v>
      </c>
      <c r="T95" s="9">
        <v>60.450222707147347</v>
      </c>
      <c r="U95" s="9">
        <v>336</v>
      </c>
      <c r="V95" s="9">
        <v>6.3132811074168478</v>
      </c>
      <c r="W95" s="9">
        <v>1257</v>
      </c>
      <c r="X95">
        <v>4271.0432819825073</v>
      </c>
      <c r="Y95">
        <v>-2.9708038009864799</v>
      </c>
      <c r="Z95">
        <v>0.92632591404612719</v>
      </c>
      <c r="AA95">
        <v>-3.2070826864922908</v>
      </c>
      <c r="AB95">
        <v>1.340884488521134E-3</v>
      </c>
      <c r="AC95">
        <v>3.6999377481573573E-2</v>
      </c>
      <c r="AD95" t="s">
        <v>1281</v>
      </c>
      <c r="AE95" t="s">
        <v>1282</v>
      </c>
      <c r="AF95" t="s">
        <v>55</v>
      </c>
      <c r="AG95" t="s">
        <v>1283</v>
      </c>
      <c r="AH95" t="s">
        <v>43</v>
      </c>
      <c r="AI95" t="s">
        <v>43</v>
      </c>
      <c r="AJ95" t="s">
        <v>43</v>
      </c>
      <c r="AK95" t="s">
        <v>43</v>
      </c>
      <c r="AL95" t="s">
        <v>43</v>
      </c>
      <c r="AM95" t="s">
        <v>1284</v>
      </c>
      <c r="AN95" t="s">
        <v>43</v>
      </c>
    </row>
    <row r="96" spans="1:40" x14ac:dyDescent="0.3">
      <c r="A96" t="s">
        <v>1291</v>
      </c>
      <c r="B96">
        <v>1343</v>
      </c>
      <c r="C96" t="str">
        <f>IF(Y96&lt;0, "Down", "Up")</f>
        <v>Down</v>
      </c>
      <c r="D96" s="7" t="str">
        <f>IF(AC96&lt;0.05, "Sig", "N")</f>
        <v>Sig</v>
      </c>
      <c r="E96" s="1" t="str">
        <f>IF(AND(H96&gt;2,J96&gt;2,L96&gt;2,N96&gt;2),"Y","N")</f>
        <v>Y</v>
      </c>
      <c r="F96" s="1" t="str">
        <f>IF(AND(P96&gt;2,R96&gt;2,T96&gt;2,V96&gt;2),"Y","N")</f>
        <v>Y</v>
      </c>
      <c r="G96" s="1" t="str">
        <f>IF(OR(E96="Y", F96="Y"), "Expressed", "N")</f>
        <v>Expressed</v>
      </c>
      <c r="H96" s="8">
        <v>32.518275061592362</v>
      </c>
      <c r="I96" s="8">
        <v>1943</v>
      </c>
      <c r="J96" s="8">
        <v>23.536325622373809</v>
      </c>
      <c r="K96" s="8">
        <v>3150</v>
      </c>
      <c r="L96" s="8">
        <v>32.69136011204909</v>
      </c>
      <c r="M96" s="8">
        <v>3393</v>
      </c>
      <c r="N96" s="8">
        <v>22.14475457411109</v>
      </c>
      <c r="O96" s="8">
        <v>1368</v>
      </c>
      <c r="P96" s="9">
        <v>10.756787328065309</v>
      </c>
      <c r="Q96" s="9">
        <v>2402</v>
      </c>
      <c r="R96" s="9">
        <v>40.640791836855612</v>
      </c>
      <c r="S96" s="9">
        <v>1087</v>
      </c>
      <c r="T96" s="9">
        <v>31.130228237667058</v>
      </c>
      <c r="U96" s="9">
        <v>442</v>
      </c>
      <c r="V96" s="9">
        <v>3.2774643482596511</v>
      </c>
      <c r="W96" s="9">
        <v>2604</v>
      </c>
      <c r="X96">
        <v>1799.569389169674</v>
      </c>
      <c r="Y96">
        <v>-0.6156457441067632</v>
      </c>
      <c r="Z96">
        <v>0.1765017466069671</v>
      </c>
      <c r="AA96">
        <v>-3.4880433533481061</v>
      </c>
      <c r="AB96">
        <v>4.8656917742358831E-4</v>
      </c>
      <c r="AC96">
        <v>1.8920178441856041E-2</v>
      </c>
      <c r="AD96" t="s">
        <v>1292</v>
      </c>
      <c r="AE96" t="s">
        <v>1293</v>
      </c>
      <c r="AF96" t="s">
        <v>1294</v>
      </c>
      <c r="AG96" t="s">
        <v>1295</v>
      </c>
      <c r="AH96" t="s">
        <v>43</v>
      </c>
      <c r="AI96" t="s">
        <v>43</v>
      </c>
      <c r="AJ96" t="s">
        <v>43</v>
      </c>
      <c r="AK96" t="s">
        <v>43</v>
      </c>
      <c r="AL96" t="s">
        <v>43</v>
      </c>
      <c r="AM96" t="s">
        <v>130</v>
      </c>
      <c r="AN96" t="s">
        <v>43</v>
      </c>
    </row>
    <row r="97" spans="1:40" x14ac:dyDescent="0.3">
      <c r="A97" t="s">
        <v>1301</v>
      </c>
      <c r="B97">
        <v>1563</v>
      </c>
      <c r="C97" t="str">
        <f>IF(Y97&lt;0, "Down", "Up")</f>
        <v>Down</v>
      </c>
      <c r="D97" s="7" t="str">
        <f>IF(AC97&lt;0.05, "Sig", "N")</f>
        <v>Sig</v>
      </c>
      <c r="E97" s="1" t="str">
        <f>IF(AND(H97&gt;2,J97&gt;2,L97&gt;2,N97&gt;2),"Y","N")</f>
        <v>Y</v>
      </c>
      <c r="F97" s="1" t="str">
        <f>IF(AND(P97&gt;2,R97&gt;2,T97&gt;2,V97&gt;2),"Y","N")</f>
        <v>N</v>
      </c>
      <c r="G97" s="1" t="str">
        <f>IF(OR(E97="Y", F97="Y"), "Expressed", "N")</f>
        <v>Expressed</v>
      </c>
      <c r="H97" s="8">
        <v>16.479967541090449</v>
      </c>
      <c r="I97" s="8">
        <v>1146</v>
      </c>
      <c r="J97" s="8">
        <v>23.074017489197161</v>
      </c>
      <c r="K97" s="8">
        <v>3594</v>
      </c>
      <c r="L97" s="8">
        <v>21.119159163140889</v>
      </c>
      <c r="M97" s="8">
        <v>2551</v>
      </c>
      <c r="N97" s="8">
        <v>12.240086328336311</v>
      </c>
      <c r="O97" s="8">
        <v>880</v>
      </c>
      <c r="P97" s="9">
        <v>5.9456068962262867</v>
      </c>
      <c r="Q97" s="9">
        <v>505</v>
      </c>
      <c r="R97" s="9">
        <v>7.3417158327841063</v>
      </c>
      <c r="S97" s="9">
        <v>383</v>
      </c>
      <c r="T97" s="9">
        <v>9.4247224473849727</v>
      </c>
      <c r="U97" s="9">
        <v>192</v>
      </c>
      <c r="V97" s="9">
        <v>1.223302801181219</v>
      </c>
      <c r="W97" s="9">
        <v>810</v>
      </c>
      <c r="X97">
        <v>1064.174657283646</v>
      </c>
      <c r="Y97">
        <v>-1.8974185538766379</v>
      </c>
      <c r="Z97">
        <v>0.22823589972136951</v>
      </c>
      <c r="AA97">
        <v>-8.3134097492682208</v>
      </c>
      <c r="AB97">
        <v>9.2990746988669344E-17</v>
      </c>
      <c r="AC97">
        <v>7.3282908010204021E-13</v>
      </c>
      <c r="AD97" t="s">
        <v>1302</v>
      </c>
      <c r="AE97" t="s">
        <v>1303</v>
      </c>
      <c r="AF97" t="s">
        <v>1304</v>
      </c>
      <c r="AG97" t="s">
        <v>1305</v>
      </c>
      <c r="AH97" t="s">
        <v>43</v>
      </c>
      <c r="AI97" t="s">
        <v>43</v>
      </c>
      <c r="AJ97" t="s">
        <v>43</v>
      </c>
      <c r="AK97" t="s">
        <v>43</v>
      </c>
      <c r="AL97" t="s">
        <v>43</v>
      </c>
      <c r="AM97" t="s">
        <v>1306</v>
      </c>
      <c r="AN97" t="s">
        <v>43</v>
      </c>
    </row>
    <row r="98" spans="1:40" x14ac:dyDescent="0.3">
      <c r="A98" t="s">
        <v>1313</v>
      </c>
      <c r="B98">
        <v>2230</v>
      </c>
      <c r="C98" t="str">
        <f>IF(Y98&lt;0, "Down", "Up")</f>
        <v>Down</v>
      </c>
      <c r="D98" s="7" t="str">
        <f>IF(AC98&lt;0.05, "Sig", "N")</f>
        <v>Sig</v>
      </c>
      <c r="E98" s="1" t="str">
        <f>IF(AND(H98&gt;2,J98&gt;2,L98&gt;2,N98&gt;2),"Y","N")</f>
        <v>Y</v>
      </c>
      <c r="F98" s="1" t="str">
        <f>IF(AND(P98&gt;2,R98&gt;2,T98&gt;2,V98&gt;2),"Y","N")</f>
        <v>Y</v>
      </c>
      <c r="G98" s="1" t="str">
        <f>IF(OR(E98="Y", F98="Y"), "Expressed", "N")</f>
        <v>Expressed</v>
      </c>
      <c r="H98" s="8">
        <v>28.090716583460821</v>
      </c>
      <c r="I98" s="8">
        <v>2787</v>
      </c>
      <c r="J98" s="8">
        <v>22.9088008424126</v>
      </c>
      <c r="K98" s="8">
        <v>5091</v>
      </c>
      <c r="L98" s="8">
        <v>29.186919792837021</v>
      </c>
      <c r="M98" s="8">
        <v>5030</v>
      </c>
      <c r="N98" s="8">
        <v>20.657933754173911</v>
      </c>
      <c r="O98" s="8">
        <v>2119</v>
      </c>
      <c r="P98" s="9">
        <v>10.03456594143945</v>
      </c>
      <c r="Q98" s="9">
        <v>3927</v>
      </c>
      <c r="R98" s="9">
        <v>40.014851442313542</v>
      </c>
      <c r="S98" s="9">
        <v>1313</v>
      </c>
      <c r="T98" s="9">
        <v>22.645850526583779</v>
      </c>
      <c r="U98" s="9">
        <v>747</v>
      </c>
      <c r="V98" s="9">
        <v>3.3358572539469948</v>
      </c>
      <c r="W98" s="9">
        <v>3093</v>
      </c>
      <c r="X98">
        <v>2644.7369357542439</v>
      </c>
      <c r="Y98">
        <v>-0.72552972277148586</v>
      </c>
      <c r="Z98">
        <v>0.1514784288518137</v>
      </c>
      <c r="AA98">
        <v>-4.7896570374468803</v>
      </c>
      <c r="AB98">
        <v>1.670666090788266E-6</v>
      </c>
      <c r="AC98">
        <v>3.2404707667927469E-4</v>
      </c>
      <c r="AD98" t="s">
        <v>1314</v>
      </c>
      <c r="AE98" t="s">
        <v>1315</v>
      </c>
      <c r="AF98" t="s">
        <v>1316</v>
      </c>
      <c r="AG98" t="s">
        <v>1317</v>
      </c>
      <c r="AH98" t="s">
        <v>43</v>
      </c>
      <c r="AI98" t="s">
        <v>43</v>
      </c>
      <c r="AJ98" t="s">
        <v>43</v>
      </c>
      <c r="AK98" t="s">
        <v>43</v>
      </c>
      <c r="AL98" t="s">
        <v>43</v>
      </c>
      <c r="AM98" t="s">
        <v>1318</v>
      </c>
      <c r="AN98" t="s">
        <v>43</v>
      </c>
    </row>
    <row r="99" spans="1:40" x14ac:dyDescent="0.3">
      <c r="A99" t="s">
        <v>1319</v>
      </c>
      <c r="B99">
        <v>1454</v>
      </c>
      <c r="C99" t="str">
        <f>IF(Y99&lt;0, "Down", "Up")</f>
        <v>Down</v>
      </c>
      <c r="D99" s="7" t="str">
        <f>IF(AC99&lt;0.05, "Sig", "N")</f>
        <v>Sig</v>
      </c>
      <c r="E99" s="1" t="str">
        <f>IF(AND(H99&gt;2,J99&gt;2,L99&gt;2,N99&gt;2),"Y","N")</f>
        <v>Y</v>
      </c>
      <c r="F99" s="1" t="str">
        <f>IF(AND(P99&gt;2,R99&gt;2,T99&gt;2,V99&gt;2),"Y","N")</f>
        <v>Y</v>
      </c>
      <c r="G99" s="1" t="str">
        <f>IF(OR(E99="Y", F99="Y"), "Expressed", "N")</f>
        <v>Expressed</v>
      </c>
      <c r="H99" s="8">
        <v>30.144002505042661</v>
      </c>
      <c r="I99" s="8">
        <v>1950</v>
      </c>
      <c r="J99" s="8">
        <v>22.86447069601963</v>
      </c>
      <c r="K99" s="8">
        <v>3313</v>
      </c>
      <c r="L99" s="8">
        <v>34.413980492662823</v>
      </c>
      <c r="M99" s="8">
        <v>3867</v>
      </c>
      <c r="N99" s="8">
        <v>24.95472089545731</v>
      </c>
      <c r="O99" s="8">
        <v>1669</v>
      </c>
      <c r="P99" s="9">
        <v>12.12172501642805</v>
      </c>
      <c r="Q99" s="9">
        <v>2700</v>
      </c>
      <c r="R99" s="9">
        <v>42.195343655511188</v>
      </c>
      <c r="S99" s="9">
        <v>1180</v>
      </c>
      <c r="T99" s="9">
        <v>31.21378065480658</v>
      </c>
      <c r="U99" s="9">
        <v>699</v>
      </c>
      <c r="V99" s="9">
        <v>4.7874526181157062</v>
      </c>
      <c r="W99" s="9">
        <v>2877</v>
      </c>
      <c r="X99">
        <v>2038.688975169797</v>
      </c>
      <c r="Y99">
        <v>-0.49721322705092003</v>
      </c>
      <c r="Z99">
        <v>0.1127331182245141</v>
      </c>
      <c r="AA99">
        <v>-4.4105337888436047</v>
      </c>
      <c r="AB99">
        <v>1.0311611362198451E-5</v>
      </c>
      <c r="AC99">
        <v>1.2830900832899771E-3</v>
      </c>
      <c r="AD99" t="s">
        <v>1320</v>
      </c>
      <c r="AE99" t="s">
        <v>1321</v>
      </c>
      <c r="AF99" t="s">
        <v>1322</v>
      </c>
      <c r="AG99" t="s">
        <v>1323</v>
      </c>
      <c r="AH99" t="s">
        <v>43</v>
      </c>
      <c r="AI99" t="s">
        <v>43</v>
      </c>
      <c r="AJ99" t="s">
        <v>43</v>
      </c>
      <c r="AK99" t="s">
        <v>43</v>
      </c>
      <c r="AL99" t="s">
        <v>43</v>
      </c>
      <c r="AM99" t="s">
        <v>1324</v>
      </c>
      <c r="AN99" t="s">
        <v>43</v>
      </c>
    </row>
    <row r="100" spans="1:40" x14ac:dyDescent="0.3">
      <c r="A100" t="s">
        <v>1325</v>
      </c>
      <c r="B100">
        <v>2700</v>
      </c>
      <c r="C100" t="str">
        <f>IF(Y100&lt;0, "Down", "Up")</f>
        <v>Down</v>
      </c>
      <c r="D100" s="7" t="str">
        <f>IF(AC100&lt;0.05, "Sig", "N")</f>
        <v>Sig</v>
      </c>
      <c r="E100" s="1" t="str">
        <f>IF(AND(H100&gt;2,J100&gt;2,L100&gt;2,N100&gt;2),"Y","N")</f>
        <v>Y</v>
      </c>
      <c r="F100" s="1" t="str">
        <f>IF(AND(P100&gt;2,R100&gt;2,T100&gt;2,V100&gt;2),"Y","N")</f>
        <v>Y</v>
      </c>
      <c r="G100" s="1" t="str">
        <f>IF(OR(E100="Y", F100="Y"), "Expressed", "N")</f>
        <v>Expressed</v>
      </c>
      <c r="H100" s="8">
        <v>51.080165904149922</v>
      </c>
      <c r="I100" s="8">
        <v>6136</v>
      </c>
      <c r="J100" s="8">
        <v>22.69327408677696</v>
      </c>
      <c r="K100" s="8">
        <v>6106</v>
      </c>
      <c r="L100" s="8">
        <v>78.290146047478217</v>
      </c>
      <c r="M100" s="8">
        <v>16336</v>
      </c>
      <c r="N100" s="8">
        <v>33.825926753336603</v>
      </c>
      <c r="O100" s="8">
        <v>4201</v>
      </c>
      <c r="P100" s="9">
        <v>16.430902363024359</v>
      </c>
      <c r="Q100" s="9">
        <v>6159</v>
      </c>
      <c r="R100" s="9">
        <v>51.833628363377599</v>
      </c>
      <c r="S100" s="9">
        <v>1373</v>
      </c>
      <c r="T100" s="9">
        <v>19.558500094155018</v>
      </c>
      <c r="U100" s="9">
        <v>1221</v>
      </c>
      <c r="V100" s="9">
        <v>4.5034321021193398</v>
      </c>
      <c r="W100" s="9">
        <v>4378</v>
      </c>
      <c r="X100">
        <v>4987.4501873519584</v>
      </c>
      <c r="Y100">
        <v>-1.335041451835477</v>
      </c>
      <c r="Z100">
        <v>0.28542448045222418</v>
      </c>
      <c r="AA100">
        <v>-4.6773894436813857</v>
      </c>
      <c r="AB100">
        <v>2.905501304408917E-6</v>
      </c>
      <c r="AC100">
        <v>4.8036267020164778E-4</v>
      </c>
      <c r="AD100" t="s">
        <v>1326</v>
      </c>
      <c r="AE100" t="s">
        <v>1327</v>
      </c>
      <c r="AF100" t="s">
        <v>1328</v>
      </c>
      <c r="AG100" t="s">
        <v>1329</v>
      </c>
      <c r="AH100" t="s">
        <v>1080</v>
      </c>
      <c r="AJ100" t="s">
        <v>1330</v>
      </c>
      <c r="AK100" t="s">
        <v>1082</v>
      </c>
      <c r="AL100" t="s">
        <v>1331</v>
      </c>
      <c r="AM100" t="s">
        <v>1332</v>
      </c>
      <c r="AN100" t="s">
        <v>43</v>
      </c>
    </row>
    <row r="101" spans="1:40" x14ac:dyDescent="0.3">
      <c r="A101" t="s">
        <v>1339</v>
      </c>
      <c r="B101">
        <v>612</v>
      </c>
      <c r="C101" t="str">
        <f>IF(Y101&lt;0, "Down", "Up")</f>
        <v>Down</v>
      </c>
      <c r="D101" s="7" t="str">
        <f>IF(AC101&lt;0.05, "Sig", "N")</f>
        <v>Sig</v>
      </c>
      <c r="E101" s="1" t="str">
        <f>IF(AND(H101&gt;2,J101&gt;2,L101&gt;2,N101&gt;2),"Y","N")</f>
        <v>Y</v>
      </c>
      <c r="F101" s="1" t="str">
        <f>IF(AND(P101&gt;2,R101&gt;2,T101&gt;2,V101&gt;2),"Y","N")</f>
        <v>N</v>
      </c>
      <c r="G101" s="1" t="str">
        <f>IF(OR(E101="Y", F101="Y"), "Expressed", "N")</f>
        <v>Expressed</v>
      </c>
      <c r="H101" s="8">
        <v>16.784000751253341</v>
      </c>
      <c r="I101" s="8">
        <v>457</v>
      </c>
      <c r="J101" s="8">
        <v>22.414095352178261</v>
      </c>
      <c r="K101" s="8">
        <v>1367</v>
      </c>
      <c r="L101" s="8">
        <v>13.70088832282163</v>
      </c>
      <c r="M101" s="8">
        <v>648</v>
      </c>
      <c r="N101" s="8">
        <v>13.67634645816254</v>
      </c>
      <c r="O101" s="8">
        <v>385</v>
      </c>
      <c r="P101" s="9">
        <v>6.6432684897479373</v>
      </c>
      <c r="Q101" s="9">
        <v>607</v>
      </c>
      <c r="R101" s="9">
        <v>22.537328741705249</v>
      </c>
      <c r="S101" s="9">
        <v>195</v>
      </c>
      <c r="T101" s="9">
        <v>12.254961821559361</v>
      </c>
      <c r="U101" s="9">
        <v>112</v>
      </c>
      <c r="V101" s="9">
        <v>1.822461321857805</v>
      </c>
      <c r="W101" s="9">
        <v>685</v>
      </c>
      <c r="X101">
        <v>471.73173439380128</v>
      </c>
      <c r="Y101">
        <v>-0.86142473226812044</v>
      </c>
      <c r="Z101">
        <v>0.246485459578065</v>
      </c>
      <c r="AA101">
        <v>-3.4948298116355891</v>
      </c>
      <c r="AB101">
        <v>4.743641262872881E-4</v>
      </c>
      <c r="AC101">
        <v>1.8660427077677309E-2</v>
      </c>
      <c r="AD101" t="s">
        <v>1340</v>
      </c>
      <c r="AE101" t="s">
        <v>1341</v>
      </c>
      <c r="AF101" t="s">
        <v>43</v>
      </c>
      <c r="AG101" t="s">
        <v>43</v>
      </c>
      <c r="AH101" t="s">
        <v>43</v>
      </c>
      <c r="AI101" t="s">
        <v>43</v>
      </c>
      <c r="AJ101" t="s">
        <v>43</v>
      </c>
      <c r="AK101" t="s">
        <v>43</v>
      </c>
      <c r="AL101" t="s">
        <v>43</v>
      </c>
      <c r="AM101" t="s">
        <v>43</v>
      </c>
      <c r="AN101" t="s">
        <v>43</v>
      </c>
    </row>
    <row r="102" spans="1:40" x14ac:dyDescent="0.3">
      <c r="A102" t="s">
        <v>1342</v>
      </c>
      <c r="B102">
        <v>1659</v>
      </c>
      <c r="C102" t="str">
        <f>IF(Y102&lt;0, "Down", "Up")</f>
        <v>Down</v>
      </c>
      <c r="D102" s="7" t="str">
        <f>IF(AC102&lt;0.05, "Sig", "N")</f>
        <v>Sig</v>
      </c>
      <c r="E102" s="1" t="str">
        <f>IF(AND(H102&gt;2,J102&gt;2,L102&gt;2,N102&gt;2),"Y","N")</f>
        <v>Y</v>
      </c>
      <c r="F102" s="1" t="str">
        <f>IF(AND(P102&gt;2,R102&gt;2,T102&gt;2,V102&gt;2),"Y","N")</f>
        <v>Y</v>
      </c>
      <c r="G102" s="1" t="str">
        <f>IF(OR(E102="Y", F102="Y"), "Expressed", "N")</f>
        <v>Expressed</v>
      </c>
      <c r="H102" s="8">
        <v>28.315915813503331</v>
      </c>
      <c r="I102" s="8">
        <v>2090</v>
      </c>
      <c r="J102" s="8">
        <v>22.295287016616591</v>
      </c>
      <c r="K102" s="8">
        <v>3686</v>
      </c>
      <c r="L102" s="8">
        <v>29.053939891590652</v>
      </c>
      <c r="M102" s="8">
        <v>3725</v>
      </c>
      <c r="N102" s="8">
        <v>25.317541048179638</v>
      </c>
      <c r="O102" s="8">
        <v>1932</v>
      </c>
      <c r="P102" s="9">
        <v>12.29796445986414</v>
      </c>
      <c r="Q102" s="9">
        <v>3536</v>
      </c>
      <c r="R102" s="9">
        <v>48.431848041256572</v>
      </c>
      <c r="S102" s="9">
        <v>1056</v>
      </c>
      <c r="T102" s="9">
        <v>24.481966851649322</v>
      </c>
      <c r="U102" s="9">
        <v>697</v>
      </c>
      <c r="V102" s="9">
        <v>4.183869323694096</v>
      </c>
      <c r="W102" s="9">
        <v>2548</v>
      </c>
      <c r="X102">
        <v>2143.4766111316071</v>
      </c>
      <c r="Y102">
        <v>-0.56700445807386779</v>
      </c>
      <c r="Z102">
        <v>0.15660968487056809</v>
      </c>
      <c r="AA102">
        <v>-3.620494214917009</v>
      </c>
      <c r="AB102">
        <v>2.9404082576085441E-4</v>
      </c>
      <c r="AC102">
        <v>1.354640961060594E-2</v>
      </c>
      <c r="AD102" t="s">
        <v>1343</v>
      </c>
      <c r="AE102" t="s">
        <v>1344</v>
      </c>
      <c r="AF102" t="s">
        <v>1345</v>
      </c>
      <c r="AG102" t="s">
        <v>1346</v>
      </c>
      <c r="AH102" t="s">
        <v>43</v>
      </c>
      <c r="AI102" t="s">
        <v>43</v>
      </c>
      <c r="AJ102" t="s">
        <v>43</v>
      </c>
      <c r="AK102" t="s">
        <v>43</v>
      </c>
      <c r="AL102" t="s">
        <v>43</v>
      </c>
      <c r="AM102" t="s">
        <v>1347</v>
      </c>
      <c r="AN102" t="s">
        <v>43</v>
      </c>
    </row>
    <row r="103" spans="1:40" x14ac:dyDescent="0.3">
      <c r="A103" t="s">
        <v>1348</v>
      </c>
      <c r="B103">
        <v>2097</v>
      </c>
      <c r="C103" t="str">
        <f>IF(Y103&lt;0, "Down", "Up")</f>
        <v>Down</v>
      </c>
      <c r="D103" s="7" t="str">
        <f>IF(AC103&lt;0.05, "Sig", "N")</f>
        <v>Sig</v>
      </c>
      <c r="E103" s="1" t="str">
        <f>IF(AND(H103&gt;2,J103&gt;2,L103&gt;2,N103&gt;2),"Y","N")</f>
        <v>Y</v>
      </c>
      <c r="F103" s="1" t="str">
        <f>IF(AND(P103&gt;2,R103&gt;2,T103&gt;2,V103&gt;2),"Y","N")</f>
        <v>Y</v>
      </c>
      <c r="G103" s="1" t="str">
        <f>IF(OR(E103="Y", F103="Y"), "Expressed", "N")</f>
        <v>Expressed</v>
      </c>
      <c r="H103" s="8">
        <v>24.26658731282534</v>
      </c>
      <c r="I103" s="8">
        <v>2264</v>
      </c>
      <c r="J103" s="8">
        <v>22.22754051803242</v>
      </c>
      <c r="K103" s="8">
        <v>4645</v>
      </c>
      <c r="L103" s="8">
        <v>32.611569738883837</v>
      </c>
      <c r="M103" s="8">
        <v>5285</v>
      </c>
      <c r="N103" s="8">
        <v>20.672238659552701</v>
      </c>
      <c r="O103" s="8">
        <v>1994</v>
      </c>
      <c r="P103" s="9">
        <v>10.04151453165267</v>
      </c>
      <c r="Q103" s="9">
        <v>2671</v>
      </c>
      <c r="R103" s="9">
        <v>28.942805641609279</v>
      </c>
      <c r="S103" s="9">
        <v>1783</v>
      </c>
      <c r="T103" s="9">
        <v>32.702555102743339</v>
      </c>
      <c r="U103" s="9">
        <v>905</v>
      </c>
      <c r="V103" s="9">
        <v>4.2977571178391054</v>
      </c>
      <c r="W103" s="9">
        <v>3080</v>
      </c>
      <c r="X103">
        <v>2551.5580896424731</v>
      </c>
      <c r="Y103">
        <v>-0.57064310781661209</v>
      </c>
      <c r="Z103">
        <v>0.16114802847898541</v>
      </c>
      <c r="AA103">
        <v>-3.541111319838623</v>
      </c>
      <c r="AB103">
        <v>3.9844543208006442E-4</v>
      </c>
      <c r="AC103">
        <v>1.658058017896874E-2</v>
      </c>
      <c r="AD103" t="s">
        <v>1349</v>
      </c>
      <c r="AE103" t="s">
        <v>1350</v>
      </c>
      <c r="AF103" t="s">
        <v>1351</v>
      </c>
      <c r="AG103" t="s">
        <v>1352</v>
      </c>
      <c r="AH103" t="s">
        <v>43</v>
      </c>
      <c r="AI103" t="s">
        <v>43</v>
      </c>
      <c r="AJ103" t="s">
        <v>43</v>
      </c>
      <c r="AK103" t="s">
        <v>43</v>
      </c>
      <c r="AL103" t="s">
        <v>43</v>
      </c>
      <c r="AM103" t="s">
        <v>414</v>
      </c>
      <c r="AN103" t="s">
        <v>43</v>
      </c>
    </row>
    <row r="104" spans="1:40" x14ac:dyDescent="0.3">
      <c r="A104" t="s">
        <v>1353</v>
      </c>
      <c r="B104">
        <v>1878</v>
      </c>
      <c r="C104" t="str">
        <f>IF(Y104&lt;0, "Down", "Up")</f>
        <v>Down</v>
      </c>
      <c r="D104" s="7" t="str">
        <f>IF(AC104&lt;0.05, "Sig", "N")</f>
        <v>Sig</v>
      </c>
      <c r="E104" s="1" t="str">
        <f>IF(AND(H104&gt;2,J104&gt;2,L104&gt;2,N104&gt;2),"Y","N")</f>
        <v>Y</v>
      </c>
      <c r="F104" s="1" t="str">
        <f>IF(AND(P104&gt;2,R104&gt;2,T104&gt;2,V104&gt;2),"Y","N")</f>
        <v>Y</v>
      </c>
      <c r="G104" s="1" t="str">
        <f>IF(OR(E104="Y", F104="Y"), "Expressed", "N")</f>
        <v>Expressed</v>
      </c>
      <c r="H104" s="8">
        <v>23.17077059270769</v>
      </c>
      <c r="I104" s="8">
        <v>1936</v>
      </c>
      <c r="J104" s="8">
        <v>22.22273232378534</v>
      </c>
      <c r="K104" s="8">
        <v>4159</v>
      </c>
      <c r="L104" s="8">
        <v>18.272714742222529</v>
      </c>
      <c r="M104" s="8">
        <v>2652</v>
      </c>
      <c r="N104" s="8">
        <v>13.27787625016612</v>
      </c>
      <c r="O104" s="8">
        <v>1147</v>
      </c>
      <c r="P104" s="9">
        <v>6.4497120757609254</v>
      </c>
      <c r="Q104" s="9">
        <v>1492</v>
      </c>
      <c r="R104" s="9">
        <v>18.05254373748058</v>
      </c>
      <c r="S104" s="9">
        <v>517</v>
      </c>
      <c r="T104" s="9">
        <v>10.588238825233249</v>
      </c>
      <c r="U104" s="9">
        <v>622</v>
      </c>
      <c r="V104" s="9">
        <v>3.2982723671824101</v>
      </c>
      <c r="W104" s="9">
        <v>2673</v>
      </c>
      <c r="X104">
        <v>1662.6260837743041</v>
      </c>
      <c r="Y104">
        <v>-0.85827777207287903</v>
      </c>
      <c r="Z104">
        <v>0.26111179137411289</v>
      </c>
      <c r="AA104">
        <v>-3.2870126912160971</v>
      </c>
      <c r="AB104">
        <v>1.012562702698892E-3</v>
      </c>
      <c r="AC104">
        <v>3.1093606189238409E-2</v>
      </c>
      <c r="AD104" t="s">
        <v>1354</v>
      </c>
      <c r="AE104" t="s">
        <v>1355</v>
      </c>
      <c r="AF104" t="s">
        <v>1356</v>
      </c>
      <c r="AG104" t="s">
        <v>1357</v>
      </c>
      <c r="AH104" t="s">
        <v>43</v>
      </c>
      <c r="AI104" t="s">
        <v>43</v>
      </c>
      <c r="AJ104" t="s">
        <v>43</v>
      </c>
      <c r="AK104" t="s">
        <v>43</v>
      </c>
      <c r="AL104" t="s">
        <v>43</v>
      </c>
      <c r="AM104" t="s">
        <v>1358</v>
      </c>
      <c r="AN104" t="s">
        <v>43</v>
      </c>
    </row>
    <row r="105" spans="1:40" x14ac:dyDescent="0.3">
      <c r="A105" t="s">
        <v>1359</v>
      </c>
      <c r="B105">
        <v>2009</v>
      </c>
      <c r="C105" t="str">
        <f>IF(Y105&lt;0, "Down", "Up")</f>
        <v>Down</v>
      </c>
      <c r="D105" s="7" t="str">
        <f>IF(AC105&lt;0.05, "Sig", "N")</f>
        <v>Sig</v>
      </c>
      <c r="E105" s="1" t="str">
        <f>IF(AND(H105&gt;2,J105&gt;2,L105&gt;2,N105&gt;2),"Y","N")</f>
        <v>Y</v>
      </c>
      <c r="F105" s="1" t="str">
        <f>IF(AND(P105&gt;2,R105&gt;2,T105&gt;2,V105&gt;2),"Y","N")</f>
        <v>Y</v>
      </c>
      <c r="G105" s="1" t="str">
        <f>IF(OR(E105="Y", F105="Y"), "Expressed", "N")</f>
        <v>Expressed</v>
      </c>
      <c r="H105" s="8">
        <v>36.226603689007447</v>
      </c>
      <c r="I105" s="8">
        <v>3238</v>
      </c>
      <c r="J105" s="8">
        <v>22.077325222838219</v>
      </c>
      <c r="K105" s="8">
        <v>4420</v>
      </c>
      <c r="L105" s="8">
        <v>34.69057952033058</v>
      </c>
      <c r="M105" s="8">
        <v>5386</v>
      </c>
      <c r="N105" s="8">
        <v>190.8126036255415</v>
      </c>
      <c r="O105" s="8">
        <v>17633</v>
      </c>
      <c r="P105" s="9">
        <v>92.686987785086501</v>
      </c>
      <c r="Q105" s="9">
        <v>10348</v>
      </c>
      <c r="R105" s="9">
        <v>117.04197833417621</v>
      </c>
      <c r="S105" s="9">
        <v>4371</v>
      </c>
      <c r="T105" s="9">
        <v>83.681535987252289</v>
      </c>
      <c r="U105" s="9">
        <v>2616</v>
      </c>
      <c r="V105" s="9">
        <v>12.967298925388301</v>
      </c>
      <c r="W105" s="9">
        <v>7646</v>
      </c>
      <c r="X105">
        <v>7277.6142023275916</v>
      </c>
      <c r="Y105">
        <v>-0.56049673208236472</v>
      </c>
      <c r="Z105">
        <v>0.73470816544174233</v>
      </c>
      <c r="AA105">
        <v>-0.76288349367311958</v>
      </c>
      <c r="AD105" t="s">
        <v>1360</v>
      </c>
      <c r="AE105" t="s">
        <v>1361</v>
      </c>
      <c r="AF105" t="s">
        <v>1362</v>
      </c>
      <c r="AG105" t="s">
        <v>1363</v>
      </c>
      <c r="AH105" t="s">
        <v>43</v>
      </c>
      <c r="AI105" t="s">
        <v>43</v>
      </c>
      <c r="AJ105" t="s">
        <v>43</v>
      </c>
      <c r="AK105" t="s">
        <v>43</v>
      </c>
      <c r="AL105" t="s">
        <v>43</v>
      </c>
      <c r="AM105" t="s">
        <v>1364</v>
      </c>
      <c r="AN105" t="s">
        <v>43</v>
      </c>
    </row>
    <row r="106" spans="1:40" x14ac:dyDescent="0.3">
      <c r="A106" t="s">
        <v>1365</v>
      </c>
      <c r="B106">
        <v>693</v>
      </c>
      <c r="C106" t="str">
        <f>IF(Y106&lt;0, "Down", "Up")</f>
        <v>Down</v>
      </c>
      <c r="D106" s="7" t="str">
        <f>IF(AC106&lt;0.05, "Sig", "N")</f>
        <v>Sig</v>
      </c>
      <c r="E106" s="1" t="str">
        <f>IF(AND(H106&gt;2,J106&gt;2,L106&gt;2,N106&gt;2),"Y","N")</f>
        <v>Y</v>
      </c>
      <c r="F106" s="1" t="str">
        <f>IF(AND(P106&gt;2,R106&gt;2,T106&gt;2,V106&gt;2),"Y","N")</f>
        <v>Y</v>
      </c>
      <c r="G106" s="1" t="str">
        <f>IF(OR(E106="Y", F106="Y"), "Expressed", "N")</f>
        <v>Expressed</v>
      </c>
      <c r="H106" s="8">
        <v>26.660561709399438</v>
      </c>
      <c r="I106" s="8">
        <v>822</v>
      </c>
      <c r="J106" s="8">
        <v>21.922837426704181</v>
      </c>
      <c r="K106" s="8">
        <v>1514</v>
      </c>
      <c r="L106" s="8">
        <v>31.83583838680336</v>
      </c>
      <c r="M106" s="8">
        <v>1705</v>
      </c>
      <c r="N106" s="8">
        <v>19.13627428182096</v>
      </c>
      <c r="O106" s="8">
        <v>610</v>
      </c>
      <c r="P106" s="9">
        <v>9.2954217222042317</v>
      </c>
      <c r="Q106" s="9">
        <v>835</v>
      </c>
      <c r="R106" s="9">
        <v>27.379052310790229</v>
      </c>
      <c r="S106" s="9">
        <v>488</v>
      </c>
      <c r="T106" s="9">
        <v>27.084159379728671</v>
      </c>
      <c r="U106" s="9">
        <v>244</v>
      </c>
      <c r="V106" s="9">
        <v>3.5062938604203029</v>
      </c>
      <c r="W106" s="9">
        <v>1233</v>
      </c>
      <c r="X106">
        <v>820.19428422934527</v>
      </c>
      <c r="Y106">
        <v>-0.6625711561926102</v>
      </c>
      <c r="Z106">
        <v>0.1678757190947846</v>
      </c>
      <c r="AA106">
        <v>-3.946795640044376</v>
      </c>
      <c r="AB106">
        <v>7.9204105411853883E-5</v>
      </c>
      <c r="AC106">
        <v>5.6916214594135246E-3</v>
      </c>
      <c r="AD106" t="s">
        <v>1366</v>
      </c>
      <c r="AE106" t="s">
        <v>1367</v>
      </c>
      <c r="AF106" t="s">
        <v>1368</v>
      </c>
      <c r="AG106" t="s">
        <v>43</v>
      </c>
      <c r="AH106" t="s">
        <v>43</v>
      </c>
      <c r="AI106" t="s">
        <v>43</v>
      </c>
      <c r="AJ106" t="s">
        <v>43</v>
      </c>
      <c r="AK106" t="s">
        <v>43</v>
      </c>
      <c r="AL106" t="s">
        <v>43</v>
      </c>
      <c r="AM106" t="s">
        <v>43</v>
      </c>
      <c r="AN106" t="s">
        <v>43</v>
      </c>
    </row>
    <row r="107" spans="1:40" x14ac:dyDescent="0.3">
      <c r="A107" t="s">
        <v>1369</v>
      </c>
      <c r="B107">
        <v>1615</v>
      </c>
      <c r="C107" t="str">
        <f>IF(Y107&lt;0, "Down", "Up")</f>
        <v>Down</v>
      </c>
      <c r="D107" s="7" t="str">
        <f>IF(AC107&lt;0.05, "Sig", "N")</f>
        <v>Sig</v>
      </c>
      <c r="E107" s="1" t="str">
        <f>IF(AND(H107&gt;2,J107&gt;2,L107&gt;2,N107&gt;2),"Y","N")</f>
        <v>Y</v>
      </c>
      <c r="F107" s="1" t="str">
        <f>IF(AND(P107&gt;2,R107&gt;2,T107&gt;2,V107&gt;2),"Y","N")</f>
        <v>Y</v>
      </c>
      <c r="G107" s="1" t="str">
        <f>IF(OR(E107="Y", F107="Y"), "Expressed", "N")</f>
        <v>Expressed</v>
      </c>
      <c r="H107" s="8">
        <v>32.733730544975771</v>
      </c>
      <c r="I107" s="8">
        <v>2352</v>
      </c>
      <c r="J107" s="8">
        <v>21.417702386651559</v>
      </c>
      <c r="K107" s="8">
        <v>3447</v>
      </c>
      <c r="L107" s="8">
        <v>43.057645524469862</v>
      </c>
      <c r="M107" s="8">
        <v>5374</v>
      </c>
      <c r="N107" s="8">
        <v>22.99196694516742</v>
      </c>
      <c r="O107" s="8">
        <v>1708</v>
      </c>
      <c r="P107" s="9">
        <v>11.16831969644897</v>
      </c>
      <c r="Q107" s="9">
        <v>2814</v>
      </c>
      <c r="R107" s="9">
        <v>39.592847495876327</v>
      </c>
      <c r="S107" s="9">
        <v>1067</v>
      </c>
      <c r="T107" s="9">
        <v>25.410936220768601</v>
      </c>
      <c r="U107" s="9">
        <v>777</v>
      </c>
      <c r="V107" s="9">
        <v>4.791154896147229</v>
      </c>
      <c r="W107" s="9">
        <v>3866</v>
      </c>
      <c r="X107">
        <v>2331.3910136502082</v>
      </c>
      <c r="Y107">
        <v>-0.59192323613388942</v>
      </c>
      <c r="Z107">
        <v>0.19128678563661339</v>
      </c>
      <c r="AA107">
        <v>-3.0944282646808809</v>
      </c>
      <c r="AB107">
        <v>1.9719261450664269E-3</v>
      </c>
      <c r="AC107">
        <v>4.6021992025331172E-2</v>
      </c>
      <c r="AD107" t="s">
        <v>1370</v>
      </c>
      <c r="AE107" t="s">
        <v>1371</v>
      </c>
      <c r="AF107" t="s">
        <v>43</v>
      </c>
      <c r="AG107" t="s">
        <v>1372</v>
      </c>
      <c r="AH107" t="s">
        <v>43</v>
      </c>
      <c r="AI107" t="s">
        <v>43</v>
      </c>
      <c r="AJ107" t="s">
        <v>43</v>
      </c>
      <c r="AK107" t="s">
        <v>43</v>
      </c>
      <c r="AL107" t="s">
        <v>43</v>
      </c>
      <c r="AM107" t="s">
        <v>130</v>
      </c>
      <c r="AN107" t="s">
        <v>43</v>
      </c>
    </row>
    <row r="108" spans="1:40" x14ac:dyDescent="0.3">
      <c r="A108" t="s">
        <v>1373</v>
      </c>
      <c r="B108">
        <v>3088</v>
      </c>
      <c r="C108" t="str">
        <f>IF(Y108&lt;0, "Down", "Up")</f>
        <v>Down</v>
      </c>
      <c r="D108" s="7" t="str">
        <f>IF(AC108&lt;0.05, "Sig", "N")</f>
        <v>Sig</v>
      </c>
      <c r="E108" s="1" t="str">
        <f>IF(AND(H108&gt;2,J108&gt;2,L108&gt;2,N108&gt;2),"Y","N")</f>
        <v>Y</v>
      </c>
      <c r="F108" s="1" t="str">
        <f>IF(AND(P108&gt;2,R108&gt;2,T108&gt;2,V108&gt;2),"Y","N")</f>
        <v>Y</v>
      </c>
      <c r="G108" s="1" t="str">
        <f>IF(OR(E108="Y", F108="Y"), "Expressed", "N")</f>
        <v>Expressed</v>
      </c>
      <c r="H108" s="8">
        <v>22.527555797963601</v>
      </c>
      <c r="I108" s="8">
        <v>3095</v>
      </c>
      <c r="J108" s="8">
        <v>21.346471256575441</v>
      </c>
      <c r="K108" s="8">
        <v>6569</v>
      </c>
      <c r="L108" s="8">
        <v>26.420007823863649</v>
      </c>
      <c r="M108" s="8">
        <v>6305</v>
      </c>
      <c r="N108" s="8">
        <v>19.902576575921881</v>
      </c>
      <c r="O108" s="8">
        <v>2827</v>
      </c>
      <c r="P108" s="9">
        <v>9.6676521201102386</v>
      </c>
      <c r="Q108" s="9">
        <v>5297</v>
      </c>
      <c r="R108" s="9">
        <v>38.977847484776802</v>
      </c>
      <c r="S108" s="9">
        <v>2148</v>
      </c>
      <c r="T108" s="9">
        <v>26.753817409888111</v>
      </c>
      <c r="U108" s="9">
        <v>1216</v>
      </c>
      <c r="V108" s="9">
        <v>3.92146192645495</v>
      </c>
      <c r="W108" s="9">
        <v>5890</v>
      </c>
      <c r="X108">
        <v>3643.5378679161522</v>
      </c>
      <c r="Y108">
        <v>-0.35039410304345681</v>
      </c>
      <c r="Z108">
        <v>0.1077982474865416</v>
      </c>
      <c r="AA108">
        <v>-3.2504619621687532</v>
      </c>
      <c r="AB108">
        <v>1.152176804567924E-3</v>
      </c>
      <c r="AC108">
        <v>3.3511686046140257E-2</v>
      </c>
      <c r="AD108" t="s">
        <v>1374</v>
      </c>
      <c r="AE108" t="s">
        <v>1375</v>
      </c>
      <c r="AF108" t="s">
        <v>43</v>
      </c>
      <c r="AG108" t="s">
        <v>43</v>
      </c>
      <c r="AH108" t="s">
        <v>43</v>
      </c>
      <c r="AI108" t="s">
        <v>43</v>
      </c>
      <c r="AJ108" t="s">
        <v>43</v>
      </c>
      <c r="AK108" t="s">
        <v>43</v>
      </c>
      <c r="AL108" t="s">
        <v>43</v>
      </c>
      <c r="AM108" t="s">
        <v>43</v>
      </c>
      <c r="AN108" t="s">
        <v>43</v>
      </c>
    </row>
    <row r="109" spans="1:40" x14ac:dyDescent="0.3">
      <c r="A109" t="s">
        <v>1382</v>
      </c>
      <c r="B109">
        <v>3015</v>
      </c>
      <c r="C109" t="str">
        <f>IF(Y109&lt;0, "Down", "Up")</f>
        <v>Down</v>
      </c>
      <c r="D109" s="7" t="str">
        <f>IF(AC109&lt;0.05, "Sig", "N")</f>
        <v>Sig</v>
      </c>
      <c r="E109" s="1" t="str">
        <f>IF(AND(H109&gt;2,J109&gt;2,L109&gt;2,N109&gt;2),"Y","N")</f>
        <v>Y</v>
      </c>
      <c r="F109" s="1" t="str">
        <f>IF(AND(P109&gt;2,R109&gt;2,T109&gt;2,V109&gt;2),"Y","N")</f>
        <v>Y</v>
      </c>
      <c r="G109" s="1" t="str">
        <f>IF(OR(E109="Y", F109="Y"), "Expressed", "N")</f>
        <v>Expressed</v>
      </c>
      <c r="H109" s="8">
        <v>23.930315712358858</v>
      </c>
      <c r="I109" s="8">
        <v>3210</v>
      </c>
      <c r="J109" s="8">
        <v>21.237605577248281</v>
      </c>
      <c r="K109" s="8">
        <v>6381</v>
      </c>
      <c r="L109" s="8">
        <v>23.561892522000061</v>
      </c>
      <c r="M109" s="8">
        <v>5490</v>
      </c>
      <c r="N109" s="8">
        <v>19.504765788055192</v>
      </c>
      <c r="O109" s="8">
        <v>2705</v>
      </c>
      <c r="P109" s="9">
        <v>9.4744160186410991</v>
      </c>
      <c r="Q109" s="9">
        <v>4296</v>
      </c>
      <c r="R109" s="9">
        <v>32.377411643546047</v>
      </c>
      <c r="S109" s="9">
        <v>1766</v>
      </c>
      <c r="T109" s="9">
        <v>22.52849376544081</v>
      </c>
      <c r="U109" s="9">
        <v>1076</v>
      </c>
      <c r="V109" s="9">
        <v>3.5539938698745162</v>
      </c>
      <c r="W109" s="9">
        <v>4854</v>
      </c>
      <c r="X109">
        <v>3294.8157770421949</v>
      </c>
      <c r="Y109">
        <v>-0.55381179419608562</v>
      </c>
      <c r="Z109">
        <v>0.11363811624078</v>
      </c>
      <c r="AA109">
        <v>-4.8734686258143514</v>
      </c>
      <c r="AB109">
        <v>1.0965568921129759E-6</v>
      </c>
      <c r="AC109">
        <v>2.4073684124548879E-4</v>
      </c>
      <c r="AD109" t="s">
        <v>1383</v>
      </c>
      <c r="AE109" t="s">
        <v>1384</v>
      </c>
      <c r="AF109" t="s">
        <v>1385</v>
      </c>
      <c r="AG109" t="s">
        <v>1386</v>
      </c>
      <c r="AH109" t="s">
        <v>43</v>
      </c>
      <c r="AI109" t="s">
        <v>43</v>
      </c>
      <c r="AJ109" t="s">
        <v>43</v>
      </c>
      <c r="AK109" t="s">
        <v>43</v>
      </c>
      <c r="AL109" t="s">
        <v>43</v>
      </c>
      <c r="AM109" t="s">
        <v>1387</v>
      </c>
      <c r="AN109" t="s">
        <v>43</v>
      </c>
    </row>
    <row r="110" spans="1:40" x14ac:dyDescent="0.3">
      <c r="A110" t="s">
        <v>1388</v>
      </c>
      <c r="B110">
        <v>2084</v>
      </c>
      <c r="C110" t="str">
        <f>IF(Y110&lt;0, "Down", "Up")</f>
        <v>Down</v>
      </c>
      <c r="D110" s="7" t="str">
        <f>IF(AC110&lt;0.05, "Sig", "N")</f>
        <v>Sig</v>
      </c>
      <c r="E110" s="1" t="str">
        <f>IF(AND(H110&gt;2,J110&gt;2,L110&gt;2,N110&gt;2),"Y","N")</f>
        <v>Y</v>
      </c>
      <c r="F110" s="1" t="str">
        <f>IF(AND(P110&gt;2,R110&gt;2,T110&gt;2,V110&gt;2),"Y","N")</f>
        <v>Y</v>
      </c>
      <c r="G110" s="1" t="str">
        <f>IF(OR(E110="Y", F110="Y"), "Expressed", "N")</f>
        <v>Expressed</v>
      </c>
      <c r="H110" s="8">
        <v>26.488743639344332</v>
      </c>
      <c r="I110" s="8">
        <v>2456</v>
      </c>
      <c r="J110" s="8">
        <v>20.955368137100599</v>
      </c>
      <c r="K110" s="8">
        <v>4352</v>
      </c>
      <c r="L110" s="8">
        <v>24.842538948959241</v>
      </c>
      <c r="M110" s="8">
        <v>4001</v>
      </c>
      <c r="N110" s="8">
        <v>20.35262081811149</v>
      </c>
      <c r="O110" s="8">
        <v>1951</v>
      </c>
      <c r="P110" s="9">
        <v>9.886260557844448</v>
      </c>
      <c r="Q110" s="9">
        <v>3122</v>
      </c>
      <c r="R110" s="9">
        <v>34.040846777156403</v>
      </c>
      <c r="S110" s="9">
        <v>1214</v>
      </c>
      <c r="T110" s="9">
        <v>22.40524748914887</v>
      </c>
      <c r="U110" s="9">
        <v>778</v>
      </c>
      <c r="V110" s="9">
        <v>3.7176936692147979</v>
      </c>
      <c r="W110" s="9">
        <v>3797</v>
      </c>
      <c r="X110">
        <v>2397.246048769729</v>
      </c>
      <c r="Y110">
        <v>-0.54019774600871628</v>
      </c>
      <c r="Z110">
        <v>0.13653586086808381</v>
      </c>
      <c r="AA110">
        <v>-3.9564532173026441</v>
      </c>
      <c r="AB110">
        <v>7.6070777324878342E-5</v>
      </c>
      <c r="AC110">
        <v>5.5160295721001784E-3</v>
      </c>
      <c r="AD110" t="s">
        <v>1389</v>
      </c>
      <c r="AE110" t="s">
        <v>1390</v>
      </c>
      <c r="AF110" t="s">
        <v>1391</v>
      </c>
      <c r="AG110" t="s">
        <v>1392</v>
      </c>
      <c r="AH110" t="s">
        <v>43</v>
      </c>
      <c r="AI110" t="s">
        <v>43</v>
      </c>
      <c r="AJ110" t="s">
        <v>43</v>
      </c>
      <c r="AK110" t="s">
        <v>43</v>
      </c>
      <c r="AL110" t="s">
        <v>43</v>
      </c>
      <c r="AM110" t="s">
        <v>1393</v>
      </c>
      <c r="AN110" t="s">
        <v>43</v>
      </c>
    </row>
    <row r="111" spans="1:40" x14ac:dyDescent="0.3">
      <c r="A111" t="s">
        <v>1394</v>
      </c>
      <c r="B111">
        <v>1714</v>
      </c>
      <c r="C111" t="str">
        <f>IF(Y111&lt;0, "Down", "Up")</f>
        <v>Down</v>
      </c>
      <c r="D111" s="7" t="str">
        <f>IF(AC111&lt;0.05, "Sig", "N")</f>
        <v>Sig</v>
      </c>
      <c r="E111" s="1" t="str">
        <f>IF(AND(H111&gt;2,J111&gt;2,L111&gt;2,N111&gt;2),"Y","N")</f>
        <v>Y</v>
      </c>
      <c r="F111" s="1" t="str">
        <f>IF(AND(P111&gt;2,R111&gt;2,T111&gt;2,V111&gt;2),"Y","N")</f>
        <v>Y</v>
      </c>
      <c r="G111" s="1" t="str">
        <f>IF(OR(E111="Y", F111="Y"), "Expressed", "N")</f>
        <v>Expressed</v>
      </c>
      <c r="H111" s="8">
        <v>17.650822786278589</v>
      </c>
      <c r="I111" s="8">
        <v>1346</v>
      </c>
      <c r="J111" s="8">
        <v>20.795351340803499</v>
      </c>
      <c r="K111" s="8">
        <v>3552</v>
      </c>
      <c r="L111" s="8">
        <v>19.394492925015861</v>
      </c>
      <c r="M111" s="8">
        <v>2569</v>
      </c>
      <c r="N111" s="8">
        <v>14.77664686196295</v>
      </c>
      <c r="O111" s="8">
        <v>1165</v>
      </c>
      <c r="P111" s="9">
        <v>7.1777380591014932</v>
      </c>
      <c r="Q111" s="9">
        <v>1643</v>
      </c>
      <c r="R111" s="9">
        <v>21.781707238042081</v>
      </c>
      <c r="S111" s="9">
        <v>746</v>
      </c>
      <c r="T111" s="9">
        <v>16.740051250805049</v>
      </c>
      <c r="U111" s="9">
        <v>494</v>
      </c>
      <c r="V111" s="9">
        <v>2.8701715208504881</v>
      </c>
      <c r="W111" s="9">
        <v>2191</v>
      </c>
      <c r="X111">
        <v>1490.9536079334191</v>
      </c>
      <c r="Y111">
        <v>-0.68461373636528444</v>
      </c>
      <c r="Z111">
        <v>0.15254822785664179</v>
      </c>
      <c r="AA111">
        <v>-4.4878511273736619</v>
      </c>
      <c r="AB111">
        <v>7.1945173469657839E-6</v>
      </c>
      <c r="AC111">
        <v>9.6643624498275618E-4</v>
      </c>
      <c r="AD111" t="s">
        <v>1395</v>
      </c>
      <c r="AE111" t="s">
        <v>1396</v>
      </c>
      <c r="AF111" t="s">
        <v>1397</v>
      </c>
      <c r="AG111" t="s">
        <v>43</v>
      </c>
      <c r="AH111" t="s">
        <v>43</v>
      </c>
      <c r="AI111" t="s">
        <v>43</v>
      </c>
      <c r="AJ111" t="s">
        <v>43</v>
      </c>
      <c r="AK111" t="s">
        <v>43</v>
      </c>
      <c r="AL111" t="s">
        <v>43</v>
      </c>
      <c r="AM111" t="s">
        <v>43</v>
      </c>
      <c r="AN111" t="s">
        <v>43</v>
      </c>
    </row>
    <row r="112" spans="1:40" x14ac:dyDescent="0.3">
      <c r="A112" t="s">
        <v>1414</v>
      </c>
      <c r="B112">
        <v>794</v>
      </c>
      <c r="C112" t="str">
        <f>IF(Y112&lt;0, "Down", "Up")</f>
        <v>Down</v>
      </c>
      <c r="D112" s="7" t="str">
        <f>IF(AC112&lt;0.05, "Sig", "N")</f>
        <v>Sig</v>
      </c>
      <c r="E112" s="1" t="str">
        <f>IF(AND(H112&gt;2,J112&gt;2,L112&gt;2,N112&gt;2),"Y","N")</f>
        <v>Y</v>
      </c>
      <c r="F112" s="1" t="str">
        <f>IF(AND(P112&gt;2,R112&gt;2,T112&gt;2,V112&gt;2),"Y","N")</f>
        <v>Y</v>
      </c>
      <c r="G112" s="1" t="str">
        <f>IF(OR(E112="Y", F112="Y"), "Expressed", "N")</f>
        <v>Expressed</v>
      </c>
      <c r="H112" s="8">
        <v>120.96036892829861</v>
      </c>
      <c r="I112" s="8">
        <v>4273</v>
      </c>
      <c r="J112" s="8">
        <v>20.107301958961742</v>
      </c>
      <c r="K112" s="8">
        <v>1591</v>
      </c>
      <c r="L112" s="8">
        <v>214.36924468043159</v>
      </c>
      <c r="M112" s="8">
        <v>13154</v>
      </c>
      <c r="N112" s="8">
        <v>54.295395191992633</v>
      </c>
      <c r="O112" s="8">
        <v>1983</v>
      </c>
      <c r="P112" s="9">
        <v>26.37392150899322</v>
      </c>
      <c r="Q112" s="9">
        <v>2517</v>
      </c>
      <c r="R112" s="9">
        <v>72.032399800475844</v>
      </c>
      <c r="S112" s="9">
        <v>323</v>
      </c>
      <c r="T112" s="9">
        <v>15.64626902434004</v>
      </c>
      <c r="U112" s="9">
        <v>547</v>
      </c>
      <c r="V112" s="9">
        <v>6.8605438326557007</v>
      </c>
      <c r="W112" s="9">
        <v>1429</v>
      </c>
      <c r="X112">
        <v>2781.5148356570389</v>
      </c>
      <c r="Y112">
        <v>-2.1136375269103849</v>
      </c>
      <c r="Z112">
        <v>0.68971189230040231</v>
      </c>
      <c r="AA112">
        <v>-3.064522375945629</v>
      </c>
      <c r="AB112">
        <v>2.180178648420968E-3</v>
      </c>
      <c r="AC112">
        <v>4.8764222900632467E-2</v>
      </c>
      <c r="AD112" t="s">
        <v>1415</v>
      </c>
      <c r="AE112" t="s">
        <v>1416</v>
      </c>
      <c r="AF112" t="s">
        <v>1417</v>
      </c>
      <c r="AG112" t="s">
        <v>43</v>
      </c>
      <c r="AH112" t="s">
        <v>43</v>
      </c>
      <c r="AI112" t="s">
        <v>43</v>
      </c>
      <c r="AJ112" t="s">
        <v>43</v>
      </c>
      <c r="AK112" t="s">
        <v>43</v>
      </c>
      <c r="AL112" t="s">
        <v>43</v>
      </c>
      <c r="AM112" t="s">
        <v>43</v>
      </c>
      <c r="AN112" t="s">
        <v>43</v>
      </c>
    </row>
    <row r="113" spans="1:40" x14ac:dyDescent="0.3">
      <c r="A113" t="s">
        <v>1418</v>
      </c>
      <c r="B113">
        <v>1760</v>
      </c>
      <c r="C113" t="str">
        <f>IF(Y113&lt;0, "Down", "Up")</f>
        <v>Down</v>
      </c>
      <c r="D113" s="7" t="str">
        <f>IF(AC113&lt;0.05, "Sig", "N")</f>
        <v>Sig</v>
      </c>
      <c r="E113" s="1" t="str">
        <f>IF(AND(H113&gt;2,J113&gt;2,L113&gt;2,N113&gt;2),"Y","N")</f>
        <v>Y</v>
      </c>
      <c r="F113" s="1" t="str">
        <f>IF(AND(P113&gt;2,R113&gt;2,T113&gt;2,V113&gt;2),"Y","N")</f>
        <v>Y</v>
      </c>
      <c r="G113" s="1" t="str">
        <f>IF(OR(E113="Y", F113="Y"), "Expressed", "N")</f>
        <v>Expressed</v>
      </c>
      <c r="H113" s="8">
        <v>31.83760007235832</v>
      </c>
      <c r="I113" s="8">
        <v>2493</v>
      </c>
      <c r="J113" s="8">
        <v>20.0522829073327</v>
      </c>
      <c r="K113" s="8">
        <v>3517</v>
      </c>
      <c r="L113" s="8">
        <v>35.885688458420788</v>
      </c>
      <c r="M113" s="8">
        <v>4881</v>
      </c>
      <c r="N113" s="8">
        <v>21.369493175980189</v>
      </c>
      <c r="O113" s="8">
        <v>1730</v>
      </c>
      <c r="P113" s="9">
        <v>10.3802050563836</v>
      </c>
      <c r="Q113" s="9">
        <v>3080</v>
      </c>
      <c r="R113" s="9">
        <v>39.765204419054903</v>
      </c>
      <c r="S113" s="9">
        <v>953</v>
      </c>
      <c r="T113" s="9">
        <v>20.826150678784959</v>
      </c>
      <c r="U113" s="9">
        <v>788</v>
      </c>
      <c r="V113" s="9">
        <v>4.4586693751717608</v>
      </c>
      <c r="W113" s="9">
        <v>2416</v>
      </c>
      <c r="X113">
        <v>2219.965022482646</v>
      </c>
      <c r="Y113">
        <v>-0.75845024327072508</v>
      </c>
      <c r="Z113">
        <v>0.18406434728754589</v>
      </c>
      <c r="AA113">
        <v>-4.1205711722426708</v>
      </c>
      <c r="AB113">
        <v>3.7793429259175957E-5</v>
      </c>
      <c r="AC113">
        <v>3.3093046464645849E-3</v>
      </c>
      <c r="AD113" t="s">
        <v>1419</v>
      </c>
      <c r="AE113" t="s">
        <v>1420</v>
      </c>
      <c r="AF113" t="s">
        <v>1421</v>
      </c>
      <c r="AG113" t="s">
        <v>1422</v>
      </c>
      <c r="AH113" t="s">
        <v>43</v>
      </c>
      <c r="AI113" t="s">
        <v>43</v>
      </c>
      <c r="AJ113" t="s">
        <v>43</v>
      </c>
      <c r="AK113" t="s">
        <v>43</v>
      </c>
      <c r="AL113" t="s">
        <v>43</v>
      </c>
      <c r="AM113" t="s">
        <v>1423</v>
      </c>
      <c r="AN113" t="s">
        <v>43</v>
      </c>
    </row>
    <row r="114" spans="1:40" x14ac:dyDescent="0.3">
      <c r="A114" t="s">
        <v>1430</v>
      </c>
      <c r="B114">
        <v>1728</v>
      </c>
      <c r="C114" t="str">
        <f>IF(Y114&lt;0, "Down", "Up")</f>
        <v>Down</v>
      </c>
      <c r="D114" s="7" t="str">
        <f>IF(AC114&lt;0.05, "Sig", "N")</f>
        <v>Sig</v>
      </c>
      <c r="E114" s="1" t="str">
        <f>IF(AND(H114&gt;2,J114&gt;2,L114&gt;2,N114&gt;2),"Y","N")</f>
        <v>Y</v>
      </c>
      <c r="F114" s="1" t="str">
        <f>IF(AND(P114&gt;2,R114&gt;2,T114&gt;2,V114&gt;2),"Y","N")</f>
        <v>Y</v>
      </c>
      <c r="G114" s="1" t="str">
        <f>IF(OR(E114="Y", F114="Y"), "Expressed", "N")</f>
        <v>Expressed</v>
      </c>
      <c r="H114" s="8">
        <v>42.950086532223523</v>
      </c>
      <c r="I114" s="8">
        <v>3302</v>
      </c>
      <c r="J114" s="8">
        <v>19.930016752430632</v>
      </c>
      <c r="K114" s="8">
        <v>3432</v>
      </c>
      <c r="L114" s="8">
        <v>48.172030860085407</v>
      </c>
      <c r="M114" s="8">
        <v>6433</v>
      </c>
      <c r="N114" s="8">
        <v>22.50750675498362</v>
      </c>
      <c r="O114" s="8">
        <v>1789</v>
      </c>
      <c r="P114" s="9">
        <v>10.932993754258881</v>
      </c>
      <c r="Q114" s="9">
        <v>2829</v>
      </c>
      <c r="R114" s="9">
        <v>37.200979927746801</v>
      </c>
      <c r="S114" s="9">
        <v>1108</v>
      </c>
      <c r="T114" s="9">
        <v>24.661801375095319</v>
      </c>
      <c r="U114" s="9">
        <v>693</v>
      </c>
      <c r="V114" s="9">
        <v>3.993753131102455</v>
      </c>
      <c r="W114" s="9">
        <v>3012</v>
      </c>
      <c r="X114">
        <v>2512.289703447691</v>
      </c>
      <c r="Y114">
        <v>-0.96635768362713648</v>
      </c>
      <c r="Z114">
        <v>0.22858208183905279</v>
      </c>
      <c r="AA114">
        <v>-4.2276178248632794</v>
      </c>
      <c r="AB114">
        <v>2.361785044719841E-5</v>
      </c>
      <c r="AC114">
        <v>2.417200087760453E-3</v>
      </c>
      <c r="AD114" t="s">
        <v>1431</v>
      </c>
      <c r="AE114" t="s">
        <v>1432</v>
      </c>
      <c r="AF114" t="s">
        <v>1433</v>
      </c>
      <c r="AG114" t="s">
        <v>1434</v>
      </c>
      <c r="AH114" t="s">
        <v>43</v>
      </c>
      <c r="AI114" t="s">
        <v>43</v>
      </c>
      <c r="AJ114" t="s">
        <v>43</v>
      </c>
      <c r="AK114" t="s">
        <v>43</v>
      </c>
      <c r="AL114" t="s">
        <v>43</v>
      </c>
      <c r="AM114" t="s">
        <v>1435</v>
      </c>
      <c r="AN114" t="s">
        <v>43</v>
      </c>
    </row>
    <row r="115" spans="1:40" x14ac:dyDescent="0.3">
      <c r="A115" t="s">
        <v>1442</v>
      </c>
      <c r="B115">
        <v>1213</v>
      </c>
      <c r="C115" t="str">
        <f>IF(Y115&lt;0, "Down", "Up")</f>
        <v>Down</v>
      </c>
      <c r="D115" s="7" t="str">
        <f>IF(AC115&lt;0.05, "Sig", "N")</f>
        <v>Sig</v>
      </c>
      <c r="E115" s="1" t="str">
        <f>IF(AND(H115&gt;2,J115&gt;2,L115&gt;2,N115&gt;2),"Y","N")</f>
        <v>Y</v>
      </c>
      <c r="F115" s="1" t="str">
        <f>IF(AND(P115&gt;2,R115&gt;2,T115&gt;2,V115&gt;2),"Y","N")</f>
        <v>Y</v>
      </c>
      <c r="G115" s="1" t="str">
        <f>IF(OR(E115="Y", F115="Y"), "Expressed", "N")</f>
        <v>Expressed</v>
      </c>
      <c r="H115" s="8">
        <v>23.440152724776471</v>
      </c>
      <c r="I115" s="8">
        <v>1265</v>
      </c>
      <c r="J115" s="8">
        <v>19.68884676319195</v>
      </c>
      <c r="K115" s="8">
        <v>2380</v>
      </c>
      <c r="L115" s="8">
        <v>24.514010406675371</v>
      </c>
      <c r="M115" s="8">
        <v>2298</v>
      </c>
      <c r="N115" s="8">
        <v>20.055342003298762</v>
      </c>
      <c r="O115" s="8">
        <v>1119</v>
      </c>
      <c r="P115" s="9">
        <v>9.7418577387760319</v>
      </c>
      <c r="Q115" s="9">
        <v>1882</v>
      </c>
      <c r="R115" s="9">
        <v>35.255265441837857</v>
      </c>
      <c r="S115" s="9">
        <v>551</v>
      </c>
      <c r="T115" s="9">
        <v>17.471072719773719</v>
      </c>
      <c r="U115" s="9">
        <v>364</v>
      </c>
      <c r="V115" s="9">
        <v>2.988355786624215</v>
      </c>
      <c r="W115" s="9">
        <v>1855</v>
      </c>
      <c r="X115">
        <v>1274.306550327055</v>
      </c>
      <c r="Y115">
        <v>-0.66060279390305265</v>
      </c>
      <c r="Z115">
        <v>0.1574444236818778</v>
      </c>
      <c r="AA115">
        <v>-4.1957840008219316</v>
      </c>
      <c r="AB115">
        <v>2.7192930785797639E-5</v>
      </c>
      <c r="AC115">
        <v>2.6240623250523582E-3</v>
      </c>
      <c r="AD115" t="s">
        <v>1443</v>
      </c>
      <c r="AE115" t="s">
        <v>1444</v>
      </c>
      <c r="AF115" t="s">
        <v>1445</v>
      </c>
      <c r="AG115" t="s">
        <v>1295</v>
      </c>
      <c r="AH115" t="s">
        <v>43</v>
      </c>
      <c r="AI115" t="s">
        <v>43</v>
      </c>
      <c r="AJ115" t="s">
        <v>43</v>
      </c>
      <c r="AK115" t="s">
        <v>43</v>
      </c>
      <c r="AL115" t="s">
        <v>43</v>
      </c>
      <c r="AM115" t="s">
        <v>130</v>
      </c>
      <c r="AN115" t="s">
        <v>43</v>
      </c>
    </row>
    <row r="116" spans="1:40" x14ac:dyDescent="0.3">
      <c r="A116" t="s">
        <v>1446</v>
      </c>
      <c r="B116">
        <v>1794</v>
      </c>
      <c r="C116" t="str">
        <f>IF(Y116&lt;0, "Down", "Up")</f>
        <v>Down</v>
      </c>
      <c r="D116" s="7" t="str">
        <f>IF(AC116&lt;0.05, "Sig", "N")</f>
        <v>Sig</v>
      </c>
      <c r="E116" s="1" t="str">
        <f>IF(AND(H116&gt;2,J116&gt;2,L116&gt;2,N116&gt;2),"Y","N")</f>
        <v>Y</v>
      </c>
      <c r="F116" s="1" t="str">
        <f>IF(AND(P116&gt;2,R116&gt;2,T116&gt;2,V116&gt;2),"Y","N")</f>
        <v>Y</v>
      </c>
      <c r="G116" s="1" t="str">
        <f>IF(OR(E116="Y", F116="Y"), "Expressed", "N")</f>
        <v>Expressed</v>
      </c>
      <c r="H116" s="8">
        <v>26.77397144203286</v>
      </c>
      <c r="I116" s="8">
        <v>2137</v>
      </c>
      <c r="J116" s="8">
        <v>19.638689941141969</v>
      </c>
      <c r="K116" s="8">
        <v>3511</v>
      </c>
      <c r="L116" s="8">
        <v>39.922738967419228</v>
      </c>
      <c r="M116" s="8">
        <v>5535</v>
      </c>
      <c r="N116" s="8">
        <v>19.098293409569081</v>
      </c>
      <c r="O116" s="8">
        <v>1576</v>
      </c>
      <c r="P116" s="9">
        <v>9.2769725601699218</v>
      </c>
      <c r="Q116" s="9">
        <v>2779</v>
      </c>
      <c r="R116" s="9">
        <v>35.199077267257067</v>
      </c>
      <c r="S116" s="9">
        <v>627</v>
      </c>
      <c r="T116" s="9">
        <v>13.442309035863261</v>
      </c>
      <c r="U116" s="9">
        <v>575</v>
      </c>
      <c r="V116" s="9">
        <v>3.191810694187776</v>
      </c>
      <c r="W116" s="9">
        <v>3545</v>
      </c>
      <c r="X116">
        <v>2125.008404998368</v>
      </c>
      <c r="Y116">
        <v>-0.83149114778405886</v>
      </c>
      <c r="Z116">
        <v>0.25405989441390342</v>
      </c>
      <c r="AA116">
        <v>-3.272815450475743</v>
      </c>
      <c r="AB116">
        <v>1.0648197809168651E-3</v>
      </c>
      <c r="AC116">
        <v>3.2056201113151571E-2</v>
      </c>
      <c r="AD116" t="s">
        <v>1447</v>
      </c>
      <c r="AE116" t="s">
        <v>1448</v>
      </c>
      <c r="AF116" t="s">
        <v>1449</v>
      </c>
      <c r="AG116" t="s">
        <v>1450</v>
      </c>
      <c r="AH116" t="s">
        <v>43</v>
      </c>
      <c r="AI116" t="s">
        <v>43</v>
      </c>
      <c r="AJ116" t="s">
        <v>43</v>
      </c>
      <c r="AK116" t="s">
        <v>43</v>
      </c>
      <c r="AL116" t="s">
        <v>43</v>
      </c>
      <c r="AM116" t="s">
        <v>1451</v>
      </c>
      <c r="AN116" t="s">
        <v>43</v>
      </c>
    </row>
    <row r="117" spans="1:40" x14ac:dyDescent="0.3">
      <c r="A117" t="s">
        <v>1464</v>
      </c>
      <c r="B117">
        <v>1351</v>
      </c>
      <c r="C117" t="str">
        <f>IF(Y117&lt;0, "Down", "Up")</f>
        <v>Down</v>
      </c>
      <c r="D117" s="7" t="str">
        <f>IF(AC117&lt;0.05, "Sig", "N")</f>
        <v>Sig</v>
      </c>
      <c r="E117" s="1" t="str">
        <f>IF(AND(H117&gt;2,J117&gt;2,L117&gt;2,N117&gt;2),"Y","N")</f>
        <v>Y</v>
      </c>
      <c r="F117" s="1" t="str">
        <f>IF(AND(P117&gt;2,R117&gt;2,T117&gt;2,V117&gt;2),"Y","N")</f>
        <v>Y</v>
      </c>
      <c r="G117" s="1" t="str">
        <f>IF(OR(E117="Y", F117="Y"), "Expressed", "N")</f>
        <v>Expressed</v>
      </c>
      <c r="H117" s="8">
        <v>26.436214106043231</v>
      </c>
      <c r="I117" s="8">
        <v>1589</v>
      </c>
      <c r="J117" s="8">
        <v>19.408330693841339</v>
      </c>
      <c r="K117" s="8">
        <v>2613</v>
      </c>
      <c r="L117" s="8">
        <v>32.277485484597889</v>
      </c>
      <c r="M117" s="8">
        <v>3370</v>
      </c>
      <c r="N117" s="8">
        <v>21.756154251874381</v>
      </c>
      <c r="O117" s="8">
        <v>1352</v>
      </c>
      <c r="P117" s="9">
        <v>10.568025198960269</v>
      </c>
      <c r="Q117" s="9">
        <v>2175</v>
      </c>
      <c r="R117" s="9">
        <v>36.582137934416593</v>
      </c>
      <c r="S117" s="9">
        <v>875</v>
      </c>
      <c r="T117" s="9">
        <v>24.9104445157245</v>
      </c>
      <c r="U117" s="9">
        <v>647</v>
      </c>
      <c r="V117" s="9">
        <v>4.7691463654442723</v>
      </c>
      <c r="W117" s="9">
        <v>2243</v>
      </c>
      <c r="X117">
        <v>1667.869653811279</v>
      </c>
      <c r="Y117">
        <v>-0.52004618536498082</v>
      </c>
      <c r="Z117">
        <v>0.13224469368311961</v>
      </c>
      <c r="AA117">
        <v>-3.932454081001528</v>
      </c>
      <c r="AB117">
        <v>8.4083044968707538E-5</v>
      </c>
      <c r="AC117">
        <v>5.951770506437676E-3</v>
      </c>
      <c r="AD117" t="s">
        <v>1465</v>
      </c>
      <c r="AE117" t="s">
        <v>1466</v>
      </c>
      <c r="AF117" t="s">
        <v>1467</v>
      </c>
      <c r="AG117" t="s">
        <v>1468</v>
      </c>
      <c r="AH117" t="s">
        <v>43</v>
      </c>
      <c r="AI117" t="s">
        <v>43</v>
      </c>
      <c r="AJ117" t="s">
        <v>43</v>
      </c>
      <c r="AK117" t="s">
        <v>43</v>
      </c>
      <c r="AL117" t="s">
        <v>43</v>
      </c>
      <c r="AM117" t="s">
        <v>1469</v>
      </c>
      <c r="AN117" t="s">
        <v>43</v>
      </c>
    </row>
    <row r="118" spans="1:40" x14ac:dyDescent="0.3">
      <c r="A118" t="s">
        <v>1470</v>
      </c>
      <c r="B118">
        <v>622</v>
      </c>
      <c r="C118" t="str">
        <f>IF(Y118&lt;0, "Down", "Up")</f>
        <v>Down</v>
      </c>
      <c r="D118" s="7" t="str">
        <f>IF(AC118&lt;0.05, "Sig", "N")</f>
        <v>Sig</v>
      </c>
      <c r="E118" s="1" t="str">
        <f>IF(AND(H118&gt;2,J118&gt;2,L118&gt;2,N118&gt;2),"Y","N")</f>
        <v>Y</v>
      </c>
      <c r="F118" s="1" t="str">
        <f>IF(AND(P118&gt;2,R118&gt;2,T118&gt;2,V118&gt;2),"Y","N")</f>
        <v>Y</v>
      </c>
      <c r="G118" s="1" t="str">
        <f>IF(OR(E118="Y", F118="Y"), "Expressed", "N")</f>
        <v>Expressed</v>
      </c>
      <c r="H118" s="8">
        <v>24.21113394374018</v>
      </c>
      <c r="I118" s="8">
        <v>670</v>
      </c>
      <c r="J118" s="8">
        <v>19.407936624789549</v>
      </c>
      <c r="K118" s="8">
        <v>1203</v>
      </c>
      <c r="L118" s="8">
        <v>31.683610179186761</v>
      </c>
      <c r="M118" s="8">
        <v>1523</v>
      </c>
      <c r="N118" s="8">
        <v>17.755549373436761</v>
      </c>
      <c r="O118" s="8">
        <v>508</v>
      </c>
      <c r="P118" s="9">
        <v>8.624736294269324</v>
      </c>
      <c r="Q118" s="9">
        <v>675</v>
      </c>
      <c r="R118" s="9">
        <v>24.659175914434599</v>
      </c>
      <c r="S118" s="9">
        <v>292</v>
      </c>
      <c r="T118" s="9">
        <v>18.05598728139125</v>
      </c>
      <c r="U118" s="9">
        <v>215</v>
      </c>
      <c r="V118" s="9">
        <v>3.4422292824134408</v>
      </c>
      <c r="W118" s="9">
        <v>809</v>
      </c>
      <c r="X118">
        <v>649.03125961898377</v>
      </c>
      <c r="Y118">
        <v>-0.87877307248465242</v>
      </c>
      <c r="Z118">
        <v>0.1569100619206252</v>
      </c>
      <c r="AA118">
        <v>-5.6004889790253856</v>
      </c>
      <c r="AB118">
        <v>2.1374799791571129E-8</v>
      </c>
      <c r="AC118">
        <v>1.263357541680812E-5</v>
      </c>
      <c r="AD118" t="s">
        <v>1471</v>
      </c>
      <c r="AE118" t="s">
        <v>1472</v>
      </c>
      <c r="AF118" t="s">
        <v>1473</v>
      </c>
      <c r="AG118" t="s">
        <v>43</v>
      </c>
      <c r="AH118" t="s">
        <v>43</v>
      </c>
      <c r="AI118" t="s">
        <v>43</v>
      </c>
      <c r="AJ118" t="s">
        <v>43</v>
      </c>
      <c r="AK118" t="s">
        <v>43</v>
      </c>
      <c r="AL118" t="s">
        <v>43</v>
      </c>
      <c r="AM118" t="s">
        <v>43</v>
      </c>
      <c r="AN118" t="s">
        <v>43</v>
      </c>
    </row>
    <row r="119" spans="1:40" x14ac:dyDescent="0.3">
      <c r="A119" t="s">
        <v>1474</v>
      </c>
      <c r="B119">
        <v>1384</v>
      </c>
      <c r="C119" t="str">
        <f>IF(Y119&lt;0, "Down", "Up")</f>
        <v>Down</v>
      </c>
      <c r="D119" s="7" t="str">
        <f>IF(AC119&lt;0.05, "Sig", "N")</f>
        <v>Sig</v>
      </c>
      <c r="E119" s="1" t="str">
        <f>IF(AND(H119&gt;2,J119&gt;2,L119&gt;2,N119&gt;2),"Y","N")</f>
        <v>Y</v>
      </c>
      <c r="F119" s="1" t="str">
        <f>IF(AND(P119&gt;2,R119&gt;2,T119&gt;2,V119&gt;2),"Y","N")</f>
        <v>Y</v>
      </c>
      <c r="G119" s="1" t="str">
        <f>IF(OR(E119="Y", F119="Y"), "Expressed", "N")</f>
        <v>Expressed</v>
      </c>
      <c r="H119" s="8">
        <v>23.434783912807589</v>
      </c>
      <c r="I119" s="8">
        <v>1443</v>
      </c>
      <c r="J119" s="8">
        <v>19.315335367487641</v>
      </c>
      <c r="K119" s="8">
        <v>2664</v>
      </c>
      <c r="L119" s="8">
        <v>30.98429055600214</v>
      </c>
      <c r="M119" s="8">
        <v>3314</v>
      </c>
      <c r="N119" s="8">
        <v>16.477836329822939</v>
      </c>
      <c r="O119" s="8">
        <v>1049</v>
      </c>
      <c r="P119" s="9">
        <v>8.0040887530896683</v>
      </c>
      <c r="Q119" s="9">
        <v>1897</v>
      </c>
      <c r="R119" s="9">
        <v>31.14557918371063</v>
      </c>
      <c r="S119" s="9">
        <v>863</v>
      </c>
      <c r="T119" s="9">
        <v>23.98299842829223</v>
      </c>
      <c r="U119" s="9">
        <v>497</v>
      </c>
      <c r="V119" s="9">
        <v>3.5761194615862228</v>
      </c>
      <c r="W119" s="9">
        <v>2454</v>
      </c>
      <c r="X119">
        <v>1539.2467740825421</v>
      </c>
      <c r="Y119">
        <v>-0.51369361279336168</v>
      </c>
      <c r="Z119">
        <v>0.15954281484886049</v>
      </c>
      <c r="AA119">
        <v>-3.219785317690417</v>
      </c>
      <c r="AB119">
        <v>1.2828662895483869E-3</v>
      </c>
      <c r="AC119">
        <v>3.6106577163694011E-2</v>
      </c>
      <c r="AD119" t="s">
        <v>1475</v>
      </c>
      <c r="AE119" t="s">
        <v>1476</v>
      </c>
      <c r="AF119" t="s">
        <v>1477</v>
      </c>
      <c r="AG119" t="s">
        <v>1478</v>
      </c>
      <c r="AH119" t="s">
        <v>43</v>
      </c>
      <c r="AI119" t="s">
        <v>43</v>
      </c>
      <c r="AJ119" t="s">
        <v>43</v>
      </c>
      <c r="AK119" t="s">
        <v>43</v>
      </c>
      <c r="AL119" t="s">
        <v>43</v>
      </c>
      <c r="AM119" t="s">
        <v>1479</v>
      </c>
      <c r="AN119" t="s">
        <v>43</v>
      </c>
    </row>
    <row r="120" spans="1:40" x14ac:dyDescent="0.3">
      <c r="A120" t="s">
        <v>1502</v>
      </c>
      <c r="B120">
        <v>2906</v>
      </c>
      <c r="C120" t="str">
        <f>IF(Y120&lt;0, "Down", "Up")</f>
        <v>Down</v>
      </c>
      <c r="D120" s="7" t="str">
        <f>IF(AC120&lt;0.05, "Sig", "N")</f>
        <v>Sig</v>
      </c>
      <c r="E120" s="1" t="str">
        <f>IF(AND(H120&gt;2,J120&gt;2,L120&gt;2,N120&gt;2),"Y","N")</f>
        <v>Y</v>
      </c>
      <c r="F120" s="1" t="str">
        <f>IF(AND(P120&gt;2,R120&gt;2,T120&gt;2,V120&gt;2),"Y","N")</f>
        <v>N</v>
      </c>
      <c r="G120" s="1" t="str">
        <f>IF(OR(E120="Y", F120="Y"), "Expressed", "N")</f>
        <v>Expressed</v>
      </c>
      <c r="H120" s="8">
        <v>6.9842994718311937</v>
      </c>
      <c r="I120" s="8">
        <v>903</v>
      </c>
      <c r="J120" s="8">
        <v>18.73303977663624</v>
      </c>
      <c r="K120" s="8">
        <v>5425</v>
      </c>
      <c r="L120" s="8">
        <v>5.218637664294147</v>
      </c>
      <c r="M120" s="8">
        <v>1172</v>
      </c>
      <c r="N120" s="8">
        <v>3.6657366093204242</v>
      </c>
      <c r="O120" s="8">
        <v>490</v>
      </c>
      <c r="P120" s="9">
        <v>1.780627054375284</v>
      </c>
      <c r="Q120" s="9">
        <v>360</v>
      </c>
      <c r="R120" s="9">
        <v>2.8149589206291941</v>
      </c>
      <c r="S120" s="9">
        <v>267</v>
      </c>
      <c r="T120" s="9">
        <v>3.533820003688366</v>
      </c>
      <c r="U120" s="9">
        <v>210</v>
      </c>
      <c r="V120" s="9">
        <v>0.71964018129106366</v>
      </c>
      <c r="W120" s="9">
        <v>500</v>
      </c>
      <c r="X120">
        <v>940.15849736749965</v>
      </c>
      <c r="Y120">
        <v>-2.1289400380838011</v>
      </c>
      <c r="Z120">
        <v>0.59573591553876992</v>
      </c>
      <c r="AA120">
        <v>-3.57363050061945</v>
      </c>
      <c r="AB120">
        <v>3.5206565228207149E-4</v>
      </c>
      <c r="AC120">
        <v>1.5244571705591089E-2</v>
      </c>
      <c r="AD120" t="s">
        <v>1503</v>
      </c>
      <c r="AE120" t="s">
        <v>1504</v>
      </c>
      <c r="AF120" t="s">
        <v>43</v>
      </c>
      <c r="AG120" t="s">
        <v>140</v>
      </c>
      <c r="AH120" t="s">
        <v>43</v>
      </c>
      <c r="AI120" t="s">
        <v>43</v>
      </c>
      <c r="AJ120" t="s">
        <v>43</v>
      </c>
      <c r="AK120" t="s">
        <v>43</v>
      </c>
      <c r="AL120" t="s">
        <v>43</v>
      </c>
      <c r="AM120" t="s">
        <v>141</v>
      </c>
      <c r="AN120" t="s">
        <v>43</v>
      </c>
    </row>
    <row r="121" spans="1:40" x14ac:dyDescent="0.3">
      <c r="A121" t="s">
        <v>1505</v>
      </c>
      <c r="B121">
        <v>999</v>
      </c>
      <c r="C121" t="str">
        <f>IF(Y121&lt;0, "Down", "Up")</f>
        <v>Down</v>
      </c>
      <c r="D121" s="7" t="str">
        <f>IF(AC121&lt;0.05, "Sig", "N")</f>
        <v>Sig</v>
      </c>
      <c r="E121" s="1" t="str">
        <f>IF(AND(H121&gt;2,J121&gt;2,L121&gt;2,N121&gt;2),"Y","N")</f>
        <v>Y</v>
      </c>
      <c r="F121" s="1" t="str">
        <f>IF(AND(P121&gt;2,R121&gt;2,T121&gt;2,V121&gt;2),"Y","N")</f>
        <v>Y</v>
      </c>
      <c r="G121" s="1" t="str">
        <f>IF(OR(E121="Y", F121="Y"), "Expressed", "N")</f>
        <v>Expressed</v>
      </c>
      <c r="H121" s="8">
        <v>27.763894396261769</v>
      </c>
      <c r="I121" s="8">
        <v>1234</v>
      </c>
      <c r="J121" s="8">
        <v>18.622945156684381</v>
      </c>
      <c r="K121" s="8">
        <v>1854</v>
      </c>
      <c r="L121" s="8">
        <v>61.745428138869002</v>
      </c>
      <c r="M121" s="8">
        <v>4767</v>
      </c>
      <c r="N121" s="8">
        <v>22.980486403831421</v>
      </c>
      <c r="O121" s="8">
        <v>1056</v>
      </c>
      <c r="P121" s="9">
        <v>11.16274303759962</v>
      </c>
      <c r="Q121" s="9">
        <v>1666</v>
      </c>
      <c r="R121" s="9">
        <v>37.894368975916187</v>
      </c>
      <c r="S121" s="9">
        <v>474</v>
      </c>
      <c r="T121" s="9">
        <v>18.249107388888959</v>
      </c>
      <c r="U121" s="9">
        <v>440</v>
      </c>
      <c r="V121" s="9">
        <v>4.3861038248057849</v>
      </c>
      <c r="W121" s="9">
        <v>833</v>
      </c>
      <c r="X121">
        <v>1331.8994180900829</v>
      </c>
      <c r="Y121">
        <v>-1.184789540520212</v>
      </c>
      <c r="Z121">
        <v>0.30834349946673489</v>
      </c>
      <c r="AA121">
        <v>-3.842433982131122</v>
      </c>
      <c r="AB121">
        <v>1.2182018738696149E-4</v>
      </c>
      <c r="AC121">
        <v>7.7629996501416268E-3</v>
      </c>
      <c r="AD121" t="s">
        <v>1506</v>
      </c>
      <c r="AE121" t="s">
        <v>1507</v>
      </c>
      <c r="AF121" t="s">
        <v>1052</v>
      </c>
      <c r="AG121" t="s">
        <v>1508</v>
      </c>
      <c r="AH121" t="s">
        <v>43</v>
      </c>
      <c r="AI121" t="s">
        <v>43</v>
      </c>
      <c r="AJ121" t="s">
        <v>43</v>
      </c>
      <c r="AK121" t="s">
        <v>43</v>
      </c>
      <c r="AL121" t="s">
        <v>43</v>
      </c>
      <c r="AM121" t="s">
        <v>1509</v>
      </c>
      <c r="AN121" t="s">
        <v>43</v>
      </c>
    </row>
    <row r="122" spans="1:40" x14ac:dyDescent="0.3">
      <c r="A122" t="s">
        <v>1510</v>
      </c>
      <c r="B122">
        <v>1854</v>
      </c>
      <c r="C122" t="str">
        <f>IF(Y122&lt;0, "Down", "Up")</f>
        <v>Down</v>
      </c>
      <c r="D122" s="7" t="str">
        <f>IF(AC122&lt;0.05, "Sig", "N")</f>
        <v>Sig</v>
      </c>
      <c r="E122" s="1" t="str">
        <f>IF(AND(H122&gt;2,J122&gt;2,L122&gt;2,N122&gt;2),"Y","N")</f>
        <v>Y</v>
      </c>
      <c r="F122" s="1" t="str">
        <f>IF(AND(P122&gt;2,R122&gt;2,T122&gt;2,V122&gt;2),"Y","N")</f>
        <v>Y</v>
      </c>
      <c r="G122" s="1" t="str">
        <f>IF(OR(E122="Y", F122="Y"), "Expressed", "N")</f>
        <v>Expressed</v>
      </c>
      <c r="H122" s="8">
        <v>22.222015568388411</v>
      </c>
      <c r="I122" s="8">
        <v>1833</v>
      </c>
      <c r="J122" s="8">
        <v>18.34281397894966</v>
      </c>
      <c r="K122" s="8">
        <v>3389</v>
      </c>
      <c r="L122" s="8">
        <v>19.730642212228361</v>
      </c>
      <c r="M122" s="8">
        <v>2827</v>
      </c>
      <c r="N122" s="8">
        <v>15.18521080703308</v>
      </c>
      <c r="O122" s="8">
        <v>1295</v>
      </c>
      <c r="P122" s="9">
        <v>7.3761974934712313</v>
      </c>
      <c r="Q122" s="9">
        <v>2159</v>
      </c>
      <c r="R122" s="9">
        <v>26.461111524345679</v>
      </c>
      <c r="S122" s="9">
        <v>705</v>
      </c>
      <c r="T122" s="9">
        <v>14.625413734766139</v>
      </c>
      <c r="U122" s="9">
        <v>549</v>
      </c>
      <c r="V122" s="9">
        <v>2.9488612199894049</v>
      </c>
      <c r="W122" s="9">
        <v>2564</v>
      </c>
      <c r="X122">
        <v>1680.629460824724</v>
      </c>
      <c r="Y122">
        <v>-0.66709626098240649</v>
      </c>
      <c r="Z122">
        <v>0.168164908973783</v>
      </c>
      <c r="AA122">
        <v>-3.9669171473009701</v>
      </c>
      <c r="AB122">
        <v>7.2808288556226546E-5</v>
      </c>
      <c r="AC122">
        <v>5.362409838150492E-3</v>
      </c>
      <c r="AD122" t="s">
        <v>1511</v>
      </c>
      <c r="AE122" t="s">
        <v>1512</v>
      </c>
      <c r="AF122" t="s">
        <v>1513</v>
      </c>
      <c r="AG122" t="s">
        <v>1514</v>
      </c>
      <c r="AH122" t="s">
        <v>43</v>
      </c>
      <c r="AI122" t="s">
        <v>43</v>
      </c>
      <c r="AJ122" t="s">
        <v>43</v>
      </c>
      <c r="AK122" t="s">
        <v>43</v>
      </c>
      <c r="AL122" t="s">
        <v>43</v>
      </c>
      <c r="AM122" t="s">
        <v>1515</v>
      </c>
      <c r="AN122" t="s">
        <v>43</v>
      </c>
    </row>
    <row r="123" spans="1:40" x14ac:dyDescent="0.3">
      <c r="A123" t="s">
        <v>1516</v>
      </c>
      <c r="B123">
        <v>2391</v>
      </c>
      <c r="C123" t="str">
        <f>IF(Y123&lt;0, "Down", "Up")</f>
        <v>Down</v>
      </c>
      <c r="D123" s="7" t="str">
        <f>IF(AC123&lt;0.05, "Sig", "N")</f>
        <v>Sig</v>
      </c>
      <c r="E123" s="1" t="str">
        <f>IF(AND(H123&gt;2,J123&gt;2,L123&gt;2,N123&gt;2),"Y","N")</f>
        <v>Y</v>
      </c>
      <c r="F123" s="1" t="str">
        <f>IF(AND(P123&gt;2,R123&gt;2,T123&gt;2,V123&gt;2),"Y","N")</f>
        <v>Y</v>
      </c>
      <c r="G123" s="1" t="str">
        <f>IF(OR(E123="Y", F123="Y"), "Expressed", "N")</f>
        <v>Expressed</v>
      </c>
      <c r="H123" s="8">
        <v>29.611587442942209</v>
      </c>
      <c r="I123" s="8">
        <v>3150</v>
      </c>
      <c r="J123" s="8">
        <v>18.331887201049462</v>
      </c>
      <c r="K123" s="8">
        <v>4368</v>
      </c>
      <c r="L123" s="8">
        <v>36.183613749443573</v>
      </c>
      <c r="M123" s="8">
        <v>6686</v>
      </c>
      <c r="N123" s="8">
        <v>23.3039648628565</v>
      </c>
      <c r="O123" s="8">
        <v>2563</v>
      </c>
      <c r="P123" s="9">
        <v>11.31987230165617</v>
      </c>
      <c r="Q123" s="9">
        <v>2245</v>
      </c>
      <c r="R123" s="9">
        <v>21.335456514495611</v>
      </c>
      <c r="S123" s="9">
        <v>1141</v>
      </c>
      <c r="T123" s="9">
        <v>18.354173879184401</v>
      </c>
      <c r="U123" s="9">
        <v>1014</v>
      </c>
      <c r="V123" s="9">
        <v>4.2232821651978183</v>
      </c>
      <c r="W123" s="9">
        <v>1757</v>
      </c>
      <c r="X123">
        <v>2672.87068369086</v>
      </c>
      <c r="Y123">
        <v>-1.204963153124571</v>
      </c>
      <c r="Z123">
        <v>0.2385037042261183</v>
      </c>
      <c r="AA123">
        <v>-5.0521779401052038</v>
      </c>
      <c r="AB123">
        <v>4.368004765061605E-7</v>
      </c>
      <c r="AC123">
        <v>1.30987430953392E-4</v>
      </c>
      <c r="AD123" t="s">
        <v>1517</v>
      </c>
      <c r="AE123" t="s">
        <v>1518</v>
      </c>
      <c r="AF123" t="s">
        <v>1519</v>
      </c>
      <c r="AG123" t="s">
        <v>1520</v>
      </c>
      <c r="AH123" t="s">
        <v>43</v>
      </c>
      <c r="AI123" t="s">
        <v>43</v>
      </c>
      <c r="AJ123" t="s">
        <v>43</v>
      </c>
      <c r="AK123" t="s">
        <v>43</v>
      </c>
      <c r="AL123" t="s">
        <v>43</v>
      </c>
      <c r="AM123" t="s">
        <v>1521</v>
      </c>
      <c r="AN123" t="s">
        <v>43</v>
      </c>
    </row>
    <row r="124" spans="1:40" x14ac:dyDescent="0.3">
      <c r="A124" t="s">
        <v>1522</v>
      </c>
      <c r="B124">
        <v>2746</v>
      </c>
      <c r="C124" t="str">
        <f>IF(Y124&lt;0, "Down", "Up")</f>
        <v>Down</v>
      </c>
      <c r="D124" s="7" t="str">
        <f>IF(AC124&lt;0.05, "Sig", "N")</f>
        <v>Sig</v>
      </c>
      <c r="E124" s="1" t="str">
        <f>IF(AND(H124&gt;2,J124&gt;2,L124&gt;2,N124&gt;2),"Y","N")</f>
        <v>Y</v>
      </c>
      <c r="F124" s="1" t="str">
        <f>IF(AND(P124&gt;2,R124&gt;2,T124&gt;2,V124&gt;2),"Y","N")</f>
        <v>Y</v>
      </c>
      <c r="G124" s="1" t="str">
        <f>IF(OR(E124="Y", F124="Y"), "Expressed", "N")</f>
        <v>Expressed</v>
      </c>
      <c r="H124" s="8">
        <v>31.414861536084249</v>
      </c>
      <c r="I124" s="8">
        <v>3838</v>
      </c>
      <c r="J124" s="8">
        <v>18.311671660095431</v>
      </c>
      <c r="K124" s="8">
        <v>5011</v>
      </c>
      <c r="L124" s="8">
        <v>50.500751449513437</v>
      </c>
      <c r="M124" s="8">
        <v>10717</v>
      </c>
      <c r="N124" s="8">
        <v>30.725849329581489</v>
      </c>
      <c r="O124" s="8">
        <v>3881</v>
      </c>
      <c r="P124" s="9">
        <v>14.92504356308736</v>
      </c>
      <c r="Q124" s="9">
        <v>2875</v>
      </c>
      <c r="R124" s="9">
        <v>23.790440683546532</v>
      </c>
      <c r="S124" s="9">
        <v>297</v>
      </c>
      <c r="T124" s="9">
        <v>4.1599172325880378</v>
      </c>
      <c r="U124" s="9">
        <v>720</v>
      </c>
      <c r="V124" s="9">
        <v>2.6111010718949088</v>
      </c>
      <c r="W124" s="9">
        <v>1120</v>
      </c>
      <c r="X124">
        <v>3155.4564152526232</v>
      </c>
      <c r="Y124">
        <v>-2.1736688742883978</v>
      </c>
      <c r="Z124">
        <v>0.48808958466751612</v>
      </c>
      <c r="AA124">
        <v>-4.4534219589403641</v>
      </c>
      <c r="AB124">
        <v>8.4512434662620072E-6</v>
      </c>
      <c r="AC124">
        <v>1.10497718104151E-3</v>
      </c>
      <c r="AD124" t="s">
        <v>1523</v>
      </c>
      <c r="AE124" t="s">
        <v>1524</v>
      </c>
      <c r="AF124" t="s">
        <v>1525</v>
      </c>
      <c r="AG124" t="s">
        <v>1526</v>
      </c>
      <c r="AH124" t="s">
        <v>43</v>
      </c>
      <c r="AI124" t="s">
        <v>43</v>
      </c>
      <c r="AJ124" t="s">
        <v>43</v>
      </c>
      <c r="AK124" t="s">
        <v>43</v>
      </c>
      <c r="AL124" t="s">
        <v>43</v>
      </c>
      <c r="AM124" t="s">
        <v>1527</v>
      </c>
      <c r="AN124" t="s">
        <v>43</v>
      </c>
    </row>
    <row r="125" spans="1:40" x14ac:dyDescent="0.3">
      <c r="A125" t="s">
        <v>1539</v>
      </c>
      <c r="B125">
        <v>905</v>
      </c>
      <c r="C125" t="str">
        <f>IF(Y125&lt;0, "Down", "Up")</f>
        <v>Down</v>
      </c>
      <c r="D125" s="7" t="str">
        <f>IF(AC125&lt;0.05, "Sig", "N")</f>
        <v>Sig</v>
      </c>
      <c r="E125" s="1" t="str">
        <f>IF(AND(H125&gt;2,J125&gt;2,L125&gt;2,N125&gt;2),"Y","N")</f>
        <v>Y</v>
      </c>
      <c r="F125" s="1" t="str">
        <f>IF(AND(P125&gt;2,R125&gt;2,T125&gt;2,V125&gt;2),"Y","N")</f>
        <v>Y</v>
      </c>
      <c r="G125" s="1" t="str">
        <f>IF(OR(E125="Y", F125="Y"), "Expressed", "N")</f>
        <v>Expressed</v>
      </c>
      <c r="H125" s="8">
        <v>33.702489403396839</v>
      </c>
      <c r="I125" s="8">
        <v>1357</v>
      </c>
      <c r="J125" s="8">
        <v>17.973744273922531</v>
      </c>
      <c r="K125" s="8">
        <v>1621</v>
      </c>
      <c r="L125" s="8">
        <v>39.448297422056669</v>
      </c>
      <c r="M125" s="8">
        <v>2759</v>
      </c>
      <c r="N125" s="8">
        <v>18.56913619011754</v>
      </c>
      <c r="O125" s="8">
        <v>773</v>
      </c>
      <c r="P125" s="9">
        <v>9.0199350909262979</v>
      </c>
      <c r="Q125" s="9">
        <v>1469</v>
      </c>
      <c r="R125" s="9">
        <v>36.884031754754012</v>
      </c>
      <c r="S125" s="9">
        <v>413</v>
      </c>
      <c r="T125" s="9">
        <v>17.55214693395698</v>
      </c>
      <c r="U125" s="9">
        <v>303</v>
      </c>
      <c r="V125" s="9">
        <v>3.334154870560615</v>
      </c>
      <c r="W125" s="9">
        <v>1282</v>
      </c>
      <c r="X125">
        <v>1089.9954370226001</v>
      </c>
      <c r="Y125">
        <v>-0.9322659166424313</v>
      </c>
      <c r="Z125">
        <v>0.2315214036092797</v>
      </c>
      <c r="AA125">
        <v>-4.0266943017317853</v>
      </c>
      <c r="AB125">
        <v>5.6566497884825707E-5</v>
      </c>
      <c r="AC125">
        <v>4.4752011530016633E-3</v>
      </c>
      <c r="AD125" t="s">
        <v>1540</v>
      </c>
      <c r="AE125" t="s">
        <v>1541</v>
      </c>
      <c r="AF125" t="s">
        <v>1542</v>
      </c>
      <c r="AG125" t="s">
        <v>43</v>
      </c>
      <c r="AH125" t="s">
        <v>43</v>
      </c>
      <c r="AI125" t="s">
        <v>43</v>
      </c>
      <c r="AJ125" t="s">
        <v>43</v>
      </c>
      <c r="AK125" t="s">
        <v>43</v>
      </c>
      <c r="AL125" t="s">
        <v>43</v>
      </c>
      <c r="AM125" t="s">
        <v>43</v>
      </c>
      <c r="AN125" t="s">
        <v>43</v>
      </c>
    </row>
    <row r="126" spans="1:40" x14ac:dyDescent="0.3">
      <c r="A126" t="s">
        <v>1547</v>
      </c>
      <c r="B126">
        <v>3289</v>
      </c>
      <c r="C126" t="str">
        <f>IF(Y126&lt;0, "Down", "Up")</f>
        <v>Down</v>
      </c>
      <c r="D126" s="7" t="str">
        <f>IF(AC126&lt;0.05, "Sig", "N")</f>
        <v>Sig</v>
      </c>
      <c r="E126" s="1" t="str">
        <f>IF(AND(H126&gt;2,J126&gt;2,L126&gt;2,N126&gt;2),"Y","N")</f>
        <v>Y</v>
      </c>
      <c r="F126" s="1" t="str">
        <f>IF(AND(P126&gt;2,R126&gt;2,T126&gt;2,V126&gt;2),"Y","N")</f>
        <v>Y</v>
      </c>
      <c r="G126" s="1" t="str">
        <f>IF(OR(E126="Y", F126="Y"), "Expressed", "N")</f>
        <v>Expressed</v>
      </c>
      <c r="H126" s="8">
        <v>19.838730360204551</v>
      </c>
      <c r="I126" s="8">
        <v>2903</v>
      </c>
      <c r="J126" s="8">
        <v>17.906238253472811</v>
      </c>
      <c r="K126" s="8">
        <v>5869</v>
      </c>
      <c r="L126" s="8">
        <v>20.080380358680241</v>
      </c>
      <c r="M126" s="8">
        <v>5104</v>
      </c>
      <c r="N126" s="8">
        <v>16.081961651643368</v>
      </c>
      <c r="O126" s="8">
        <v>2433</v>
      </c>
      <c r="P126" s="9">
        <v>7.8117931145224109</v>
      </c>
      <c r="Q126" s="9">
        <v>4657</v>
      </c>
      <c r="R126" s="9">
        <v>32.174183552019933</v>
      </c>
      <c r="S126" s="9">
        <v>1718</v>
      </c>
      <c r="T126" s="9">
        <v>20.090375749119691</v>
      </c>
      <c r="U126" s="9">
        <v>1083</v>
      </c>
      <c r="V126" s="9">
        <v>3.2791123938074569</v>
      </c>
      <c r="W126" s="9">
        <v>4770</v>
      </c>
      <c r="X126">
        <v>3139.5981107117459</v>
      </c>
      <c r="Y126">
        <v>-0.40571884877254111</v>
      </c>
      <c r="Z126">
        <v>0.1170449424342415</v>
      </c>
      <c r="AA126">
        <v>-3.4663509617297921</v>
      </c>
      <c r="AB126">
        <v>5.2757413243127043E-4</v>
      </c>
      <c r="AC126">
        <v>1.9988634036762969E-2</v>
      </c>
      <c r="AD126" t="s">
        <v>1548</v>
      </c>
      <c r="AE126" t="s">
        <v>1549</v>
      </c>
      <c r="AF126" t="s">
        <v>1550</v>
      </c>
      <c r="AG126" t="s">
        <v>1551</v>
      </c>
      <c r="AH126" t="s">
        <v>43</v>
      </c>
      <c r="AI126" t="s">
        <v>43</v>
      </c>
      <c r="AJ126" t="s">
        <v>43</v>
      </c>
      <c r="AK126" t="s">
        <v>43</v>
      </c>
      <c r="AL126" t="s">
        <v>43</v>
      </c>
      <c r="AM126" t="s">
        <v>1552</v>
      </c>
      <c r="AN126" t="s">
        <v>43</v>
      </c>
    </row>
    <row r="127" spans="1:40" x14ac:dyDescent="0.3">
      <c r="A127" t="s">
        <v>1558</v>
      </c>
      <c r="B127">
        <v>2325</v>
      </c>
      <c r="C127" t="str">
        <f>IF(Y127&lt;0, "Down", "Up")</f>
        <v>Down</v>
      </c>
      <c r="D127" s="7" t="str">
        <f>IF(AC127&lt;0.05, "Sig", "N")</f>
        <v>Sig</v>
      </c>
      <c r="E127" s="1" t="str">
        <f>IF(AND(H127&gt;2,J127&gt;2,L127&gt;2,N127&gt;2),"Y","N")</f>
        <v>Y</v>
      </c>
      <c r="F127" s="1" t="str">
        <f>IF(AND(P127&gt;2,R127&gt;2,T127&gt;2,V127&gt;2),"Y","N")</f>
        <v>Y</v>
      </c>
      <c r="G127" s="1" t="str">
        <f>IF(OR(E127="Y", F127="Y"), "Expressed", "N")</f>
        <v>Expressed</v>
      </c>
      <c r="H127" s="8">
        <v>28.528370405188159</v>
      </c>
      <c r="I127" s="8">
        <v>2951</v>
      </c>
      <c r="J127" s="8">
        <v>17.63516501520737</v>
      </c>
      <c r="K127" s="8">
        <v>4086</v>
      </c>
      <c r="L127" s="8">
        <v>40.305165232398153</v>
      </c>
      <c r="M127" s="8">
        <v>7242</v>
      </c>
      <c r="N127" s="8">
        <v>31.32439101636626</v>
      </c>
      <c r="O127" s="8">
        <v>3350</v>
      </c>
      <c r="P127" s="9">
        <v>15.215784452094651</v>
      </c>
      <c r="Q127" s="9">
        <v>3519</v>
      </c>
      <c r="R127" s="9">
        <v>34.392320577733763</v>
      </c>
      <c r="S127" s="9">
        <v>464</v>
      </c>
      <c r="T127" s="9">
        <v>7.6758025884633474</v>
      </c>
      <c r="U127" s="9">
        <v>551</v>
      </c>
      <c r="V127" s="9">
        <v>2.3600454196095009</v>
      </c>
      <c r="W127" s="9">
        <v>4183</v>
      </c>
      <c r="X127">
        <v>2818.4444560574411</v>
      </c>
      <c r="Y127">
        <v>-1.251414175374262</v>
      </c>
      <c r="Z127">
        <v>0.33083140723727678</v>
      </c>
      <c r="AA127">
        <v>-3.782634139317766</v>
      </c>
      <c r="AB127">
        <v>1.5517741868173611E-4</v>
      </c>
      <c r="AC127">
        <v>8.9262884001790888E-3</v>
      </c>
      <c r="AD127" t="s">
        <v>1559</v>
      </c>
      <c r="AE127" t="s">
        <v>1560</v>
      </c>
      <c r="AF127" t="s">
        <v>1561</v>
      </c>
      <c r="AG127" t="s">
        <v>1562</v>
      </c>
      <c r="AH127" t="s">
        <v>43</v>
      </c>
      <c r="AI127" t="s">
        <v>43</v>
      </c>
      <c r="AJ127" t="s">
        <v>43</v>
      </c>
      <c r="AK127" t="s">
        <v>43</v>
      </c>
      <c r="AL127" t="s">
        <v>43</v>
      </c>
      <c r="AM127" t="s">
        <v>1563</v>
      </c>
      <c r="AN127" t="s">
        <v>43</v>
      </c>
    </row>
    <row r="128" spans="1:40" x14ac:dyDescent="0.3">
      <c r="A128" t="s">
        <v>1564</v>
      </c>
      <c r="B128">
        <v>1002</v>
      </c>
      <c r="C128" t="str">
        <f>IF(Y128&lt;0, "Down", "Up")</f>
        <v>Down</v>
      </c>
      <c r="D128" s="7" t="str">
        <f>IF(AC128&lt;0.05, "Sig", "N")</f>
        <v>Sig</v>
      </c>
      <c r="E128" s="1" t="str">
        <f>IF(AND(H128&gt;2,J128&gt;2,L128&gt;2,N128&gt;2),"Y","N")</f>
        <v>Y</v>
      </c>
      <c r="F128" s="1" t="str">
        <f>IF(AND(P128&gt;2,R128&gt;2,T128&gt;2,V128&gt;2),"Y","N")</f>
        <v>Y</v>
      </c>
      <c r="G128" s="1" t="str">
        <f>IF(OR(E128="Y", F128="Y"), "Expressed", "N")</f>
        <v>Expressed</v>
      </c>
      <c r="H128" s="8">
        <v>32.346571188004908</v>
      </c>
      <c r="I128" s="8">
        <v>1442</v>
      </c>
      <c r="J128" s="8">
        <v>17.585750722633819</v>
      </c>
      <c r="K128" s="8">
        <v>1756</v>
      </c>
      <c r="L128" s="8">
        <v>59.158576176335131</v>
      </c>
      <c r="M128" s="8">
        <v>4581</v>
      </c>
      <c r="N128" s="8">
        <v>26.730296311043439</v>
      </c>
      <c r="O128" s="8">
        <v>1232</v>
      </c>
      <c r="P128" s="9">
        <v>12.98420859313609</v>
      </c>
      <c r="Q128" s="9">
        <v>1639</v>
      </c>
      <c r="R128" s="9">
        <v>37.168617076037059</v>
      </c>
      <c r="S128" s="9">
        <v>527</v>
      </c>
      <c r="T128" s="9">
        <v>20.228872033044741</v>
      </c>
      <c r="U128" s="9">
        <v>367</v>
      </c>
      <c r="V128" s="9">
        <v>3.6474560052622471</v>
      </c>
      <c r="W128" s="9">
        <v>1283</v>
      </c>
      <c r="X128">
        <v>1394.1315205127489</v>
      </c>
      <c r="Y128">
        <v>-1.178218839549084</v>
      </c>
      <c r="Z128">
        <v>0.25655395857873758</v>
      </c>
      <c r="AA128">
        <v>-4.5924796720198842</v>
      </c>
      <c r="AB128">
        <v>4.3801018715171614E-6</v>
      </c>
      <c r="AC128">
        <v>6.5540739523043496E-4</v>
      </c>
      <c r="AD128" t="s">
        <v>1565</v>
      </c>
      <c r="AE128" t="s">
        <v>1566</v>
      </c>
      <c r="AF128" t="s">
        <v>43</v>
      </c>
      <c r="AG128" t="s">
        <v>1567</v>
      </c>
      <c r="AH128" t="s">
        <v>43</v>
      </c>
      <c r="AI128" t="s">
        <v>43</v>
      </c>
      <c r="AJ128" t="s">
        <v>43</v>
      </c>
      <c r="AK128" t="s">
        <v>43</v>
      </c>
      <c r="AL128" t="s">
        <v>43</v>
      </c>
      <c r="AM128" t="s">
        <v>1568</v>
      </c>
      <c r="AN128" t="s">
        <v>43</v>
      </c>
    </row>
    <row r="129" spans="1:40" x14ac:dyDescent="0.3">
      <c r="A129" t="s">
        <v>1580</v>
      </c>
      <c r="B129">
        <v>3862</v>
      </c>
      <c r="C129" t="str">
        <f>IF(Y129&lt;0, "Down", "Up")</f>
        <v>Down</v>
      </c>
      <c r="D129" s="7" t="str">
        <f>IF(AC129&lt;0.05, "Sig", "N")</f>
        <v>Sig</v>
      </c>
      <c r="E129" s="1" t="str">
        <f>IF(AND(H129&gt;2,J129&gt;2,L129&gt;2,N129&gt;2),"Y","N")</f>
        <v>Y</v>
      </c>
      <c r="F129" s="1" t="str">
        <f>IF(AND(P129&gt;2,R129&gt;2,T129&gt;2,V129&gt;2),"Y","N")</f>
        <v>Y</v>
      </c>
      <c r="G129" s="1" t="str">
        <f>IF(OR(E129="Y", F129="Y"), "Expressed", "N")</f>
        <v>Expressed</v>
      </c>
      <c r="H129" s="8">
        <v>44.120958593065787</v>
      </c>
      <c r="I129" s="8">
        <v>7581</v>
      </c>
      <c r="J129" s="8">
        <v>17.172265921875709</v>
      </c>
      <c r="K129" s="8">
        <v>6609</v>
      </c>
      <c r="L129" s="8">
        <v>69.1280334584808</v>
      </c>
      <c r="M129" s="8">
        <v>20632</v>
      </c>
      <c r="N129" s="8">
        <v>28.247445166396862</v>
      </c>
      <c r="O129" s="8">
        <v>5018</v>
      </c>
      <c r="P129" s="9">
        <v>13.72116178570538</v>
      </c>
      <c r="Q129" s="9">
        <v>7309</v>
      </c>
      <c r="R129" s="9">
        <v>43.004199023285089</v>
      </c>
      <c r="S129" s="9">
        <v>1839</v>
      </c>
      <c r="T129" s="9">
        <v>18.314633538337748</v>
      </c>
      <c r="U129" s="9">
        <v>1297</v>
      </c>
      <c r="V129" s="9">
        <v>3.3444093287229468</v>
      </c>
      <c r="W129" s="9">
        <v>3959</v>
      </c>
      <c r="X129">
        <v>5927.7486554463148</v>
      </c>
      <c r="Y129">
        <v>-1.4576154971823561</v>
      </c>
      <c r="Z129">
        <v>0.3112600289421662</v>
      </c>
      <c r="AA129">
        <v>-4.6829511072659713</v>
      </c>
      <c r="AB129">
        <v>2.8277397995448409E-6</v>
      </c>
      <c r="AC129">
        <v>4.8036267020164778E-4</v>
      </c>
      <c r="AD129" t="s">
        <v>1581</v>
      </c>
      <c r="AE129" t="s">
        <v>1582</v>
      </c>
      <c r="AF129" t="s">
        <v>55</v>
      </c>
      <c r="AG129" t="s">
        <v>1124</v>
      </c>
      <c r="AH129" t="s">
        <v>43</v>
      </c>
      <c r="AI129" t="s">
        <v>43</v>
      </c>
      <c r="AJ129" t="s">
        <v>43</v>
      </c>
      <c r="AK129" t="s">
        <v>43</v>
      </c>
      <c r="AL129" t="s">
        <v>43</v>
      </c>
      <c r="AM129" t="s">
        <v>1125</v>
      </c>
      <c r="AN129" t="s">
        <v>43</v>
      </c>
    </row>
    <row r="130" spans="1:40" x14ac:dyDescent="0.3">
      <c r="A130" t="s">
        <v>1589</v>
      </c>
      <c r="B130">
        <v>3444</v>
      </c>
      <c r="C130" t="str">
        <f>IF(Y130&lt;0, "Down", "Up")</f>
        <v>Down</v>
      </c>
      <c r="D130" s="7" t="str">
        <f>IF(AC130&lt;0.05, "Sig", "N")</f>
        <v>Sig</v>
      </c>
      <c r="E130" s="1" t="str">
        <f>IF(AND(H130&gt;2,J130&gt;2,L130&gt;2,N130&gt;2),"Y","N")</f>
        <v>Y</v>
      </c>
      <c r="F130" s="1" t="str">
        <f>IF(AND(P130&gt;2,R130&gt;2,T130&gt;2,V130&gt;2),"Y","N")</f>
        <v>Y</v>
      </c>
      <c r="G130" s="1" t="str">
        <f>IF(OR(E130="Y", F130="Y"), "Expressed", "N")</f>
        <v>Expressed</v>
      </c>
      <c r="H130" s="8">
        <v>23.011762205375788</v>
      </c>
      <c r="I130" s="8">
        <v>3526</v>
      </c>
      <c r="J130" s="8">
        <v>16.846863896477259</v>
      </c>
      <c r="K130" s="8">
        <v>5782</v>
      </c>
      <c r="L130" s="8">
        <v>28.90022842698168</v>
      </c>
      <c r="M130" s="8">
        <v>7692</v>
      </c>
      <c r="N130" s="8">
        <v>18.69115122850431</v>
      </c>
      <c r="O130" s="8">
        <v>2961</v>
      </c>
      <c r="P130" s="9">
        <v>9.0792037459190542</v>
      </c>
      <c r="Q130" s="9">
        <v>5024</v>
      </c>
      <c r="R130" s="9">
        <v>33.14756711487172</v>
      </c>
      <c r="S130" s="9">
        <v>1589</v>
      </c>
      <c r="T130" s="9">
        <v>17.745552596396841</v>
      </c>
      <c r="U130" s="9">
        <v>1114</v>
      </c>
      <c r="V130" s="9">
        <v>3.221170904057657</v>
      </c>
      <c r="W130" s="9">
        <v>4494</v>
      </c>
      <c r="X130">
        <v>3532.381008888362</v>
      </c>
      <c r="Y130">
        <v>-0.7034996866978166</v>
      </c>
      <c r="Z130">
        <v>0.14986431581644261</v>
      </c>
      <c r="AA130">
        <v>-4.694244142544779</v>
      </c>
      <c r="AB130">
        <v>2.6759429596613792E-6</v>
      </c>
      <c r="AC130">
        <v>4.584394453066255E-4</v>
      </c>
      <c r="AD130" t="s">
        <v>1590</v>
      </c>
      <c r="AE130" t="s">
        <v>1591</v>
      </c>
      <c r="AF130" t="s">
        <v>43</v>
      </c>
      <c r="AG130" t="s">
        <v>1592</v>
      </c>
      <c r="AH130" t="s">
        <v>43</v>
      </c>
      <c r="AI130" t="s">
        <v>43</v>
      </c>
      <c r="AJ130" t="s">
        <v>43</v>
      </c>
      <c r="AK130" t="s">
        <v>43</v>
      </c>
      <c r="AL130" t="s">
        <v>43</v>
      </c>
      <c r="AM130" t="s">
        <v>1593</v>
      </c>
      <c r="AN130" t="s">
        <v>43</v>
      </c>
    </row>
    <row r="131" spans="1:40" x14ac:dyDescent="0.3">
      <c r="A131" t="s">
        <v>1594</v>
      </c>
      <c r="B131">
        <v>1876</v>
      </c>
      <c r="C131" t="str">
        <f>IF(Y131&lt;0, "Down", "Up")</f>
        <v>Down</v>
      </c>
      <c r="D131" s="7" t="str">
        <f>IF(AC131&lt;0.05, "Sig", "N")</f>
        <v>Sig</v>
      </c>
      <c r="E131" s="1" t="str">
        <f>IF(AND(H131&gt;2,J131&gt;2,L131&gt;2,N131&gt;2),"Y","N")</f>
        <v>Y</v>
      </c>
      <c r="F131" s="1" t="str">
        <f>IF(AND(P131&gt;2,R131&gt;2,T131&gt;2,V131&gt;2),"Y","N")</f>
        <v>Y</v>
      </c>
      <c r="G131" s="1" t="str">
        <f>IF(OR(E131="Y", F131="Y"), "Expressed", "N")</f>
        <v>Expressed</v>
      </c>
      <c r="H131" s="8">
        <v>22.644340802582569</v>
      </c>
      <c r="I131" s="8">
        <v>1890</v>
      </c>
      <c r="J131" s="8">
        <v>16.78511139970912</v>
      </c>
      <c r="K131" s="8">
        <v>3138</v>
      </c>
      <c r="L131" s="8">
        <v>20.70632358051644</v>
      </c>
      <c r="M131" s="8">
        <v>3002</v>
      </c>
      <c r="N131" s="8">
        <v>12.770548394899089</v>
      </c>
      <c r="O131" s="8">
        <v>1102</v>
      </c>
      <c r="P131" s="9">
        <v>6.203278193351097</v>
      </c>
      <c r="Q131" s="9">
        <v>1765</v>
      </c>
      <c r="R131" s="9">
        <v>21.37849095328416</v>
      </c>
      <c r="S131" s="9">
        <v>723</v>
      </c>
      <c r="T131" s="9">
        <v>14.82293610780248</v>
      </c>
      <c r="U131" s="9">
        <v>482</v>
      </c>
      <c r="V131" s="9">
        <v>2.5586207858994379</v>
      </c>
      <c r="W131" s="9">
        <v>1900</v>
      </c>
      <c r="X131">
        <v>1555.147636722211</v>
      </c>
      <c r="Y131">
        <v>-0.8606939482698226</v>
      </c>
      <c r="Z131">
        <v>0.16612432751400411</v>
      </c>
      <c r="AA131">
        <v>-5.1810229190981483</v>
      </c>
      <c r="AB131">
        <v>2.206723729543903E-7</v>
      </c>
      <c r="AC131">
        <v>8.1517753771682738E-5</v>
      </c>
      <c r="AD131" t="s">
        <v>1595</v>
      </c>
      <c r="AE131" t="s">
        <v>1596</v>
      </c>
      <c r="AF131" t="s">
        <v>43</v>
      </c>
      <c r="AG131" t="s">
        <v>1597</v>
      </c>
      <c r="AH131" t="s">
        <v>43</v>
      </c>
      <c r="AI131" t="s">
        <v>43</v>
      </c>
      <c r="AJ131" t="s">
        <v>43</v>
      </c>
      <c r="AK131" t="s">
        <v>43</v>
      </c>
      <c r="AL131" t="s">
        <v>43</v>
      </c>
      <c r="AM131" t="s">
        <v>192</v>
      </c>
      <c r="AN131" t="s">
        <v>43</v>
      </c>
    </row>
    <row r="132" spans="1:40" x14ac:dyDescent="0.3">
      <c r="A132" t="s">
        <v>1598</v>
      </c>
      <c r="B132">
        <v>1196</v>
      </c>
      <c r="C132" t="str">
        <f>IF(Y132&lt;0, "Down", "Up")</f>
        <v>Down</v>
      </c>
      <c r="D132" s="7" t="str">
        <f>IF(AC132&lt;0.05, "Sig", "N")</f>
        <v>Sig</v>
      </c>
      <c r="E132" s="1" t="str">
        <f>IF(AND(H132&gt;2,J132&gt;2,L132&gt;2,N132&gt;2),"Y","N")</f>
        <v>Y</v>
      </c>
      <c r="F132" s="1" t="str">
        <f>IF(AND(P132&gt;2,R132&gt;2,T132&gt;2,V132&gt;2),"Y","N")</f>
        <v>Y</v>
      </c>
      <c r="G132" s="1" t="str">
        <f>IF(OR(E132="Y", F132="Y"), "Expressed", "N")</f>
        <v>Expressed</v>
      </c>
      <c r="H132" s="8">
        <v>36.458707017461677</v>
      </c>
      <c r="I132" s="8">
        <v>1940</v>
      </c>
      <c r="J132" s="8">
        <v>16.662961359915101</v>
      </c>
      <c r="K132" s="8">
        <v>1986</v>
      </c>
      <c r="L132" s="8">
        <v>56.389516395173167</v>
      </c>
      <c r="M132" s="8">
        <v>5212</v>
      </c>
      <c r="N132" s="8">
        <v>21.849126280109811</v>
      </c>
      <c r="O132" s="8">
        <v>1202</v>
      </c>
      <c r="P132" s="9">
        <v>10.61318624745328</v>
      </c>
      <c r="Q132" s="9">
        <v>2259</v>
      </c>
      <c r="R132" s="9">
        <v>42.919062007952711</v>
      </c>
      <c r="S132" s="9">
        <v>636</v>
      </c>
      <c r="T132" s="9">
        <v>20.4528912603087</v>
      </c>
      <c r="U132" s="9">
        <v>394</v>
      </c>
      <c r="V132" s="9">
        <v>3.2806262961130011</v>
      </c>
      <c r="W132" s="9">
        <v>2411</v>
      </c>
      <c r="X132">
        <v>1703.8598054771489</v>
      </c>
      <c r="Y132">
        <v>-0.9233345018683754</v>
      </c>
      <c r="Z132">
        <v>0.28859855673515339</v>
      </c>
      <c r="AA132">
        <v>-3.1993732481334569</v>
      </c>
      <c r="AB132">
        <v>1.3772673379408729E-3</v>
      </c>
      <c r="AC132">
        <v>3.7621834524608593E-2</v>
      </c>
      <c r="AD132" t="s">
        <v>1599</v>
      </c>
      <c r="AE132" t="s">
        <v>1600</v>
      </c>
      <c r="AF132" t="s">
        <v>43</v>
      </c>
      <c r="AG132" t="s">
        <v>1601</v>
      </c>
      <c r="AH132" t="s">
        <v>43</v>
      </c>
      <c r="AI132" t="s">
        <v>43</v>
      </c>
      <c r="AJ132" t="s">
        <v>43</v>
      </c>
      <c r="AK132" t="s">
        <v>43</v>
      </c>
      <c r="AL132" t="s">
        <v>43</v>
      </c>
      <c r="AM132" t="s">
        <v>1602</v>
      </c>
      <c r="AN132" t="s">
        <v>43</v>
      </c>
    </row>
    <row r="133" spans="1:40" x14ac:dyDescent="0.3">
      <c r="A133" t="s">
        <v>1603</v>
      </c>
      <c r="B133">
        <v>944</v>
      </c>
      <c r="C133" t="str">
        <f>IF(Y133&lt;0, "Down", "Up")</f>
        <v>Down</v>
      </c>
      <c r="D133" s="7" t="str">
        <f>IF(AC133&lt;0.05, "Sig", "N")</f>
        <v>Sig</v>
      </c>
      <c r="E133" s="1" t="str">
        <f>IF(AND(H133&gt;2,J133&gt;2,L133&gt;2,N133&gt;2),"Y","N")</f>
        <v>Y</v>
      </c>
      <c r="F133" s="1" t="str">
        <f>IF(AND(P133&gt;2,R133&gt;2,T133&gt;2,V133&gt;2),"Y","N")</f>
        <v>Y</v>
      </c>
      <c r="G133" s="1" t="str">
        <f>IF(OR(E133="Y", F133="Y"), "Expressed", "N")</f>
        <v>Expressed</v>
      </c>
      <c r="H133" s="8">
        <v>24.190922271082869</v>
      </c>
      <c r="I133" s="8">
        <v>1016</v>
      </c>
      <c r="J133" s="8">
        <v>16.550866703319329</v>
      </c>
      <c r="K133" s="8">
        <v>1557</v>
      </c>
      <c r="L133" s="8">
        <v>18.99837162560754</v>
      </c>
      <c r="M133" s="8">
        <v>1386</v>
      </c>
      <c r="N133" s="8">
        <v>18.492870894820509</v>
      </c>
      <c r="O133" s="8">
        <v>803</v>
      </c>
      <c r="P133" s="9">
        <v>8.9828893174327735</v>
      </c>
      <c r="Q133" s="9">
        <v>1216</v>
      </c>
      <c r="R133" s="9">
        <v>29.270271533638478</v>
      </c>
      <c r="S133" s="9">
        <v>506</v>
      </c>
      <c r="T133" s="9">
        <v>20.616137207767991</v>
      </c>
      <c r="U133" s="9">
        <v>335</v>
      </c>
      <c r="V133" s="9">
        <v>3.5339836203019739</v>
      </c>
      <c r="W133" s="9">
        <v>1250</v>
      </c>
      <c r="X133">
        <v>924.38943592605813</v>
      </c>
      <c r="Y133">
        <v>-0.52719636055093866</v>
      </c>
      <c r="Z133">
        <v>0.15476902589386229</v>
      </c>
      <c r="AA133">
        <v>-3.406342822836399</v>
      </c>
      <c r="AB133">
        <v>6.583944848648801E-4</v>
      </c>
      <c r="AC133">
        <v>2.3442413269842609E-2</v>
      </c>
      <c r="AD133" t="s">
        <v>1604</v>
      </c>
      <c r="AE133" t="s">
        <v>1605</v>
      </c>
      <c r="AF133" t="s">
        <v>43</v>
      </c>
      <c r="AG133" t="s">
        <v>1606</v>
      </c>
      <c r="AH133" t="s">
        <v>43</v>
      </c>
      <c r="AI133" t="s">
        <v>43</v>
      </c>
      <c r="AJ133" t="s">
        <v>43</v>
      </c>
      <c r="AK133" t="s">
        <v>43</v>
      </c>
      <c r="AL133" t="s">
        <v>43</v>
      </c>
      <c r="AM133" t="s">
        <v>362</v>
      </c>
      <c r="AN133" t="s">
        <v>43</v>
      </c>
    </row>
    <row r="134" spans="1:40" x14ac:dyDescent="0.3">
      <c r="A134" t="s">
        <v>1612</v>
      </c>
      <c r="B134">
        <v>1911</v>
      </c>
      <c r="C134" t="str">
        <f>IF(Y134&lt;0, "Down", "Up")</f>
        <v>Down</v>
      </c>
      <c r="D134" s="7" t="str">
        <f>IF(AC134&lt;0.05, "Sig", "N")</f>
        <v>Sig</v>
      </c>
      <c r="E134" s="1" t="str">
        <f>IF(AND(H134&gt;2,J134&gt;2,L134&gt;2,N134&gt;2),"Y","N")</f>
        <v>Y</v>
      </c>
      <c r="F134" s="1" t="str">
        <f>IF(AND(P134&gt;2,R134&gt;2,T134&gt;2,V134&gt;2),"Y","N")</f>
        <v>Y</v>
      </c>
      <c r="G134" s="1" t="str">
        <f>IF(OR(E134="Y", F134="Y"), "Expressed", "N")</f>
        <v>Expressed</v>
      </c>
      <c r="H134" s="8">
        <v>22.276656078191539</v>
      </c>
      <c r="I134" s="8">
        <v>1894</v>
      </c>
      <c r="J134" s="8">
        <v>16.451436691317081</v>
      </c>
      <c r="K134" s="8">
        <v>3133</v>
      </c>
      <c r="L134" s="8">
        <v>51.48129299997148</v>
      </c>
      <c r="M134" s="8">
        <v>7603</v>
      </c>
      <c r="N134" s="8">
        <v>20.750326455978509</v>
      </c>
      <c r="O134" s="8">
        <v>1824</v>
      </c>
      <c r="P134" s="9">
        <v>10.079445582830431</v>
      </c>
      <c r="Q134" s="9">
        <v>2871</v>
      </c>
      <c r="R134" s="9">
        <v>34.137968718578641</v>
      </c>
      <c r="S134" s="9">
        <v>356</v>
      </c>
      <c r="T134" s="9">
        <v>7.1650311744066926</v>
      </c>
      <c r="U134" s="9">
        <v>445</v>
      </c>
      <c r="V134" s="9">
        <v>2.3189481778180578</v>
      </c>
      <c r="W134" s="9">
        <v>1510</v>
      </c>
      <c r="X134">
        <v>2032.302984058929</v>
      </c>
      <c r="Y134">
        <v>-1.493534507408933</v>
      </c>
      <c r="Z134">
        <v>0.45949305631638832</v>
      </c>
      <c r="AA134">
        <v>-3.250396250559541</v>
      </c>
      <c r="AB134">
        <v>1.1524430969405879E-3</v>
      </c>
      <c r="AC134">
        <v>3.3511686046140257E-2</v>
      </c>
      <c r="AD134" t="s">
        <v>1613</v>
      </c>
      <c r="AE134" t="s">
        <v>1614</v>
      </c>
      <c r="AF134" t="s">
        <v>1615</v>
      </c>
      <c r="AG134" t="s">
        <v>817</v>
      </c>
      <c r="AH134" t="s">
        <v>43</v>
      </c>
      <c r="AI134" t="s">
        <v>43</v>
      </c>
      <c r="AJ134" t="s">
        <v>43</v>
      </c>
      <c r="AK134" t="s">
        <v>43</v>
      </c>
      <c r="AL134" t="s">
        <v>43</v>
      </c>
      <c r="AM134" t="s">
        <v>818</v>
      </c>
      <c r="AN134" t="s">
        <v>43</v>
      </c>
    </row>
    <row r="135" spans="1:40" x14ac:dyDescent="0.3">
      <c r="A135" t="s">
        <v>1616</v>
      </c>
      <c r="B135">
        <v>1237</v>
      </c>
      <c r="C135" t="str">
        <f>IF(Y135&lt;0, "Down", "Up")</f>
        <v>Down</v>
      </c>
      <c r="D135" s="7" t="str">
        <f>IF(AC135&lt;0.05, "Sig", "N")</f>
        <v>Sig</v>
      </c>
      <c r="E135" s="1" t="str">
        <f>IF(AND(H135&gt;2,J135&gt;2,L135&gt;2,N135&gt;2),"Y","N")</f>
        <v>Y</v>
      </c>
      <c r="F135" s="1" t="str">
        <f>IF(AND(P135&gt;2,R135&gt;2,T135&gt;2,V135&gt;2),"Y","N")</f>
        <v>Y</v>
      </c>
      <c r="G135" s="1" t="str">
        <f>IF(OR(E135="Y", F135="Y"), "Expressed", "N")</f>
        <v>Expressed</v>
      </c>
      <c r="H135" s="8">
        <v>19.478512935173988</v>
      </c>
      <c r="I135" s="8">
        <v>1072</v>
      </c>
      <c r="J135" s="8">
        <v>16.410820901527131</v>
      </c>
      <c r="K135" s="8">
        <v>2023</v>
      </c>
      <c r="L135" s="8">
        <v>14.864473152537601</v>
      </c>
      <c r="M135" s="8">
        <v>1421</v>
      </c>
      <c r="N135" s="8">
        <v>16.08096775743968</v>
      </c>
      <c r="O135" s="8">
        <v>915</v>
      </c>
      <c r="P135" s="9">
        <v>7.8113103316340329</v>
      </c>
      <c r="Q135" s="9">
        <v>1269</v>
      </c>
      <c r="R135" s="9">
        <v>23.310795430317899</v>
      </c>
      <c r="S135" s="9">
        <v>561</v>
      </c>
      <c r="T135" s="9">
        <v>17.443030292973571</v>
      </c>
      <c r="U135" s="9">
        <v>365</v>
      </c>
      <c r="V135" s="9">
        <v>2.938426854115634</v>
      </c>
      <c r="W135" s="9">
        <v>1636</v>
      </c>
      <c r="X135">
        <v>1044.623974309191</v>
      </c>
      <c r="Y135">
        <v>-0.51276001141486083</v>
      </c>
      <c r="Z135">
        <v>0.16402529280008621</v>
      </c>
      <c r="AA135">
        <v>-3.1261033140773722</v>
      </c>
      <c r="AB135">
        <v>1.771393083570122E-3</v>
      </c>
      <c r="AC135">
        <v>4.3188086570501501E-2</v>
      </c>
      <c r="AD135" t="s">
        <v>1617</v>
      </c>
      <c r="AE135" t="s">
        <v>1618</v>
      </c>
      <c r="AF135" t="s">
        <v>1619</v>
      </c>
      <c r="AG135" t="s">
        <v>1620</v>
      </c>
      <c r="AH135" t="s">
        <v>43</v>
      </c>
      <c r="AI135" t="s">
        <v>43</v>
      </c>
      <c r="AJ135" t="s">
        <v>43</v>
      </c>
      <c r="AK135" t="s">
        <v>43</v>
      </c>
      <c r="AL135" t="s">
        <v>43</v>
      </c>
      <c r="AM135" t="s">
        <v>1621</v>
      </c>
      <c r="AN135" t="s">
        <v>43</v>
      </c>
    </row>
    <row r="136" spans="1:40" x14ac:dyDescent="0.3">
      <c r="A136" t="s">
        <v>1623</v>
      </c>
      <c r="B136">
        <v>2010</v>
      </c>
      <c r="C136" t="str">
        <f>IF(Y136&lt;0, "Down", "Up")</f>
        <v>Down</v>
      </c>
      <c r="D136" s="7" t="str">
        <f>IF(AC136&lt;0.05, "Sig", "N")</f>
        <v>Sig</v>
      </c>
      <c r="E136" s="1" t="str">
        <f>IF(AND(H136&gt;2,J136&gt;2,L136&gt;2,N136&gt;2),"Y","N")</f>
        <v>Y</v>
      </c>
      <c r="F136" s="1" t="str">
        <f>IF(AND(P136&gt;2,R136&gt;2,T136&gt;2,V136&gt;2),"Y","N")</f>
        <v>Y</v>
      </c>
      <c r="G136" s="1" t="str">
        <f>IF(OR(E136="Y", F136="Y"), "Expressed", "N")</f>
        <v>Expressed</v>
      </c>
      <c r="H136" s="8">
        <v>19.177799741446471</v>
      </c>
      <c r="I136" s="8">
        <v>1715</v>
      </c>
      <c r="J136" s="8">
        <v>16.380015020910111</v>
      </c>
      <c r="K136" s="8">
        <v>3281</v>
      </c>
      <c r="L136" s="8">
        <v>23.11125523332792</v>
      </c>
      <c r="M136" s="8">
        <v>3590</v>
      </c>
      <c r="N136" s="8">
        <v>13.60646692867288</v>
      </c>
      <c r="O136" s="8">
        <v>1258</v>
      </c>
      <c r="P136" s="9">
        <v>6.6093245941500012</v>
      </c>
      <c r="Q136" s="9">
        <v>2523</v>
      </c>
      <c r="R136" s="9">
        <v>28.522419544925519</v>
      </c>
      <c r="S136" s="9">
        <v>824</v>
      </c>
      <c r="T136" s="9">
        <v>15.76739427751124</v>
      </c>
      <c r="U136" s="9">
        <v>728</v>
      </c>
      <c r="V136" s="9">
        <v>3.6068413623633568</v>
      </c>
      <c r="W136" s="9">
        <v>2619</v>
      </c>
      <c r="X136">
        <v>1814.045846364171</v>
      </c>
      <c r="Y136">
        <v>-0.488522990964953</v>
      </c>
      <c r="Z136">
        <v>0.15653740854692061</v>
      </c>
      <c r="AA136">
        <v>-3.1208066844834912</v>
      </c>
      <c r="AB136">
        <v>1.8035638861083521E-3</v>
      </c>
      <c r="AC136">
        <v>4.3599036191588607E-2</v>
      </c>
      <c r="AD136" t="s">
        <v>1624</v>
      </c>
      <c r="AE136" t="s">
        <v>1625</v>
      </c>
      <c r="AF136" t="s">
        <v>1626</v>
      </c>
      <c r="AG136" t="s">
        <v>1627</v>
      </c>
      <c r="AH136" t="s">
        <v>43</v>
      </c>
      <c r="AI136" t="s">
        <v>43</v>
      </c>
      <c r="AJ136" t="s">
        <v>43</v>
      </c>
      <c r="AK136" t="s">
        <v>43</v>
      </c>
      <c r="AL136" t="s">
        <v>43</v>
      </c>
      <c r="AM136" t="s">
        <v>1628</v>
      </c>
      <c r="AN136" t="s">
        <v>43</v>
      </c>
    </row>
    <row r="137" spans="1:40" x14ac:dyDescent="0.3">
      <c r="A137" t="s">
        <v>1630</v>
      </c>
      <c r="B137">
        <v>1706</v>
      </c>
      <c r="C137" t="str">
        <f>IF(Y137&lt;0, "Down", "Up")</f>
        <v>Down</v>
      </c>
      <c r="D137" s="7" t="str">
        <f>IF(AC137&lt;0.05, "Sig", "N")</f>
        <v>Sig</v>
      </c>
      <c r="E137" s="1" t="str">
        <f>IF(AND(H137&gt;2,J137&gt;2,L137&gt;2,N137&gt;2),"Y","N")</f>
        <v>Y</v>
      </c>
      <c r="F137" s="1" t="str">
        <f>IF(AND(P137&gt;2,R137&gt;2,T137&gt;2,V137&gt;2),"Y","N")</f>
        <v>Y</v>
      </c>
      <c r="G137" s="1" t="str">
        <f>IF(OR(E137="Y", F137="Y"), "Expressed", "N")</f>
        <v>Expressed</v>
      </c>
      <c r="H137" s="8">
        <v>27.9047182139836</v>
      </c>
      <c r="I137" s="8">
        <v>2118</v>
      </c>
      <c r="J137" s="8">
        <v>16.293142840590448</v>
      </c>
      <c r="K137" s="8">
        <v>2770</v>
      </c>
      <c r="L137" s="8">
        <v>34.230358636680947</v>
      </c>
      <c r="M137" s="8">
        <v>4513</v>
      </c>
      <c r="N137" s="8">
        <v>22.389970501239091</v>
      </c>
      <c r="O137" s="8">
        <v>1757</v>
      </c>
      <c r="P137" s="9">
        <v>10.8759006634036</v>
      </c>
      <c r="Q137" s="9">
        <v>2207</v>
      </c>
      <c r="R137" s="9">
        <v>29.396016128907782</v>
      </c>
      <c r="S137" s="9">
        <v>659</v>
      </c>
      <c r="T137" s="9">
        <v>14.857138131870821</v>
      </c>
      <c r="U137" s="9">
        <v>564</v>
      </c>
      <c r="V137" s="9">
        <v>3.2922423460424071</v>
      </c>
      <c r="W137" s="9">
        <v>2136</v>
      </c>
      <c r="X137">
        <v>1863.0737445666459</v>
      </c>
      <c r="Y137">
        <v>-1.014340277647261</v>
      </c>
      <c r="Z137">
        <v>0.19037372713557929</v>
      </c>
      <c r="AA137">
        <v>-5.3281526443240459</v>
      </c>
      <c r="AB137">
        <v>9.9216725608459847E-8</v>
      </c>
      <c r="AC137">
        <v>4.5109265900677071E-5</v>
      </c>
      <c r="AD137" t="s">
        <v>1631</v>
      </c>
      <c r="AE137" t="s">
        <v>1632</v>
      </c>
      <c r="AF137" t="s">
        <v>43</v>
      </c>
      <c r="AG137" t="s">
        <v>1633</v>
      </c>
      <c r="AH137" t="s">
        <v>43</v>
      </c>
      <c r="AI137" t="s">
        <v>43</v>
      </c>
      <c r="AJ137" t="s">
        <v>43</v>
      </c>
      <c r="AK137" t="s">
        <v>43</v>
      </c>
      <c r="AL137" t="s">
        <v>43</v>
      </c>
      <c r="AM137" t="s">
        <v>1634</v>
      </c>
      <c r="AN137" t="s">
        <v>43</v>
      </c>
    </row>
    <row r="138" spans="1:40" x14ac:dyDescent="0.3">
      <c r="A138" t="s">
        <v>208</v>
      </c>
      <c r="B138">
        <v>1847</v>
      </c>
      <c r="C138" t="str">
        <f>IF(Y138&lt;0, "Down", "Up")</f>
        <v>Down</v>
      </c>
      <c r="D138" s="7" t="str">
        <f>IF(AC138&lt;0.05, "Sig", "N")</f>
        <v>Sig</v>
      </c>
      <c r="E138" s="1" t="str">
        <f>IF(AND(H138&gt;2,J138&gt;2,L138&gt;2,N138&gt;2),"Y","N")</f>
        <v>Y</v>
      </c>
      <c r="F138" s="1" t="str">
        <f>IF(AND(P138&gt;2,R138&gt;2,T138&gt;2,V138&gt;2),"Y","N")</f>
        <v>N</v>
      </c>
      <c r="G138" s="1" t="str">
        <f>IF(OR(E138="Y", F138="Y"), "Expressed", "N")</f>
        <v>Expressed</v>
      </c>
      <c r="H138" s="8">
        <v>10.18566233827049</v>
      </c>
      <c r="I138" s="8">
        <v>837</v>
      </c>
      <c r="J138" s="8">
        <v>16.065289343367208</v>
      </c>
      <c r="K138" s="8">
        <v>2957</v>
      </c>
      <c r="L138" s="8">
        <v>10.6768517917242</v>
      </c>
      <c r="M138" s="8">
        <v>1524</v>
      </c>
      <c r="N138" s="8">
        <v>7.0269719901561656</v>
      </c>
      <c r="O138" s="8">
        <v>597</v>
      </c>
      <c r="P138" s="9">
        <v>3.4133430111142191</v>
      </c>
      <c r="Q138" s="9">
        <v>741</v>
      </c>
      <c r="R138" s="9">
        <v>9.1162553869656389</v>
      </c>
      <c r="S138" s="9">
        <v>147</v>
      </c>
      <c r="T138" s="9">
        <v>3.0611119495641348</v>
      </c>
      <c r="U138" s="9">
        <v>148</v>
      </c>
      <c r="V138" s="9">
        <v>0.79796995460105435</v>
      </c>
      <c r="W138" s="9">
        <v>1073</v>
      </c>
      <c r="X138">
        <v>811.53162285250335</v>
      </c>
      <c r="Y138">
        <v>-1.5319613920077451</v>
      </c>
      <c r="Z138">
        <v>0.32361874425068449</v>
      </c>
      <c r="AA138">
        <v>-4.7338462905011562</v>
      </c>
      <c r="AB138">
        <v>2.2030459025817111E-6</v>
      </c>
      <c r="AC138">
        <v>3.9759092541096798E-4</v>
      </c>
      <c r="AD138" t="s">
        <v>209</v>
      </c>
      <c r="AE138" t="s">
        <v>210</v>
      </c>
      <c r="AF138" t="s">
        <v>211</v>
      </c>
      <c r="AG138" t="s">
        <v>212</v>
      </c>
      <c r="AH138" t="s">
        <v>43</v>
      </c>
      <c r="AI138" t="s">
        <v>43</v>
      </c>
      <c r="AJ138" t="s">
        <v>43</v>
      </c>
      <c r="AK138" t="s">
        <v>43</v>
      </c>
      <c r="AL138" t="s">
        <v>43</v>
      </c>
      <c r="AM138" t="s">
        <v>213</v>
      </c>
      <c r="AN138" t="s">
        <v>214</v>
      </c>
    </row>
    <row r="139" spans="1:40" x14ac:dyDescent="0.3">
      <c r="A139" t="s">
        <v>1641</v>
      </c>
      <c r="B139">
        <v>1203</v>
      </c>
      <c r="C139" t="str">
        <f>IF(Y139&lt;0, "Down", "Up")</f>
        <v>Down</v>
      </c>
      <c r="D139" s="7" t="str">
        <f>IF(AC139&lt;0.05, "Sig", "N")</f>
        <v>Sig</v>
      </c>
      <c r="E139" s="1" t="str">
        <f>IF(AND(H139&gt;2,J139&gt;2,L139&gt;2,N139&gt;2),"Y","N")</f>
        <v>Y</v>
      </c>
      <c r="F139" s="1" t="str">
        <f>IF(AND(P139&gt;2,R139&gt;2,T139&gt;2,V139&gt;2),"Y","N")</f>
        <v>N</v>
      </c>
      <c r="G139" s="1" t="str">
        <f>IF(OR(E139="Y", F139="Y"), "Expressed", "N")</f>
        <v>Expressed</v>
      </c>
      <c r="H139" s="8">
        <v>7.0811581663123562</v>
      </c>
      <c r="I139" s="8">
        <v>379</v>
      </c>
      <c r="J139" s="8">
        <v>15.948740190355171</v>
      </c>
      <c r="K139" s="8">
        <v>1912</v>
      </c>
      <c r="L139" s="8">
        <v>6.313898798071353</v>
      </c>
      <c r="M139" s="8">
        <v>587</v>
      </c>
      <c r="N139" s="8">
        <v>9.0176983777900315</v>
      </c>
      <c r="O139" s="8">
        <v>499</v>
      </c>
      <c r="P139" s="9">
        <v>4.3803359081671216</v>
      </c>
      <c r="Q139" s="9">
        <v>422</v>
      </c>
      <c r="R139" s="9">
        <v>7.970985044456083</v>
      </c>
      <c r="S139" s="9">
        <v>304</v>
      </c>
      <c r="T139" s="9">
        <v>9.7193389900354958</v>
      </c>
      <c r="U139" s="9">
        <v>115</v>
      </c>
      <c r="V139" s="9">
        <v>0.95197146888992024</v>
      </c>
      <c r="W139" s="9">
        <v>582</v>
      </c>
      <c r="X139">
        <v>514.93203241107369</v>
      </c>
      <c r="Y139">
        <v>-1.0798779486994901</v>
      </c>
      <c r="Z139">
        <v>0.32224883020966422</v>
      </c>
      <c r="AA139">
        <v>-3.3510686384707449</v>
      </c>
      <c r="AB139">
        <v>8.0500346656241998E-4</v>
      </c>
      <c r="AC139">
        <v>2.654925992581815E-2</v>
      </c>
      <c r="AD139" t="s">
        <v>1642</v>
      </c>
      <c r="AE139" t="s">
        <v>1643</v>
      </c>
      <c r="AF139" t="s">
        <v>1644</v>
      </c>
      <c r="AG139" t="s">
        <v>1645</v>
      </c>
      <c r="AH139" t="s">
        <v>43</v>
      </c>
      <c r="AI139" t="s">
        <v>43</v>
      </c>
      <c r="AJ139" t="s">
        <v>43</v>
      </c>
      <c r="AK139" t="s">
        <v>43</v>
      </c>
      <c r="AL139" t="s">
        <v>43</v>
      </c>
      <c r="AM139" t="s">
        <v>1646</v>
      </c>
      <c r="AN139" t="s">
        <v>43</v>
      </c>
    </row>
    <row r="140" spans="1:40" x14ac:dyDescent="0.3">
      <c r="A140" t="s">
        <v>1652</v>
      </c>
      <c r="B140">
        <v>522</v>
      </c>
      <c r="C140" t="str">
        <f>IF(Y140&lt;0, "Down", "Up")</f>
        <v>Down</v>
      </c>
      <c r="D140" s="7" t="str">
        <f>IF(AC140&lt;0.05, "Sig", "N")</f>
        <v>Sig</v>
      </c>
      <c r="E140" s="1" t="str">
        <f>IF(AND(H140&gt;2,J140&gt;2,L140&gt;2,N140&gt;2),"Y","N")</f>
        <v>Y</v>
      </c>
      <c r="F140" s="1" t="str">
        <f>IF(AND(P140&gt;2,R140&gt;2,T140&gt;2,V140&gt;2),"Y","N")</f>
        <v>Y</v>
      </c>
      <c r="G140" s="1" t="str">
        <f>IF(OR(E140="Y", F140="Y"), "Expressed", "N")</f>
        <v>Expressed</v>
      </c>
      <c r="H140" s="8">
        <v>26.868585221352969</v>
      </c>
      <c r="I140" s="8">
        <v>624</v>
      </c>
      <c r="J140" s="8">
        <v>15.85942977647</v>
      </c>
      <c r="K140" s="8">
        <v>825</v>
      </c>
      <c r="L140" s="8">
        <v>29.325092066865249</v>
      </c>
      <c r="M140" s="8">
        <v>1183</v>
      </c>
      <c r="N140" s="8">
        <v>24.946929867168681</v>
      </c>
      <c r="O140" s="8">
        <v>599</v>
      </c>
      <c r="P140" s="9">
        <v>12.117940534008641</v>
      </c>
      <c r="Q140" s="9">
        <v>822</v>
      </c>
      <c r="R140" s="9">
        <v>35.782154386932817</v>
      </c>
      <c r="S140" s="9">
        <v>265</v>
      </c>
      <c r="T140" s="9">
        <v>19.525589038417309</v>
      </c>
      <c r="U140" s="9">
        <v>163</v>
      </c>
      <c r="V140" s="9">
        <v>3.1096307406822521</v>
      </c>
      <c r="W140" s="9">
        <v>786</v>
      </c>
      <c r="X140">
        <v>588.72945348201551</v>
      </c>
      <c r="Y140">
        <v>-0.74687211066580617</v>
      </c>
      <c r="Z140">
        <v>0.1918000498172345</v>
      </c>
      <c r="AA140">
        <v>-3.8940141641125621</v>
      </c>
      <c r="AB140">
        <v>9.8598888661845059E-5</v>
      </c>
      <c r="AC140">
        <v>6.5849574173540704E-3</v>
      </c>
      <c r="AD140" t="s">
        <v>1653</v>
      </c>
      <c r="AE140" t="s">
        <v>1654</v>
      </c>
      <c r="AF140" t="s">
        <v>43</v>
      </c>
      <c r="AG140" t="s">
        <v>43</v>
      </c>
      <c r="AH140" t="s">
        <v>43</v>
      </c>
      <c r="AI140" t="s">
        <v>43</v>
      </c>
      <c r="AJ140" t="s">
        <v>43</v>
      </c>
      <c r="AK140" t="s">
        <v>43</v>
      </c>
      <c r="AL140" t="s">
        <v>43</v>
      </c>
      <c r="AM140" t="s">
        <v>43</v>
      </c>
      <c r="AN140" t="s">
        <v>43</v>
      </c>
    </row>
    <row r="141" spans="1:40" x14ac:dyDescent="0.3">
      <c r="A141" t="s">
        <v>1663</v>
      </c>
      <c r="B141">
        <v>705</v>
      </c>
      <c r="C141" t="str">
        <f>IF(Y141&lt;0, "Down", "Up")</f>
        <v>Down</v>
      </c>
      <c r="D141" s="7" t="str">
        <f>IF(AC141&lt;0.05, "Sig", "N")</f>
        <v>Sig</v>
      </c>
      <c r="E141" s="1" t="str">
        <f>IF(AND(H141&gt;2,J141&gt;2,L141&gt;2,N141&gt;2),"Y","N")</f>
        <v>Y</v>
      </c>
      <c r="F141" s="1" t="str">
        <f>IF(AND(P141&gt;2,R141&gt;2,T141&gt;2,V141&gt;2),"Y","N")</f>
        <v>Y</v>
      </c>
      <c r="G141" s="1" t="str">
        <f>IF(OR(E141="Y", F141="Y"), "Expressed", "N")</f>
        <v>Expressed</v>
      </c>
      <c r="H141" s="8">
        <v>16.291553371326909</v>
      </c>
      <c r="I141" s="8">
        <v>511</v>
      </c>
      <c r="J141" s="8">
        <v>15.55733371372594</v>
      </c>
      <c r="K141" s="8">
        <v>1093</v>
      </c>
      <c r="L141" s="8">
        <v>15.417548089038061</v>
      </c>
      <c r="M141" s="8">
        <v>840</v>
      </c>
      <c r="N141" s="8">
        <v>15.26429914722579</v>
      </c>
      <c r="O141" s="8">
        <v>495</v>
      </c>
      <c r="P141" s="9">
        <v>7.414614557554537</v>
      </c>
      <c r="Q141" s="9">
        <v>701</v>
      </c>
      <c r="R141" s="9">
        <v>22.594049278830791</v>
      </c>
      <c r="S141" s="9">
        <v>267</v>
      </c>
      <c r="T141" s="9">
        <v>14.566355930097011</v>
      </c>
      <c r="U141" s="9">
        <v>155</v>
      </c>
      <c r="V141" s="9">
        <v>2.1894463144811471</v>
      </c>
      <c r="W141" s="9">
        <v>787</v>
      </c>
      <c r="X141">
        <v>533.95330525737586</v>
      </c>
      <c r="Y141">
        <v>-0.64203262214879797</v>
      </c>
      <c r="Z141">
        <v>0.15167365763973961</v>
      </c>
      <c r="AA141">
        <v>-4.2329870073666704</v>
      </c>
      <c r="AB141">
        <v>2.306078323738483E-5</v>
      </c>
      <c r="AC141">
        <v>2.3704479882532699E-3</v>
      </c>
      <c r="AD141" t="s">
        <v>1664</v>
      </c>
      <c r="AE141" t="s">
        <v>1665</v>
      </c>
      <c r="AF141" t="s">
        <v>43</v>
      </c>
      <c r="AG141" t="s">
        <v>43</v>
      </c>
      <c r="AH141" t="s">
        <v>43</v>
      </c>
      <c r="AI141" t="s">
        <v>43</v>
      </c>
      <c r="AJ141" t="s">
        <v>43</v>
      </c>
      <c r="AK141" t="s">
        <v>43</v>
      </c>
      <c r="AL141" t="s">
        <v>43</v>
      </c>
      <c r="AM141" t="s">
        <v>43</v>
      </c>
      <c r="AN141" t="s">
        <v>43</v>
      </c>
    </row>
    <row r="142" spans="1:40" x14ac:dyDescent="0.3">
      <c r="A142" t="s">
        <v>1666</v>
      </c>
      <c r="B142">
        <v>2343</v>
      </c>
      <c r="C142" t="str">
        <f>IF(Y142&lt;0, "Down", "Up")</f>
        <v>Down</v>
      </c>
      <c r="D142" s="7" t="str">
        <f>IF(AC142&lt;0.05, "Sig", "N")</f>
        <v>Sig</v>
      </c>
      <c r="E142" s="1" t="str">
        <f>IF(AND(H142&gt;2,J142&gt;2,L142&gt;2,N142&gt;2),"Y","N")</f>
        <v>Y</v>
      </c>
      <c r="F142" s="1" t="str">
        <f>IF(AND(P142&gt;2,R142&gt;2,T142&gt;2,V142&gt;2),"Y","N")</f>
        <v>Y</v>
      </c>
      <c r="G142" s="1" t="str">
        <f>IF(OR(E142="Y", F142="Y"), "Expressed", "N")</f>
        <v>Expressed</v>
      </c>
      <c r="H142" s="8">
        <v>20.39490487094081</v>
      </c>
      <c r="I142" s="8">
        <v>2126</v>
      </c>
      <c r="J142" s="8">
        <v>15.47818318847831</v>
      </c>
      <c r="K142" s="8">
        <v>3614</v>
      </c>
      <c r="L142" s="8">
        <v>22.615529487201311</v>
      </c>
      <c r="M142" s="8">
        <v>4095</v>
      </c>
      <c r="N142" s="8">
        <v>15.71816719698681</v>
      </c>
      <c r="O142" s="8">
        <v>1694</v>
      </c>
      <c r="P142" s="9">
        <v>7.6350804051187566</v>
      </c>
      <c r="Q142" s="9">
        <v>3139</v>
      </c>
      <c r="R142" s="9">
        <v>30.442772189845339</v>
      </c>
      <c r="S142" s="9">
        <v>1141</v>
      </c>
      <c r="T142" s="9">
        <v>18.730187684647849</v>
      </c>
      <c r="U142" s="9">
        <v>832</v>
      </c>
      <c r="V142" s="9">
        <v>3.5362483450279121</v>
      </c>
      <c r="W142" s="9">
        <v>3259</v>
      </c>
      <c r="X142">
        <v>2209.8201283450931</v>
      </c>
      <c r="Y142">
        <v>-0.43473759013718222</v>
      </c>
      <c r="Z142">
        <v>0.12568190813830291</v>
      </c>
      <c r="AA142">
        <v>-3.4590307911206151</v>
      </c>
      <c r="AB142">
        <v>5.4212292559643188E-4</v>
      </c>
      <c r="AC142">
        <v>2.0311997158400701E-2</v>
      </c>
      <c r="AD142" t="s">
        <v>1667</v>
      </c>
      <c r="AE142" t="s">
        <v>1668</v>
      </c>
      <c r="AF142" t="s">
        <v>1669</v>
      </c>
      <c r="AG142" t="s">
        <v>1670</v>
      </c>
      <c r="AH142" t="s">
        <v>43</v>
      </c>
      <c r="AI142" t="s">
        <v>43</v>
      </c>
      <c r="AJ142" t="s">
        <v>43</v>
      </c>
      <c r="AK142" t="s">
        <v>43</v>
      </c>
      <c r="AL142" t="s">
        <v>43</v>
      </c>
      <c r="AM142" t="s">
        <v>1671</v>
      </c>
      <c r="AN142" t="s">
        <v>43</v>
      </c>
    </row>
    <row r="143" spans="1:40" x14ac:dyDescent="0.3">
      <c r="A143" t="s">
        <v>1677</v>
      </c>
      <c r="B143">
        <v>2174</v>
      </c>
      <c r="C143" t="str">
        <f>IF(Y143&lt;0, "Down", "Up")</f>
        <v>Down</v>
      </c>
      <c r="D143" s="7" t="str">
        <f>IF(AC143&lt;0.05, "Sig", "N")</f>
        <v>Sig</v>
      </c>
      <c r="E143" s="1" t="str">
        <f>IF(AND(H143&gt;2,J143&gt;2,L143&gt;2,N143&gt;2),"Y","N")</f>
        <v>Y</v>
      </c>
      <c r="F143" s="1" t="str">
        <f>IF(AND(P143&gt;2,R143&gt;2,T143&gt;2,V143&gt;2),"Y","N")</f>
        <v>Y</v>
      </c>
      <c r="G143" s="1" t="str">
        <f>IF(OR(E143="Y", F143="Y"), "Expressed", "N")</f>
        <v>Expressed</v>
      </c>
      <c r="H143" s="8">
        <v>19.271569281085771</v>
      </c>
      <c r="I143" s="8">
        <v>1864</v>
      </c>
      <c r="J143" s="8">
        <v>15.273597799914739</v>
      </c>
      <c r="K143" s="8">
        <v>3309</v>
      </c>
      <c r="L143" s="8">
        <v>18.18942426012546</v>
      </c>
      <c r="M143" s="8">
        <v>3056</v>
      </c>
      <c r="N143" s="8">
        <v>11.650033450508049</v>
      </c>
      <c r="O143" s="8">
        <v>1165</v>
      </c>
      <c r="P143" s="9">
        <v>5.6589894357405521</v>
      </c>
      <c r="Q143" s="9">
        <v>2194</v>
      </c>
      <c r="R143" s="9">
        <v>22.932016952400168</v>
      </c>
      <c r="S143" s="9">
        <v>809</v>
      </c>
      <c r="T143" s="9">
        <v>14.312574334320789</v>
      </c>
      <c r="U143" s="9">
        <v>533</v>
      </c>
      <c r="V143" s="9">
        <v>2.441514954924795</v>
      </c>
      <c r="W143" s="9">
        <v>2645</v>
      </c>
      <c r="X143">
        <v>1699.1934391799291</v>
      </c>
      <c r="Y143">
        <v>-0.61015110833256458</v>
      </c>
      <c r="Z143">
        <v>0.169638535781444</v>
      </c>
      <c r="AA143">
        <v>-3.5967718391454442</v>
      </c>
      <c r="AB143">
        <v>3.2219085421168102E-4</v>
      </c>
      <c r="AC143">
        <v>1.438172649089384E-2</v>
      </c>
      <c r="AD143" t="s">
        <v>1678</v>
      </c>
      <c r="AE143" t="s">
        <v>1679</v>
      </c>
      <c r="AF143" t="s">
        <v>1680</v>
      </c>
      <c r="AG143" t="s">
        <v>1681</v>
      </c>
      <c r="AH143" t="s">
        <v>43</v>
      </c>
      <c r="AI143" t="s">
        <v>43</v>
      </c>
      <c r="AJ143" t="s">
        <v>43</v>
      </c>
      <c r="AK143" t="s">
        <v>43</v>
      </c>
      <c r="AL143" t="s">
        <v>43</v>
      </c>
      <c r="AM143" t="s">
        <v>1682</v>
      </c>
      <c r="AN143" t="s">
        <v>43</v>
      </c>
    </row>
    <row r="144" spans="1:40" x14ac:dyDescent="0.3">
      <c r="A144" t="s">
        <v>1689</v>
      </c>
      <c r="B144">
        <v>1639</v>
      </c>
      <c r="C144" t="str">
        <f>IF(Y144&lt;0, "Down", "Up")</f>
        <v>Down</v>
      </c>
      <c r="D144" s="7" t="str">
        <f>IF(AC144&lt;0.05, "Sig", "N")</f>
        <v>Sig</v>
      </c>
      <c r="E144" s="1" t="str">
        <f>IF(AND(H144&gt;2,J144&gt;2,L144&gt;2,N144&gt;2),"Y","N")</f>
        <v>Y</v>
      </c>
      <c r="F144" s="1" t="str">
        <f>IF(AND(P144&gt;2,R144&gt;2,T144&gt;2,V144&gt;2),"Y","N")</f>
        <v>Y</v>
      </c>
      <c r="G144" s="1" t="str">
        <f>IF(OR(E144="Y", F144="Y"), "Expressed", "N")</f>
        <v>Expressed</v>
      </c>
      <c r="H144" s="8">
        <v>28.853433071280669</v>
      </c>
      <c r="I144" s="8">
        <v>2104</v>
      </c>
      <c r="J144" s="8">
        <v>15.15306103108726</v>
      </c>
      <c r="K144" s="8">
        <v>2475</v>
      </c>
      <c r="L144" s="8">
        <v>40.492900668828781</v>
      </c>
      <c r="M144" s="8">
        <v>5129</v>
      </c>
      <c r="N144" s="8">
        <v>24.711248500198518</v>
      </c>
      <c r="O144" s="8">
        <v>1863</v>
      </c>
      <c r="P144" s="9">
        <v>12.003458599553181</v>
      </c>
      <c r="Q144" s="9">
        <v>2063</v>
      </c>
      <c r="R144" s="9">
        <v>28.601278381072181</v>
      </c>
      <c r="S144" s="9">
        <v>669</v>
      </c>
      <c r="T144" s="9">
        <v>15.699142718910551</v>
      </c>
      <c r="U144" s="9">
        <v>568</v>
      </c>
      <c r="V144" s="9">
        <v>3.4511282732225799</v>
      </c>
      <c r="W144" s="9">
        <v>1404</v>
      </c>
      <c r="X144">
        <v>1842.387440393939</v>
      </c>
      <c r="Y144">
        <v>-1.219657317175763</v>
      </c>
      <c r="Z144">
        <v>0.23473641730376979</v>
      </c>
      <c r="AA144">
        <v>-5.1958589603820098</v>
      </c>
      <c r="AB144">
        <v>2.0377671510203169E-7</v>
      </c>
      <c r="AC144">
        <v>7.7704662878100528E-5</v>
      </c>
      <c r="AD144" t="s">
        <v>1690</v>
      </c>
      <c r="AE144" t="s">
        <v>1691</v>
      </c>
      <c r="AF144" t="s">
        <v>1692</v>
      </c>
      <c r="AG144" t="s">
        <v>1693</v>
      </c>
      <c r="AH144" t="s">
        <v>43</v>
      </c>
      <c r="AI144" t="s">
        <v>43</v>
      </c>
      <c r="AJ144" t="s">
        <v>43</v>
      </c>
      <c r="AK144" t="s">
        <v>43</v>
      </c>
      <c r="AL144" t="s">
        <v>43</v>
      </c>
      <c r="AM144" t="s">
        <v>1694</v>
      </c>
      <c r="AN144" t="s">
        <v>43</v>
      </c>
    </row>
    <row r="145" spans="1:40" x14ac:dyDescent="0.3">
      <c r="A145" t="s">
        <v>1699</v>
      </c>
      <c r="B145">
        <v>1961</v>
      </c>
      <c r="C145" t="str">
        <f>IF(Y145&lt;0, "Down", "Up")</f>
        <v>Down</v>
      </c>
      <c r="D145" s="7" t="str">
        <f>IF(AC145&lt;0.05, "Sig", "N")</f>
        <v>Sig</v>
      </c>
      <c r="E145" s="1" t="str">
        <f>IF(AND(H145&gt;2,J145&gt;2,L145&gt;2,N145&gt;2),"Y","N")</f>
        <v>Y</v>
      </c>
      <c r="F145" s="1" t="str">
        <f>IF(AND(P145&gt;2,R145&gt;2,T145&gt;2,V145&gt;2),"Y","N")</f>
        <v>N</v>
      </c>
      <c r="G145" s="1" t="str">
        <f>IF(OR(E145="Y", F145="Y"), "Expressed", "N")</f>
        <v>Expressed</v>
      </c>
      <c r="H145" s="8">
        <v>15.54221127237601</v>
      </c>
      <c r="I145" s="8">
        <v>1356</v>
      </c>
      <c r="J145" s="8">
        <v>14.9266709164815</v>
      </c>
      <c r="K145" s="8">
        <v>2917</v>
      </c>
      <c r="L145" s="8">
        <v>15.928864383023241</v>
      </c>
      <c r="M145" s="8">
        <v>2414</v>
      </c>
      <c r="N145" s="8">
        <v>8.3700903255807528</v>
      </c>
      <c r="O145" s="8">
        <v>755</v>
      </c>
      <c r="P145" s="9">
        <v>4.0657610924361833</v>
      </c>
      <c r="Q145" s="9">
        <v>1226</v>
      </c>
      <c r="R145" s="9">
        <v>14.2062040118777</v>
      </c>
      <c r="S145" s="9">
        <v>536</v>
      </c>
      <c r="T145" s="9">
        <v>10.512741108669729</v>
      </c>
      <c r="U145" s="9">
        <v>391</v>
      </c>
      <c r="V145" s="9">
        <v>1.9855959724903369</v>
      </c>
      <c r="W145" s="9">
        <v>1662</v>
      </c>
      <c r="X145">
        <v>1219.2879880007999</v>
      </c>
      <c r="Y145">
        <v>-0.86926850420467661</v>
      </c>
      <c r="Z145">
        <v>0.19909506236097579</v>
      </c>
      <c r="AA145">
        <v>-4.3660977519805133</v>
      </c>
      <c r="AB145">
        <v>1.26485891366599E-5</v>
      </c>
      <c r="AC145">
        <v>1.4658722763182021E-3</v>
      </c>
      <c r="AD145" t="s">
        <v>1700</v>
      </c>
      <c r="AE145" t="s">
        <v>1701</v>
      </c>
      <c r="AF145" t="s">
        <v>1702</v>
      </c>
      <c r="AG145" t="s">
        <v>1703</v>
      </c>
      <c r="AH145" t="s">
        <v>43</v>
      </c>
      <c r="AI145" t="s">
        <v>43</v>
      </c>
      <c r="AJ145" t="s">
        <v>43</v>
      </c>
      <c r="AK145" t="s">
        <v>43</v>
      </c>
      <c r="AL145" t="s">
        <v>43</v>
      </c>
      <c r="AM145" t="s">
        <v>1704</v>
      </c>
      <c r="AN145" t="s">
        <v>43</v>
      </c>
    </row>
    <row r="146" spans="1:40" x14ac:dyDescent="0.3">
      <c r="A146" t="s">
        <v>1716</v>
      </c>
      <c r="B146">
        <v>1799</v>
      </c>
      <c r="C146" t="str">
        <f>IF(Y146&lt;0, "Down", "Up")</f>
        <v>Down</v>
      </c>
      <c r="D146" s="7" t="str">
        <f>IF(AC146&lt;0.05, "Sig", "N")</f>
        <v>Sig</v>
      </c>
      <c r="E146" s="1" t="str">
        <f>IF(AND(H146&gt;2,J146&gt;2,L146&gt;2,N146&gt;2),"Y","N")</f>
        <v>Y</v>
      </c>
      <c r="F146" s="1" t="str">
        <f>IF(AND(P146&gt;2,R146&gt;2,T146&gt;2,V146&gt;2),"Y","N")</f>
        <v>Y</v>
      </c>
      <c r="G146" s="1" t="str">
        <f>IF(OR(E146="Y", F146="Y"), "Expressed", "N")</f>
        <v>Expressed</v>
      </c>
      <c r="H146" s="8">
        <v>17.116703042999639</v>
      </c>
      <c r="I146" s="8">
        <v>1370</v>
      </c>
      <c r="J146" s="8">
        <v>14.55281600465911</v>
      </c>
      <c r="K146" s="8">
        <v>2609</v>
      </c>
      <c r="L146" s="8">
        <v>25.85787751989513</v>
      </c>
      <c r="M146" s="8">
        <v>3595</v>
      </c>
      <c r="N146" s="8">
        <v>16.422870945655891</v>
      </c>
      <c r="O146" s="8">
        <v>1359</v>
      </c>
      <c r="P146" s="9">
        <v>7.9773893852591664</v>
      </c>
      <c r="Q146" s="9">
        <v>2228</v>
      </c>
      <c r="R146" s="9">
        <v>28.14162644188178</v>
      </c>
      <c r="S146" s="9">
        <v>995</v>
      </c>
      <c r="T146" s="9">
        <v>21.2726057257461</v>
      </c>
      <c r="U146" s="9">
        <v>581</v>
      </c>
      <c r="V146" s="9">
        <v>3.2161529080422819</v>
      </c>
      <c r="W146" s="9">
        <v>2538</v>
      </c>
      <c r="X146">
        <v>1678.7318052792029</v>
      </c>
      <c r="Y146">
        <v>-0.43176184105918852</v>
      </c>
      <c r="Z146">
        <v>0.13551565109825239</v>
      </c>
      <c r="AA146">
        <v>-3.1860662407632159</v>
      </c>
      <c r="AB146">
        <v>1.4422157204359309E-3</v>
      </c>
      <c r="AC146">
        <v>3.858681512895297E-2</v>
      </c>
      <c r="AD146" t="s">
        <v>1717</v>
      </c>
      <c r="AE146" t="s">
        <v>1718</v>
      </c>
      <c r="AF146" t="s">
        <v>1719</v>
      </c>
      <c r="AG146" t="s">
        <v>1720</v>
      </c>
      <c r="AH146" t="s">
        <v>43</v>
      </c>
      <c r="AI146" t="s">
        <v>43</v>
      </c>
      <c r="AJ146" t="s">
        <v>43</v>
      </c>
      <c r="AK146" t="s">
        <v>43</v>
      </c>
      <c r="AL146" t="s">
        <v>43</v>
      </c>
      <c r="AM146" t="s">
        <v>1721</v>
      </c>
      <c r="AN146" t="s">
        <v>43</v>
      </c>
    </row>
    <row r="147" spans="1:40" x14ac:dyDescent="0.3">
      <c r="A147" t="s">
        <v>1732</v>
      </c>
      <c r="B147">
        <v>941</v>
      </c>
      <c r="C147" t="str">
        <f>IF(Y147&lt;0, "Down", "Up")</f>
        <v>Down</v>
      </c>
      <c r="D147" s="7" t="str">
        <f>IF(AC147&lt;0.05, "Sig", "N")</f>
        <v>Sig</v>
      </c>
      <c r="E147" s="1" t="str">
        <f>IF(AND(H147&gt;2,J147&gt;2,L147&gt;2,N147&gt;2),"Y","N")</f>
        <v>Y</v>
      </c>
      <c r="F147" s="1" t="str">
        <f>IF(AND(P147&gt;2,R147&gt;2,T147&gt;2,V147&gt;2),"Y","N")</f>
        <v>Y</v>
      </c>
      <c r="G147" s="1" t="str">
        <f>IF(OR(E147="Y", F147="Y"), "Expressed", "N")</f>
        <v>Expressed</v>
      </c>
      <c r="H147" s="8">
        <v>38.026307196704323</v>
      </c>
      <c r="I147" s="8">
        <v>1592</v>
      </c>
      <c r="J147" s="8">
        <v>14.417540860032901</v>
      </c>
      <c r="K147" s="8">
        <v>1352</v>
      </c>
      <c r="L147" s="8">
        <v>49.957525310295601</v>
      </c>
      <c r="M147" s="8">
        <v>3633</v>
      </c>
      <c r="N147" s="8">
        <v>20.885245939758779</v>
      </c>
      <c r="O147" s="8">
        <v>904</v>
      </c>
      <c r="P147" s="9">
        <v>10.144982556319111</v>
      </c>
      <c r="Q147" s="9">
        <v>1217</v>
      </c>
      <c r="R147" s="9">
        <v>29.38773570851059</v>
      </c>
      <c r="S147" s="9">
        <v>208</v>
      </c>
      <c r="T147" s="9">
        <v>8.5016355761040945</v>
      </c>
      <c r="U147" s="9">
        <v>326</v>
      </c>
      <c r="V147" s="9">
        <v>3.4500047749971001</v>
      </c>
      <c r="W147" s="9">
        <v>763</v>
      </c>
      <c r="X147">
        <v>1112.504918473418</v>
      </c>
      <c r="Y147">
        <v>-1.538062912395417</v>
      </c>
      <c r="Z147">
        <v>0.34066081842185109</v>
      </c>
      <c r="AA147">
        <v>-4.5149392862985049</v>
      </c>
      <c r="AB147">
        <v>6.3334908062228496E-6</v>
      </c>
      <c r="AC147">
        <v>8.6975062951259144E-4</v>
      </c>
      <c r="AD147" t="s">
        <v>1733</v>
      </c>
      <c r="AE147" t="s">
        <v>1734</v>
      </c>
      <c r="AF147" t="s">
        <v>1735</v>
      </c>
      <c r="AG147" t="s">
        <v>1736</v>
      </c>
      <c r="AH147" t="s">
        <v>43</v>
      </c>
      <c r="AI147" t="s">
        <v>43</v>
      </c>
      <c r="AJ147" t="s">
        <v>43</v>
      </c>
      <c r="AK147" t="s">
        <v>43</v>
      </c>
      <c r="AL147" t="s">
        <v>43</v>
      </c>
      <c r="AM147" t="s">
        <v>1737</v>
      </c>
      <c r="AN147" t="s">
        <v>43</v>
      </c>
    </row>
    <row r="148" spans="1:40" x14ac:dyDescent="0.3">
      <c r="A148" t="s">
        <v>1738</v>
      </c>
      <c r="B148">
        <v>666</v>
      </c>
      <c r="C148" t="str">
        <f>IF(Y148&lt;0, "Down", "Up")</f>
        <v>Down</v>
      </c>
      <c r="D148" s="7" t="str">
        <f>IF(AC148&lt;0.05, "Sig", "N")</f>
        <v>Sig</v>
      </c>
      <c r="E148" s="1" t="str">
        <f>IF(AND(H148&gt;2,J148&gt;2,L148&gt;2,N148&gt;2),"Y","N")</f>
        <v>Y</v>
      </c>
      <c r="F148" s="1" t="str">
        <f>IF(AND(P148&gt;2,R148&gt;2,T148&gt;2,V148&gt;2),"Y","N")</f>
        <v>Y</v>
      </c>
      <c r="G148" s="1" t="str">
        <f>IF(OR(E148="Y", F148="Y"), "Expressed", "N")</f>
        <v>Expressed</v>
      </c>
      <c r="H148" s="8">
        <v>17.92053637489667</v>
      </c>
      <c r="I148" s="8">
        <v>531</v>
      </c>
      <c r="J148" s="8">
        <v>14.29868523761608</v>
      </c>
      <c r="K148" s="8">
        <v>949</v>
      </c>
      <c r="L148" s="8">
        <v>19.914746331762341</v>
      </c>
      <c r="M148" s="8">
        <v>1025</v>
      </c>
      <c r="N148" s="8">
        <v>16.256082711801209</v>
      </c>
      <c r="O148" s="8">
        <v>498</v>
      </c>
      <c r="P148" s="9">
        <v>7.8963722055747336</v>
      </c>
      <c r="Q148" s="9">
        <v>743</v>
      </c>
      <c r="R148" s="9">
        <v>25.350104576025561</v>
      </c>
      <c r="S148" s="9">
        <v>398</v>
      </c>
      <c r="T148" s="9">
        <v>22.98463525562596</v>
      </c>
      <c r="U148" s="9">
        <v>191</v>
      </c>
      <c r="V148" s="9">
        <v>2.8559516950155852</v>
      </c>
      <c r="W148" s="9">
        <v>826</v>
      </c>
      <c r="X148">
        <v>581.98933841169014</v>
      </c>
      <c r="Y148">
        <v>-0.42584877972141871</v>
      </c>
      <c r="Z148">
        <v>0.13737358524724511</v>
      </c>
      <c r="AA148">
        <v>-3.0999320499277609</v>
      </c>
      <c r="AB148">
        <v>1.935650434380525E-3</v>
      </c>
      <c r="AC148">
        <v>4.5566300582153531E-2</v>
      </c>
      <c r="AD148" t="s">
        <v>1739</v>
      </c>
      <c r="AE148" t="s">
        <v>1740</v>
      </c>
      <c r="AF148" t="s">
        <v>43</v>
      </c>
      <c r="AG148" t="s">
        <v>1741</v>
      </c>
      <c r="AH148" t="s">
        <v>43</v>
      </c>
      <c r="AI148" t="s">
        <v>43</v>
      </c>
      <c r="AJ148" t="s">
        <v>43</v>
      </c>
      <c r="AK148" t="s">
        <v>43</v>
      </c>
      <c r="AL148" t="s">
        <v>43</v>
      </c>
      <c r="AM148" t="s">
        <v>1742</v>
      </c>
      <c r="AN148" t="s">
        <v>43</v>
      </c>
    </row>
    <row r="149" spans="1:40" x14ac:dyDescent="0.3">
      <c r="A149" t="s">
        <v>1743</v>
      </c>
      <c r="B149">
        <v>1570</v>
      </c>
      <c r="C149" t="str">
        <f>IF(Y149&lt;0, "Down", "Up")</f>
        <v>Down</v>
      </c>
      <c r="D149" s="7" t="str">
        <f>IF(AC149&lt;0.05, "Sig", "N")</f>
        <v>Sig</v>
      </c>
      <c r="E149" s="1" t="str">
        <f>IF(AND(H149&gt;2,J149&gt;2,L149&gt;2,N149&gt;2),"Y","N")</f>
        <v>Y</v>
      </c>
      <c r="F149" s="1" t="str">
        <f>IF(AND(P149&gt;2,R149&gt;2,T149&gt;2,V149&gt;2),"Y","N")</f>
        <v>N</v>
      </c>
      <c r="G149" s="1" t="str">
        <f>IF(OR(E149="Y", F149="Y"), "Expressed", "N")</f>
        <v>Expressed</v>
      </c>
      <c r="H149" s="8">
        <v>7.616276325239471</v>
      </c>
      <c r="I149" s="8">
        <v>532</v>
      </c>
      <c r="J149" s="8">
        <v>13.927132280323089</v>
      </c>
      <c r="K149" s="8">
        <v>2179</v>
      </c>
      <c r="L149" s="8">
        <v>12.066090183240791</v>
      </c>
      <c r="M149" s="8">
        <v>1464</v>
      </c>
      <c r="N149" s="8">
        <v>8.2944569367274212</v>
      </c>
      <c r="O149" s="8">
        <v>599</v>
      </c>
      <c r="P149" s="9">
        <v>4.0290222667213449</v>
      </c>
      <c r="Q149" s="9">
        <v>815</v>
      </c>
      <c r="R149" s="9">
        <v>11.795683931403</v>
      </c>
      <c r="S149" s="9">
        <v>421</v>
      </c>
      <c r="T149" s="9">
        <v>10.31362215661739</v>
      </c>
      <c r="U149" s="9">
        <v>175</v>
      </c>
      <c r="V149" s="9">
        <v>1.110018241418169</v>
      </c>
      <c r="W149" s="9">
        <v>820</v>
      </c>
      <c r="X149">
        <v>737.9437709646287</v>
      </c>
      <c r="Y149">
        <v>-0.94026505338434063</v>
      </c>
      <c r="Z149">
        <v>0.2219707302637311</v>
      </c>
      <c r="AA149">
        <v>-4.2359866648507172</v>
      </c>
      <c r="AB149">
        <v>2.2755028190649561E-5</v>
      </c>
      <c r="AC149">
        <v>2.3492330850800741E-3</v>
      </c>
      <c r="AD149" t="s">
        <v>1744</v>
      </c>
      <c r="AE149" t="s">
        <v>1745</v>
      </c>
      <c r="AF149" t="s">
        <v>1746</v>
      </c>
      <c r="AG149" t="s">
        <v>1747</v>
      </c>
      <c r="AH149" t="s">
        <v>43</v>
      </c>
      <c r="AI149" t="s">
        <v>43</v>
      </c>
      <c r="AJ149" t="s">
        <v>43</v>
      </c>
      <c r="AK149" t="s">
        <v>43</v>
      </c>
      <c r="AL149" t="s">
        <v>43</v>
      </c>
      <c r="AM149" t="s">
        <v>1748</v>
      </c>
      <c r="AN149" t="s">
        <v>1749</v>
      </c>
    </row>
    <row r="150" spans="1:40" x14ac:dyDescent="0.3">
      <c r="A150" t="s">
        <v>1750</v>
      </c>
      <c r="B150">
        <v>2017</v>
      </c>
      <c r="C150" t="str">
        <f>IF(Y150&lt;0, "Down", "Up")</f>
        <v>Down</v>
      </c>
      <c r="D150" s="7" t="str">
        <f>IF(AC150&lt;0.05, "Sig", "N")</f>
        <v>Sig</v>
      </c>
      <c r="E150" s="1" t="str">
        <f>IF(AND(H150&gt;2,J150&gt;2,L150&gt;2,N150&gt;2),"Y","N")</f>
        <v>Y</v>
      </c>
      <c r="F150" s="1" t="str">
        <f>IF(AND(P150&gt;2,R150&gt;2,T150&gt;2,V150&gt;2),"Y","N")</f>
        <v>Y</v>
      </c>
      <c r="G150" s="1" t="str">
        <f>IF(OR(E150="Y", F150="Y"), "Expressed", "N")</f>
        <v>Expressed</v>
      </c>
      <c r="H150" s="8">
        <v>15.99104020613159</v>
      </c>
      <c r="I150" s="8">
        <v>1435</v>
      </c>
      <c r="J150" s="8">
        <v>13.87046414156563</v>
      </c>
      <c r="K150" s="8">
        <v>2788</v>
      </c>
      <c r="L150" s="8">
        <v>14.59488392786665</v>
      </c>
      <c r="M150" s="8">
        <v>2275</v>
      </c>
      <c r="N150" s="8">
        <v>10.20715870770981</v>
      </c>
      <c r="O150" s="8">
        <v>947</v>
      </c>
      <c r="P150" s="9">
        <v>4.9581148020942427</v>
      </c>
      <c r="Q150" s="9">
        <v>1921</v>
      </c>
      <c r="R150" s="9">
        <v>21.641464038247602</v>
      </c>
      <c r="S150" s="9">
        <v>523</v>
      </c>
      <c r="T150" s="9">
        <v>9.9729711808536035</v>
      </c>
      <c r="U150" s="9">
        <v>407</v>
      </c>
      <c r="V150" s="9">
        <v>2.0094640019372361</v>
      </c>
      <c r="W150" s="9">
        <v>1943</v>
      </c>
      <c r="X150">
        <v>1321.638129602198</v>
      </c>
      <c r="Y150">
        <v>-0.66984481645592442</v>
      </c>
      <c r="Z150">
        <v>0.19102671802052301</v>
      </c>
      <c r="AA150">
        <v>-3.506550410314643</v>
      </c>
      <c r="AB150">
        <v>4.5395544049915741E-4</v>
      </c>
      <c r="AC150">
        <v>1.8007406919934701E-2</v>
      </c>
      <c r="AD150" t="s">
        <v>1751</v>
      </c>
      <c r="AE150" t="s">
        <v>1752</v>
      </c>
      <c r="AF150" t="s">
        <v>1753</v>
      </c>
      <c r="AG150" t="s">
        <v>1754</v>
      </c>
      <c r="AH150" t="s">
        <v>43</v>
      </c>
      <c r="AI150" t="s">
        <v>43</v>
      </c>
      <c r="AJ150" t="s">
        <v>43</v>
      </c>
      <c r="AK150" t="s">
        <v>43</v>
      </c>
      <c r="AL150" t="s">
        <v>43</v>
      </c>
      <c r="AM150" t="s">
        <v>1755</v>
      </c>
      <c r="AN150" t="s">
        <v>43</v>
      </c>
    </row>
    <row r="151" spans="1:40" x14ac:dyDescent="0.3">
      <c r="A151" t="s">
        <v>1756</v>
      </c>
      <c r="B151">
        <v>1704</v>
      </c>
      <c r="C151" t="str">
        <f>IF(Y151&lt;0, "Down", "Up")</f>
        <v>Down</v>
      </c>
      <c r="D151" s="7" t="str">
        <f>IF(AC151&lt;0.05, "Sig", "N")</f>
        <v>Sig</v>
      </c>
      <c r="E151" s="1" t="str">
        <f>IF(AND(H151&gt;2,J151&gt;2,L151&gt;2,N151&gt;2),"Y","N")</f>
        <v>Y</v>
      </c>
      <c r="F151" s="1" t="str">
        <f>IF(AND(P151&gt;2,R151&gt;2,T151&gt;2,V151&gt;2),"Y","N")</f>
        <v>Y</v>
      </c>
      <c r="G151" s="1" t="str">
        <f>IF(OR(E151="Y", F151="Y"), "Expressed", "N")</f>
        <v>Expressed</v>
      </c>
      <c r="H151" s="8">
        <v>14.601878916594909</v>
      </c>
      <c r="I151" s="8">
        <v>1107</v>
      </c>
      <c r="J151" s="8">
        <v>13.83892623900679</v>
      </c>
      <c r="K151" s="8">
        <v>2350</v>
      </c>
      <c r="L151" s="8">
        <v>13.53203934701221</v>
      </c>
      <c r="M151" s="8">
        <v>1782</v>
      </c>
      <c r="N151" s="8">
        <v>18.16775169521852</v>
      </c>
      <c r="O151" s="8">
        <v>1424</v>
      </c>
      <c r="P151" s="9">
        <v>8.8249630656567444</v>
      </c>
      <c r="Q151" s="9">
        <v>1858</v>
      </c>
      <c r="R151" s="9">
        <v>24.77657605989403</v>
      </c>
      <c r="S151" s="9">
        <v>668</v>
      </c>
      <c r="T151" s="9">
        <v>15.07771900819373</v>
      </c>
      <c r="U151" s="9">
        <v>405</v>
      </c>
      <c r="V151" s="9">
        <v>2.366884972520936</v>
      </c>
      <c r="W151" s="9">
        <v>1534</v>
      </c>
      <c r="X151">
        <v>1262.4107718668211</v>
      </c>
      <c r="Y151">
        <v>-0.60623098350648996</v>
      </c>
      <c r="Z151">
        <v>0.1747217365513061</v>
      </c>
      <c r="AA151">
        <v>-3.469694128918376</v>
      </c>
      <c r="AB151">
        <v>5.2105137313108085E-4</v>
      </c>
      <c r="AC151">
        <v>1.986886542510486E-2</v>
      </c>
      <c r="AD151" t="s">
        <v>1757</v>
      </c>
      <c r="AE151" t="s">
        <v>1758</v>
      </c>
      <c r="AF151" t="s">
        <v>1759</v>
      </c>
      <c r="AG151" t="s">
        <v>1760</v>
      </c>
      <c r="AH151" t="s">
        <v>830</v>
      </c>
      <c r="AI151" t="s">
        <v>1761</v>
      </c>
      <c r="AJ151" t="s">
        <v>1762</v>
      </c>
      <c r="AK151" t="s">
        <v>1017</v>
      </c>
      <c r="AL151" t="s">
        <v>1763</v>
      </c>
      <c r="AM151" t="s">
        <v>1764</v>
      </c>
      <c r="AN151" t="s">
        <v>43</v>
      </c>
    </row>
    <row r="152" spans="1:40" x14ac:dyDescent="0.3">
      <c r="A152" t="s">
        <v>1765</v>
      </c>
      <c r="B152">
        <v>1377</v>
      </c>
      <c r="C152" t="str">
        <f>IF(Y152&lt;0, "Down", "Up")</f>
        <v>Down</v>
      </c>
      <c r="D152" s="7" t="str">
        <f>IF(AC152&lt;0.05, "Sig", "N")</f>
        <v>Sig</v>
      </c>
      <c r="E152" s="1" t="str">
        <f>IF(AND(H152&gt;2,J152&gt;2,L152&gt;2,N152&gt;2),"Y","N")</f>
        <v>Y</v>
      </c>
      <c r="F152" s="1" t="str">
        <f>IF(AND(P152&gt;2,R152&gt;2,T152&gt;2,V152&gt;2),"Y","N")</f>
        <v>Y</v>
      </c>
      <c r="G152" s="1" t="str">
        <f>IF(OR(E152="Y", F152="Y"), "Expressed", "N")</f>
        <v>Expressed</v>
      </c>
      <c r="H152" s="8">
        <v>20.273016224708631</v>
      </c>
      <c r="I152" s="8">
        <v>1242</v>
      </c>
      <c r="J152" s="8">
        <v>13.838695301564339</v>
      </c>
      <c r="K152" s="8">
        <v>1899</v>
      </c>
      <c r="L152" s="8">
        <v>29.610081690816848</v>
      </c>
      <c r="M152" s="8">
        <v>3151</v>
      </c>
      <c r="N152" s="8">
        <v>15.519594306925001</v>
      </c>
      <c r="O152" s="8">
        <v>983</v>
      </c>
      <c r="P152" s="9">
        <v>7.5386238677312818</v>
      </c>
      <c r="Q152" s="9">
        <v>1546</v>
      </c>
      <c r="R152" s="9">
        <v>25.511777583508199</v>
      </c>
      <c r="S152" s="9">
        <v>534</v>
      </c>
      <c r="T152" s="9">
        <v>14.915440712735499</v>
      </c>
      <c r="U152" s="9">
        <v>365</v>
      </c>
      <c r="V152" s="9">
        <v>2.6396761209448361</v>
      </c>
      <c r="W152" s="9">
        <v>1558</v>
      </c>
      <c r="X152">
        <v>1226.85832944199</v>
      </c>
      <c r="Y152">
        <v>-0.83157297555576437</v>
      </c>
      <c r="Z152">
        <v>0.18394359325901921</v>
      </c>
      <c r="AA152">
        <v>-4.5208042358115152</v>
      </c>
      <c r="AB152">
        <v>6.1605138689433343E-6</v>
      </c>
      <c r="AC152">
        <v>8.5674628758563708E-4</v>
      </c>
      <c r="AD152" t="s">
        <v>1766</v>
      </c>
      <c r="AE152" t="s">
        <v>1767</v>
      </c>
      <c r="AF152" t="s">
        <v>1768</v>
      </c>
      <c r="AG152" t="s">
        <v>1769</v>
      </c>
      <c r="AH152" t="s">
        <v>43</v>
      </c>
      <c r="AI152" t="s">
        <v>43</v>
      </c>
      <c r="AJ152" t="s">
        <v>43</v>
      </c>
      <c r="AK152" t="s">
        <v>43</v>
      </c>
      <c r="AL152" t="s">
        <v>43</v>
      </c>
      <c r="AM152" t="s">
        <v>130</v>
      </c>
      <c r="AN152" t="s">
        <v>43</v>
      </c>
    </row>
    <row r="153" spans="1:40" x14ac:dyDescent="0.3">
      <c r="A153" t="s">
        <v>1778</v>
      </c>
      <c r="B153">
        <v>3125</v>
      </c>
      <c r="C153" t="str">
        <f>IF(Y153&lt;0, "Down", "Up")</f>
        <v>Down</v>
      </c>
      <c r="D153" s="7" t="str">
        <f>IF(AC153&lt;0.05, "Sig", "N")</f>
        <v>Sig</v>
      </c>
      <c r="E153" s="1" t="str">
        <f>IF(AND(H153&gt;2,J153&gt;2,L153&gt;2,N153&gt;2),"Y","N")</f>
        <v>Y</v>
      </c>
      <c r="F153" s="1" t="str">
        <f>IF(AND(P153&gt;2,R153&gt;2,T153&gt;2,V153&gt;2),"Y","N")</f>
        <v>Y</v>
      </c>
      <c r="G153" s="1" t="str">
        <f>IF(OR(E153="Y", F153="Y"), "Expressed", "N")</f>
        <v>Expressed</v>
      </c>
      <c r="H153" s="8">
        <v>10.07671152884631</v>
      </c>
      <c r="I153" s="8">
        <v>1401</v>
      </c>
      <c r="J153" s="8">
        <v>13.67929451928509</v>
      </c>
      <c r="K153" s="8">
        <v>4260</v>
      </c>
      <c r="L153" s="8">
        <v>13.78443329517235</v>
      </c>
      <c r="M153" s="8">
        <v>3329</v>
      </c>
      <c r="N153" s="8">
        <v>12.577930514760331</v>
      </c>
      <c r="O153" s="8">
        <v>1808</v>
      </c>
      <c r="P153" s="9">
        <v>6.1097142947176177</v>
      </c>
      <c r="Q153" s="9">
        <v>2712</v>
      </c>
      <c r="R153" s="9">
        <v>19.71990571601863</v>
      </c>
      <c r="S153" s="9">
        <v>691</v>
      </c>
      <c r="T153" s="9">
        <v>8.5046569265934497</v>
      </c>
      <c r="U153" s="9">
        <v>775</v>
      </c>
      <c r="V153" s="9">
        <v>2.469695442734734</v>
      </c>
      <c r="W153" s="9">
        <v>2134</v>
      </c>
      <c r="X153">
        <v>1879.1136385123029</v>
      </c>
      <c r="Y153">
        <v>-0.67786017776609331</v>
      </c>
      <c r="Z153">
        <v>0.20107755423326479</v>
      </c>
      <c r="AA153">
        <v>-3.3711379688840131</v>
      </c>
      <c r="AB153">
        <v>7.4858357315976589E-4</v>
      </c>
      <c r="AC153">
        <v>2.5464766671429041E-2</v>
      </c>
      <c r="AD153" t="s">
        <v>1779</v>
      </c>
      <c r="AE153" t="s">
        <v>1780</v>
      </c>
      <c r="AF153" t="s">
        <v>1781</v>
      </c>
      <c r="AG153" t="s">
        <v>1782</v>
      </c>
      <c r="AH153" t="s">
        <v>43</v>
      </c>
      <c r="AI153" t="s">
        <v>43</v>
      </c>
      <c r="AJ153" t="s">
        <v>43</v>
      </c>
      <c r="AK153" t="s">
        <v>43</v>
      </c>
      <c r="AL153" t="s">
        <v>43</v>
      </c>
      <c r="AM153" t="s">
        <v>1783</v>
      </c>
      <c r="AN153" t="s">
        <v>43</v>
      </c>
    </row>
    <row r="154" spans="1:40" x14ac:dyDescent="0.3">
      <c r="A154" t="s">
        <v>1784</v>
      </c>
      <c r="B154">
        <v>3319</v>
      </c>
      <c r="C154" t="str">
        <f>IF(Y154&lt;0, "Down", "Up")</f>
        <v>Down</v>
      </c>
      <c r="D154" s="7" t="str">
        <f>IF(AC154&lt;0.05, "Sig", "N")</f>
        <v>Sig</v>
      </c>
      <c r="E154" s="1" t="str">
        <f>IF(AND(H154&gt;2,J154&gt;2,L154&gt;2,N154&gt;2),"Y","N")</f>
        <v>Y</v>
      </c>
      <c r="F154" s="1" t="str">
        <f>IF(AND(P154&gt;2,R154&gt;2,T154&gt;2,V154&gt;2),"Y","N")</f>
        <v>Y</v>
      </c>
      <c r="G154" s="1" t="str">
        <f>IF(OR(E154="Y", F154="Y"), "Expressed", "N")</f>
        <v>Expressed</v>
      </c>
      <c r="H154" s="8">
        <v>19.442703463838392</v>
      </c>
      <c r="I154" s="8">
        <v>2871</v>
      </c>
      <c r="J154" s="8">
        <v>13.66883110617024</v>
      </c>
      <c r="K154" s="8">
        <v>4521</v>
      </c>
      <c r="L154" s="8">
        <v>28.822961154640719</v>
      </c>
      <c r="M154" s="8">
        <v>7393</v>
      </c>
      <c r="N154" s="8">
        <v>16.578517020063899</v>
      </c>
      <c r="O154" s="8">
        <v>2531</v>
      </c>
      <c r="P154" s="9">
        <v>8.0529942746812662</v>
      </c>
      <c r="Q154" s="9">
        <v>3903</v>
      </c>
      <c r="R154" s="9">
        <v>26.721231497881689</v>
      </c>
      <c r="S154" s="9">
        <v>1254</v>
      </c>
      <c r="T154" s="9">
        <v>14.53178813518451</v>
      </c>
      <c r="U154" s="9">
        <v>794</v>
      </c>
      <c r="V154" s="9">
        <v>2.382346729887765</v>
      </c>
      <c r="W154" s="9">
        <v>2547</v>
      </c>
      <c r="X154">
        <v>2835.8956012197682</v>
      </c>
      <c r="Y154">
        <v>-0.97496187972143744</v>
      </c>
      <c r="Z154">
        <v>0.19624288124872349</v>
      </c>
      <c r="AA154">
        <v>-4.968138836515271</v>
      </c>
      <c r="AB154">
        <v>6.7598559163220115E-7</v>
      </c>
      <c r="AC154">
        <v>1.7757390397076111E-4</v>
      </c>
      <c r="AD154" t="s">
        <v>1785</v>
      </c>
      <c r="AE154" t="s">
        <v>1786</v>
      </c>
      <c r="AF154" t="s">
        <v>1787</v>
      </c>
      <c r="AG154" t="s">
        <v>1788</v>
      </c>
      <c r="AH154" t="s">
        <v>43</v>
      </c>
      <c r="AI154" t="s">
        <v>43</v>
      </c>
      <c r="AJ154" t="s">
        <v>43</v>
      </c>
      <c r="AK154" t="s">
        <v>43</v>
      </c>
      <c r="AL154" t="s">
        <v>43</v>
      </c>
      <c r="AM154" t="s">
        <v>1789</v>
      </c>
      <c r="AN154" t="s">
        <v>43</v>
      </c>
    </row>
    <row r="155" spans="1:40" x14ac:dyDescent="0.3">
      <c r="A155" t="s">
        <v>1794</v>
      </c>
      <c r="B155">
        <v>1589</v>
      </c>
      <c r="C155" t="str">
        <f>IF(Y155&lt;0, "Down", "Up")</f>
        <v>Down</v>
      </c>
      <c r="D155" s="7" t="str">
        <f>IF(AC155&lt;0.05, "Sig", "N")</f>
        <v>Sig</v>
      </c>
      <c r="E155" s="1" t="str">
        <f>IF(AND(H155&gt;2,J155&gt;2,L155&gt;2,N155&gt;2),"Y","N")</f>
        <v>Y</v>
      </c>
      <c r="F155" s="1" t="str">
        <f>IF(AND(P155&gt;2,R155&gt;2,T155&gt;2,V155&gt;2),"Y","N")</f>
        <v>Y</v>
      </c>
      <c r="G155" s="1" t="str">
        <f>IF(OR(E155="Y", F155="Y"), "Expressed", "N")</f>
        <v>Expressed</v>
      </c>
      <c r="H155" s="8">
        <v>16.422491089299019</v>
      </c>
      <c r="I155" s="8">
        <v>1161</v>
      </c>
      <c r="J155" s="8">
        <v>13.55220439671149</v>
      </c>
      <c r="K155" s="8">
        <v>2146</v>
      </c>
      <c r="L155" s="8">
        <v>25.553723112692921</v>
      </c>
      <c r="M155" s="8">
        <v>3138</v>
      </c>
      <c r="N155" s="8">
        <v>15.638068815685809</v>
      </c>
      <c r="O155" s="8">
        <v>1143</v>
      </c>
      <c r="P155" s="9">
        <v>7.596172714808004</v>
      </c>
      <c r="Q155" s="9">
        <v>1405</v>
      </c>
      <c r="R155" s="9">
        <v>20.09174223097083</v>
      </c>
      <c r="S155" s="9">
        <v>257</v>
      </c>
      <c r="T155" s="9">
        <v>6.2206819807398404</v>
      </c>
      <c r="U155" s="9">
        <v>322</v>
      </c>
      <c r="V155" s="9">
        <v>2.0180117657701739</v>
      </c>
      <c r="W155" s="9">
        <v>1386</v>
      </c>
      <c r="X155">
        <v>1171.943540687186</v>
      </c>
      <c r="Y155">
        <v>-1.205447291789395</v>
      </c>
      <c r="Z155">
        <v>0.24535479358925449</v>
      </c>
      <c r="AA155">
        <v>-4.9130782168756806</v>
      </c>
      <c r="AB155">
        <v>8.9657487854360515E-7</v>
      </c>
      <c r="AC155">
        <v>2.1629411508701949E-4</v>
      </c>
      <c r="AD155" t="s">
        <v>1795</v>
      </c>
      <c r="AE155" t="s">
        <v>1796</v>
      </c>
      <c r="AF155" t="s">
        <v>1797</v>
      </c>
      <c r="AG155" t="s">
        <v>1798</v>
      </c>
      <c r="AH155" t="s">
        <v>43</v>
      </c>
      <c r="AI155" t="s">
        <v>43</v>
      </c>
      <c r="AJ155" t="s">
        <v>43</v>
      </c>
      <c r="AK155" t="s">
        <v>43</v>
      </c>
      <c r="AL155" t="s">
        <v>43</v>
      </c>
      <c r="AM155" t="s">
        <v>1563</v>
      </c>
      <c r="AN155" t="s">
        <v>43</v>
      </c>
    </row>
    <row r="156" spans="1:40" x14ac:dyDescent="0.3">
      <c r="A156" t="s">
        <v>1799</v>
      </c>
      <c r="B156">
        <v>378</v>
      </c>
      <c r="C156" t="str">
        <f>IF(Y156&lt;0, "Down", "Up")</f>
        <v>Down</v>
      </c>
      <c r="D156" s="7" t="str">
        <f>IF(AC156&lt;0.05, "Sig", "N")</f>
        <v>Sig</v>
      </c>
      <c r="E156" s="1" t="str">
        <f>IF(AND(H156&gt;2,J156&gt;2,L156&gt;2,N156&gt;2),"Y","N")</f>
        <v>Y</v>
      </c>
      <c r="F156" s="1" t="str">
        <f>IF(AND(P156&gt;2,R156&gt;2,T156&gt;2,V156&gt;2),"Y","N")</f>
        <v>Y</v>
      </c>
      <c r="G156" s="1" t="str">
        <f>IF(OR(E156="Y", F156="Y"), "Expressed", "N")</f>
        <v>Expressed</v>
      </c>
      <c r="H156" s="8">
        <v>33.179750156588362</v>
      </c>
      <c r="I156" s="8">
        <v>558</v>
      </c>
      <c r="J156" s="8">
        <v>13.53887251913369</v>
      </c>
      <c r="K156" s="8">
        <v>510</v>
      </c>
      <c r="L156" s="8">
        <v>47.034883810180439</v>
      </c>
      <c r="M156" s="8">
        <v>1374</v>
      </c>
      <c r="N156" s="8">
        <v>19.439526715795171</v>
      </c>
      <c r="O156" s="8">
        <v>338</v>
      </c>
      <c r="P156" s="9">
        <v>9.4427262194413473</v>
      </c>
      <c r="Q156" s="9">
        <v>739</v>
      </c>
      <c r="R156" s="9">
        <v>44.424015216449853</v>
      </c>
      <c r="S156" s="9">
        <v>155</v>
      </c>
      <c r="T156" s="9">
        <v>15.771342808209489</v>
      </c>
      <c r="U156" s="9">
        <v>91</v>
      </c>
      <c r="V156" s="9">
        <v>2.397404476967707</v>
      </c>
      <c r="W156" s="9">
        <v>353</v>
      </c>
      <c r="X156">
        <v>443.81455628215338</v>
      </c>
      <c r="Y156">
        <v>-1.1243852028958381</v>
      </c>
      <c r="Z156">
        <v>0.34282229960361638</v>
      </c>
      <c r="AA156">
        <v>-3.2797901542457799</v>
      </c>
      <c r="AB156">
        <v>1.0388432496471331E-3</v>
      </c>
      <c r="AC156">
        <v>3.1649912510512267E-2</v>
      </c>
      <c r="AD156" t="s">
        <v>1800</v>
      </c>
      <c r="AE156" t="s">
        <v>1801</v>
      </c>
      <c r="AF156" t="s">
        <v>1802</v>
      </c>
      <c r="AG156" t="s">
        <v>43</v>
      </c>
      <c r="AH156" t="s">
        <v>43</v>
      </c>
      <c r="AI156" t="s">
        <v>43</v>
      </c>
      <c r="AJ156" t="s">
        <v>43</v>
      </c>
      <c r="AK156" t="s">
        <v>43</v>
      </c>
      <c r="AL156" t="s">
        <v>43</v>
      </c>
      <c r="AM156" t="s">
        <v>43</v>
      </c>
      <c r="AN156" t="s">
        <v>43</v>
      </c>
    </row>
    <row r="157" spans="1:40" x14ac:dyDescent="0.3">
      <c r="A157" t="s">
        <v>1803</v>
      </c>
      <c r="B157">
        <v>2530</v>
      </c>
      <c r="C157" t="str">
        <f>IF(Y157&lt;0, "Down", "Up")</f>
        <v>Down</v>
      </c>
      <c r="D157" s="7" t="str">
        <f>IF(AC157&lt;0.05, "Sig", "N")</f>
        <v>Sig</v>
      </c>
      <c r="E157" s="1" t="str">
        <f>IF(AND(H157&gt;2,J157&gt;2,L157&gt;2,N157&gt;2),"Y","N")</f>
        <v>Y</v>
      </c>
      <c r="F157" s="1" t="str">
        <f>IF(AND(P157&gt;2,R157&gt;2,T157&gt;2,V157&gt;2),"Y","N")</f>
        <v>N</v>
      </c>
      <c r="G157" s="1" t="str">
        <f>IF(OR(E157="Y", F157="Y"), "Expressed", "N")</f>
        <v>Expressed</v>
      </c>
      <c r="H157" s="8">
        <v>13.12171759029582</v>
      </c>
      <c r="I157" s="8">
        <v>1477</v>
      </c>
      <c r="J157" s="8">
        <v>13.51312316381946</v>
      </c>
      <c r="K157" s="8">
        <v>3407</v>
      </c>
      <c r="L157" s="8">
        <v>14.72469427281202</v>
      </c>
      <c r="M157" s="8">
        <v>2879</v>
      </c>
      <c r="N157" s="8">
        <v>11.37701290374376</v>
      </c>
      <c r="O157" s="8">
        <v>1324</v>
      </c>
      <c r="P157" s="9">
        <v>5.5263700405737657</v>
      </c>
      <c r="Q157" s="9">
        <v>2389</v>
      </c>
      <c r="R157" s="9">
        <v>21.456594772924259</v>
      </c>
      <c r="S157" s="9">
        <v>814</v>
      </c>
      <c r="T157" s="9">
        <v>12.374642385167901</v>
      </c>
      <c r="U157" s="9">
        <v>469</v>
      </c>
      <c r="V157" s="9">
        <v>1.8460524713798769</v>
      </c>
      <c r="W157" s="9">
        <v>2446</v>
      </c>
      <c r="X157">
        <v>1636.7534260347029</v>
      </c>
      <c r="Y157">
        <v>-0.58005631496881771</v>
      </c>
      <c r="Z157">
        <v>0.14452363102071031</v>
      </c>
      <c r="AA157">
        <v>-4.0135741876406028</v>
      </c>
      <c r="AB157">
        <v>5.9806193805878453E-5</v>
      </c>
      <c r="AC157">
        <v>4.666462158279136E-3</v>
      </c>
      <c r="AD157" t="s">
        <v>1804</v>
      </c>
      <c r="AE157" t="s">
        <v>1805</v>
      </c>
      <c r="AF157" t="s">
        <v>1806</v>
      </c>
      <c r="AG157" t="s">
        <v>1807</v>
      </c>
      <c r="AH157" t="s">
        <v>43</v>
      </c>
      <c r="AI157" t="s">
        <v>43</v>
      </c>
      <c r="AJ157" t="s">
        <v>43</v>
      </c>
      <c r="AK157" t="s">
        <v>43</v>
      </c>
      <c r="AL157" t="s">
        <v>43</v>
      </c>
      <c r="AM157" t="s">
        <v>1808</v>
      </c>
      <c r="AN157" t="s">
        <v>43</v>
      </c>
    </row>
    <row r="158" spans="1:40" x14ac:dyDescent="0.3">
      <c r="A158" t="s">
        <v>1809</v>
      </c>
      <c r="B158">
        <v>1892</v>
      </c>
      <c r="C158" t="str">
        <f>IF(Y158&lt;0, "Down", "Up")</f>
        <v>Down</v>
      </c>
      <c r="D158" s="7" t="str">
        <f>IF(AC158&lt;0.05, "Sig", "N")</f>
        <v>Sig</v>
      </c>
      <c r="E158" s="1" t="str">
        <f>IF(AND(H158&gt;2,J158&gt;2,L158&gt;2,N158&gt;2),"Y","N")</f>
        <v>Y</v>
      </c>
      <c r="F158" s="1" t="str">
        <f>IF(AND(P158&gt;2,R158&gt;2,T158&gt;2,V158&gt;2),"Y","N")</f>
        <v>Y</v>
      </c>
      <c r="G158" s="1" t="str">
        <f>IF(OR(E158="Y", F158="Y"), "Expressed", "N")</f>
        <v>Expressed</v>
      </c>
      <c r="H158" s="8">
        <v>13.89938043625752</v>
      </c>
      <c r="I158" s="8">
        <v>1170</v>
      </c>
      <c r="J158" s="8">
        <v>13.434397075804229</v>
      </c>
      <c r="K158" s="8">
        <v>2533</v>
      </c>
      <c r="L158" s="8">
        <v>19.20441640175633</v>
      </c>
      <c r="M158" s="8">
        <v>2808</v>
      </c>
      <c r="N158" s="8">
        <v>14.466563736286631</v>
      </c>
      <c r="O158" s="8">
        <v>1259</v>
      </c>
      <c r="P158" s="9">
        <v>7.027115561762038</v>
      </c>
      <c r="Q158" s="9">
        <v>2032</v>
      </c>
      <c r="R158" s="9">
        <v>24.404377946094709</v>
      </c>
      <c r="S158" s="9">
        <v>803</v>
      </c>
      <c r="T158" s="9">
        <v>16.323872222420579</v>
      </c>
      <c r="U158" s="9">
        <v>549</v>
      </c>
      <c r="V158" s="9">
        <v>2.889634620433593</v>
      </c>
      <c r="W158" s="9">
        <v>1848</v>
      </c>
      <c r="X158">
        <v>1446.553833871129</v>
      </c>
      <c r="Y158">
        <v>-0.48508122935726822</v>
      </c>
      <c r="Z158">
        <v>0.11096028119004769</v>
      </c>
      <c r="AA158">
        <v>-4.3716654658295546</v>
      </c>
      <c r="AB158">
        <v>1.233023517821808E-5</v>
      </c>
      <c r="AC158">
        <v>1.436016847701634E-3</v>
      </c>
      <c r="AD158" t="s">
        <v>1810</v>
      </c>
      <c r="AE158" t="s">
        <v>1811</v>
      </c>
      <c r="AF158" t="s">
        <v>1812</v>
      </c>
      <c r="AG158" t="s">
        <v>1813</v>
      </c>
      <c r="AH158" t="s">
        <v>43</v>
      </c>
      <c r="AI158" t="s">
        <v>43</v>
      </c>
      <c r="AJ158" t="s">
        <v>43</v>
      </c>
      <c r="AK158" t="s">
        <v>43</v>
      </c>
      <c r="AL158" t="s">
        <v>43</v>
      </c>
      <c r="AM158" t="s">
        <v>1814</v>
      </c>
      <c r="AN158" t="s">
        <v>43</v>
      </c>
    </row>
    <row r="159" spans="1:40" x14ac:dyDescent="0.3">
      <c r="A159" t="s">
        <v>1820</v>
      </c>
      <c r="B159">
        <v>1512</v>
      </c>
      <c r="C159" t="str">
        <f>IF(Y159&lt;0, "Down", "Up")</f>
        <v>Down</v>
      </c>
      <c r="D159" s="7" t="str">
        <f>IF(AC159&lt;0.05, "Sig", "N")</f>
        <v>Sig</v>
      </c>
      <c r="E159" s="1" t="str">
        <f>IF(AND(H159&gt;2,J159&gt;2,L159&gt;2,N159&gt;2),"Y","N")</f>
        <v>Y</v>
      </c>
      <c r="F159" s="1" t="str">
        <f>IF(AND(P159&gt;2,R159&gt;2,T159&gt;2,V159&gt;2),"Y","N")</f>
        <v>Y</v>
      </c>
      <c r="G159" s="1" t="str">
        <f>IF(OR(E159="Y", F159="Y"), "Expressed", "N")</f>
        <v>Expressed</v>
      </c>
      <c r="H159" s="8">
        <v>17.55613124324859</v>
      </c>
      <c r="I159" s="8">
        <v>1181</v>
      </c>
      <c r="J159" s="8">
        <v>13.074303364065379</v>
      </c>
      <c r="K159" s="8">
        <v>1970</v>
      </c>
      <c r="L159" s="8">
        <v>17.218738396303319</v>
      </c>
      <c r="M159" s="8">
        <v>2012</v>
      </c>
      <c r="N159" s="8">
        <v>12.42289281246082</v>
      </c>
      <c r="O159" s="8">
        <v>864</v>
      </c>
      <c r="P159" s="9">
        <v>6.0344049212997968</v>
      </c>
      <c r="Q159" s="9">
        <v>1587</v>
      </c>
      <c r="R159" s="9">
        <v>23.850105598276691</v>
      </c>
      <c r="S159" s="9">
        <v>716</v>
      </c>
      <c r="T159" s="9">
        <v>18.21335717851289</v>
      </c>
      <c r="U159" s="9">
        <v>348</v>
      </c>
      <c r="V159" s="9">
        <v>2.292024060397698</v>
      </c>
      <c r="W159" s="9">
        <v>1404</v>
      </c>
      <c r="X159">
        <v>1129.454325981178</v>
      </c>
      <c r="Y159">
        <v>-0.53307081799130251</v>
      </c>
      <c r="Z159">
        <v>0.1516983039187377</v>
      </c>
      <c r="AA159">
        <v>-3.5140196312073462</v>
      </c>
      <c r="AB159">
        <v>4.4138019200206421E-4</v>
      </c>
      <c r="AC159">
        <v>1.7656299643524088E-2</v>
      </c>
      <c r="AD159" t="s">
        <v>1821</v>
      </c>
      <c r="AE159" t="s">
        <v>1822</v>
      </c>
      <c r="AF159" t="s">
        <v>1823</v>
      </c>
      <c r="AG159" t="s">
        <v>1824</v>
      </c>
      <c r="AH159" t="s">
        <v>43</v>
      </c>
      <c r="AI159" t="s">
        <v>43</v>
      </c>
      <c r="AJ159" t="s">
        <v>43</v>
      </c>
      <c r="AK159" t="s">
        <v>43</v>
      </c>
      <c r="AL159" t="s">
        <v>43</v>
      </c>
      <c r="AM159" t="s">
        <v>1825</v>
      </c>
      <c r="AN159" t="s">
        <v>214</v>
      </c>
    </row>
    <row r="160" spans="1:40" x14ac:dyDescent="0.3">
      <c r="A160" t="s">
        <v>1841</v>
      </c>
      <c r="B160">
        <v>2468</v>
      </c>
      <c r="C160" t="str">
        <f>IF(Y160&lt;0, "Down", "Up")</f>
        <v>Down</v>
      </c>
      <c r="D160" s="7" t="str">
        <f>IF(AC160&lt;0.05, "Sig", "N")</f>
        <v>Sig</v>
      </c>
      <c r="E160" s="1" t="str">
        <f>IF(AND(H160&gt;2,J160&gt;2,L160&gt;2,N160&gt;2),"Y","N")</f>
        <v>Y</v>
      </c>
      <c r="F160" s="1" t="str">
        <f>IF(AND(P160&gt;2,R160&gt;2,T160&gt;2,V160&gt;2),"Y","N")</f>
        <v>Y</v>
      </c>
      <c r="G160" s="1" t="str">
        <f>IF(OR(E160="Y", F160="Y"), "Expressed", "N")</f>
        <v>Expressed</v>
      </c>
      <c r="H160" s="8">
        <v>12.61349183489795</v>
      </c>
      <c r="I160" s="8">
        <v>1385</v>
      </c>
      <c r="J160" s="8">
        <v>12.97842076512398</v>
      </c>
      <c r="K160" s="8">
        <v>3192</v>
      </c>
      <c r="L160" s="8">
        <v>13.988328173282421</v>
      </c>
      <c r="M160" s="8">
        <v>2668</v>
      </c>
      <c r="N160" s="8">
        <v>12.40275846430448</v>
      </c>
      <c r="O160" s="8">
        <v>1408</v>
      </c>
      <c r="P160" s="9">
        <v>6.0246246864192461</v>
      </c>
      <c r="Q160" s="9">
        <v>2217</v>
      </c>
      <c r="R160" s="9">
        <v>20.412006991675089</v>
      </c>
      <c r="S160" s="9">
        <v>907</v>
      </c>
      <c r="T160" s="9">
        <v>14.13484026879121</v>
      </c>
      <c r="U160" s="9">
        <v>605</v>
      </c>
      <c r="V160" s="9">
        <v>2.441192004193212</v>
      </c>
      <c r="W160" s="9">
        <v>2093</v>
      </c>
      <c r="X160">
        <v>1617.666870093173</v>
      </c>
      <c r="Y160">
        <v>-0.49657116557415248</v>
      </c>
      <c r="Z160">
        <v>0.1065860846379586</v>
      </c>
      <c r="AA160">
        <v>-4.6588742541848509</v>
      </c>
      <c r="AB160">
        <v>3.1794333683750271E-6</v>
      </c>
      <c r="AC160">
        <v>5.0789299794001613E-4</v>
      </c>
      <c r="AD160" t="s">
        <v>1842</v>
      </c>
      <c r="AE160" t="s">
        <v>1843</v>
      </c>
      <c r="AF160" t="s">
        <v>55</v>
      </c>
      <c r="AG160" t="s">
        <v>1844</v>
      </c>
      <c r="AH160" t="s">
        <v>43</v>
      </c>
      <c r="AI160" t="s">
        <v>43</v>
      </c>
      <c r="AJ160" t="s">
        <v>43</v>
      </c>
      <c r="AK160" t="s">
        <v>43</v>
      </c>
      <c r="AL160" t="s">
        <v>43</v>
      </c>
      <c r="AM160" t="s">
        <v>1845</v>
      </c>
      <c r="AN160" t="s">
        <v>43</v>
      </c>
    </row>
    <row r="161" spans="1:40" x14ac:dyDescent="0.3">
      <c r="A161" t="s">
        <v>1851</v>
      </c>
      <c r="B161">
        <v>2340</v>
      </c>
      <c r="C161" t="str">
        <f>IF(Y161&lt;0, "Down", "Up")</f>
        <v>Down</v>
      </c>
      <c r="D161" s="7" t="str">
        <f>IF(AC161&lt;0.05, "Sig", "N")</f>
        <v>Sig</v>
      </c>
      <c r="E161" s="1" t="str">
        <f>IF(AND(H161&gt;2,J161&gt;2,L161&gt;2,N161&gt;2),"Y","N")</f>
        <v>Y</v>
      </c>
      <c r="F161" s="1" t="str">
        <f>IF(AND(P161&gt;2,R161&gt;2,T161&gt;2,V161&gt;2),"Y","N")</f>
        <v>Y</v>
      </c>
      <c r="G161" s="1" t="str">
        <f>IF(OR(E161="Y", F161="Y"), "Expressed", "N")</f>
        <v>Expressed</v>
      </c>
      <c r="H161" s="8">
        <v>10.65237388195183</v>
      </c>
      <c r="I161" s="8">
        <v>1109</v>
      </c>
      <c r="J161" s="8">
        <v>12.76636038127724</v>
      </c>
      <c r="K161" s="8">
        <v>2977</v>
      </c>
      <c r="L161" s="8">
        <v>12.453105616118309</v>
      </c>
      <c r="M161" s="8">
        <v>2252</v>
      </c>
      <c r="N161" s="8">
        <v>17.698640561342419</v>
      </c>
      <c r="O161" s="8">
        <v>1905</v>
      </c>
      <c r="P161" s="9">
        <v>8.597092908710767</v>
      </c>
      <c r="Q161" s="9">
        <v>1719</v>
      </c>
      <c r="R161" s="9">
        <v>16.69264625063623</v>
      </c>
      <c r="S161" s="9">
        <v>492</v>
      </c>
      <c r="T161" s="9">
        <v>8.0868245108893522</v>
      </c>
      <c r="U161" s="9">
        <v>627</v>
      </c>
      <c r="V161" s="9">
        <v>2.6683537403409812</v>
      </c>
      <c r="W161" s="9">
        <v>2005</v>
      </c>
      <c r="X161">
        <v>1489.006922708164</v>
      </c>
      <c r="Y161">
        <v>-0.74679614898566082</v>
      </c>
      <c r="Z161">
        <v>0.23985135959457399</v>
      </c>
      <c r="AA161">
        <v>-3.1135789692749158</v>
      </c>
      <c r="AB161">
        <v>1.848330395908966E-3</v>
      </c>
      <c r="AC161">
        <v>4.4228974919109092E-2</v>
      </c>
      <c r="AD161" t="s">
        <v>1852</v>
      </c>
      <c r="AE161" t="s">
        <v>1853</v>
      </c>
      <c r="AF161" t="s">
        <v>1854</v>
      </c>
      <c r="AG161" t="s">
        <v>829</v>
      </c>
      <c r="AH161" t="s">
        <v>830</v>
      </c>
      <c r="AI161" t="s">
        <v>831</v>
      </c>
      <c r="AJ161" t="s">
        <v>832</v>
      </c>
      <c r="AK161" t="s">
        <v>833</v>
      </c>
      <c r="AL161" t="s">
        <v>834</v>
      </c>
      <c r="AM161" t="s">
        <v>1855</v>
      </c>
      <c r="AN161" t="s">
        <v>43</v>
      </c>
    </row>
    <row r="162" spans="1:40" x14ac:dyDescent="0.3">
      <c r="A162" t="s">
        <v>1856</v>
      </c>
      <c r="B162">
        <v>3097</v>
      </c>
      <c r="C162" t="str">
        <f>IF(Y162&lt;0, "Down", "Up")</f>
        <v>Down</v>
      </c>
      <c r="D162" s="7" t="str">
        <f>IF(AC162&lt;0.05, "Sig", "N")</f>
        <v>Sig</v>
      </c>
      <c r="E162" s="1" t="str">
        <f>IF(AND(H162&gt;2,J162&gt;2,L162&gt;2,N162&gt;2),"Y","N")</f>
        <v>Y</v>
      </c>
      <c r="F162" s="1" t="str">
        <f>IF(AND(P162&gt;2,R162&gt;2,T162&gt;2,V162&gt;2),"Y","N")</f>
        <v>Y</v>
      </c>
      <c r="G162" s="1" t="str">
        <f>IF(OR(E162="Y", F162="Y"), "Expressed", "N")</f>
        <v>Expressed</v>
      </c>
      <c r="H162" s="8">
        <v>21.21379278450387</v>
      </c>
      <c r="I162" s="8">
        <v>2923</v>
      </c>
      <c r="J162" s="8">
        <v>12.65272169573848</v>
      </c>
      <c r="K162" s="8">
        <v>3905</v>
      </c>
      <c r="L162" s="8">
        <v>26.890567810722931</v>
      </c>
      <c r="M162" s="8">
        <v>6436</v>
      </c>
      <c r="N162" s="8">
        <v>17.0789705754779</v>
      </c>
      <c r="O162" s="8">
        <v>2433</v>
      </c>
      <c r="P162" s="9">
        <v>8.296088974383018</v>
      </c>
      <c r="Q162" s="9">
        <v>3226</v>
      </c>
      <c r="R162" s="9">
        <v>23.669458822984659</v>
      </c>
      <c r="S162" s="9">
        <v>1122</v>
      </c>
      <c r="T162" s="9">
        <v>13.934148190124841</v>
      </c>
      <c r="U162" s="9">
        <v>726</v>
      </c>
      <c r="V162" s="9">
        <v>2.334463751894936</v>
      </c>
      <c r="W162" s="9">
        <v>2725</v>
      </c>
      <c r="X162">
        <v>2617.2757996400842</v>
      </c>
      <c r="Y162">
        <v>-0.99953994876116914</v>
      </c>
      <c r="Z162">
        <v>0.17812947126289441</v>
      </c>
      <c r="AA162">
        <v>-5.6113114897533549</v>
      </c>
      <c r="AB162">
        <v>2.007989488574919E-8</v>
      </c>
      <c r="AC162">
        <v>1.217253525356108E-5</v>
      </c>
      <c r="AD162" t="s">
        <v>1857</v>
      </c>
      <c r="AE162" t="s">
        <v>1858</v>
      </c>
      <c r="AF162" t="s">
        <v>1859</v>
      </c>
      <c r="AG162" t="s">
        <v>1124</v>
      </c>
      <c r="AH162" t="s">
        <v>43</v>
      </c>
      <c r="AI162" t="s">
        <v>43</v>
      </c>
      <c r="AJ162" t="s">
        <v>43</v>
      </c>
      <c r="AK162" t="s">
        <v>43</v>
      </c>
      <c r="AL162" t="s">
        <v>43</v>
      </c>
      <c r="AM162" t="s">
        <v>1125</v>
      </c>
      <c r="AN162" t="s">
        <v>43</v>
      </c>
    </row>
    <row r="163" spans="1:40" x14ac:dyDescent="0.3">
      <c r="A163" t="s">
        <v>1860</v>
      </c>
      <c r="B163">
        <v>2131</v>
      </c>
      <c r="C163" t="str">
        <f>IF(Y163&lt;0, "Down", "Up")</f>
        <v>Down</v>
      </c>
      <c r="D163" s="7" t="str">
        <f>IF(AC163&lt;0.05, "Sig", "N")</f>
        <v>Sig</v>
      </c>
      <c r="E163" s="1" t="str">
        <f>IF(AND(H163&gt;2,J163&gt;2,L163&gt;2,N163&gt;2),"Y","N")</f>
        <v>Y</v>
      </c>
      <c r="F163" s="1" t="str">
        <f>IF(AND(P163&gt;2,R163&gt;2,T163&gt;2,V163&gt;2),"Y","N")</f>
        <v>Y</v>
      </c>
      <c r="G163" s="1" t="str">
        <f>IF(OR(E163="Y", F163="Y"), "Expressed", "N")</f>
        <v>Expressed</v>
      </c>
      <c r="H163" s="8">
        <v>18.067773003480919</v>
      </c>
      <c r="I163" s="8">
        <v>1713</v>
      </c>
      <c r="J163" s="8">
        <v>12.638722676486349</v>
      </c>
      <c r="K163" s="8">
        <v>2684</v>
      </c>
      <c r="L163" s="8">
        <v>21.246413788685519</v>
      </c>
      <c r="M163" s="8">
        <v>3499</v>
      </c>
      <c r="N163" s="8">
        <v>16.118863738364219</v>
      </c>
      <c r="O163" s="8">
        <v>1580</v>
      </c>
      <c r="P163" s="9">
        <v>7.8297182578103879</v>
      </c>
      <c r="Q163" s="9">
        <v>2944</v>
      </c>
      <c r="R163" s="9">
        <v>31.39203909893347</v>
      </c>
      <c r="S163" s="9">
        <v>524</v>
      </c>
      <c r="T163" s="9">
        <v>9.4575056772003752</v>
      </c>
      <c r="U163" s="9">
        <v>513</v>
      </c>
      <c r="V163" s="9">
        <v>2.3973179374421338</v>
      </c>
      <c r="W163" s="9">
        <v>1747</v>
      </c>
      <c r="X163">
        <v>1664.4753345944109</v>
      </c>
      <c r="Y163">
        <v>-0.80173129473500326</v>
      </c>
      <c r="Z163">
        <v>0.2407982850737754</v>
      </c>
      <c r="AA163">
        <v>-3.3294726101947529</v>
      </c>
      <c r="AB163">
        <v>8.7010621720504079E-4</v>
      </c>
      <c r="AC163">
        <v>2.82958063097133E-2</v>
      </c>
      <c r="AD163" t="s">
        <v>1861</v>
      </c>
      <c r="AE163" t="s">
        <v>1862</v>
      </c>
      <c r="AF163" t="s">
        <v>1863</v>
      </c>
      <c r="AG163" t="s">
        <v>1864</v>
      </c>
      <c r="AH163" t="s">
        <v>43</v>
      </c>
      <c r="AI163" t="s">
        <v>43</v>
      </c>
      <c r="AJ163" t="s">
        <v>43</v>
      </c>
      <c r="AK163" t="s">
        <v>43</v>
      </c>
      <c r="AL163" t="s">
        <v>43</v>
      </c>
      <c r="AM163" t="s">
        <v>1865</v>
      </c>
      <c r="AN163" t="s">
        <v>1866</v>
      </c>
    </row>
    <row r="164" spans="1:40" x14ac:dyDescent="0.3">
      <c r="A164" t="s">
        <v>1884</v>
      </c>
      <c r="B164">
        <v>1527</v>
      </c>
      <c r="C164" t="str">
        <f>IF(Y164&lt;0, "Down", "Up")</f>
        <v>Down</v>
      </c>
      <c r="D164" s="7" t="str">
        <f>IF(AC164&lt;0.05, "Sig", "N")</f>
        <v>Sig</v>
      </c>
      <c r="E164" s="1" t="str">
        <f>IF(AND(H164&gt;2,J164&gt;2,L164&gt;2,N164&gt;2),"Y","N")</f>
        <v>Y</v>
      </c>
      <c r="F164" s="1" t="str">
        <f>IF(AND(P164&gt;2,R164&gt;2,T164&gt;2,V164&gt;2),"Y","N")</f>
        <v>Y</v>
      </c>
      <c r="G164" s="1" t="str">
        <f>IF(OR(E164="Y", F164="Y"), "Expressed", "N")</f>
        <v>Expressed</v>
      </c>
      <c r="H164" s="8">
        <v>17.898855018244511</v>
      </c>
      <c r="I164" s="8">
        <v>1216</v>
      </c>
      <c r="J164" s="8">
        <v>12.577867607397661</v>
      </c>
      <c r="K164" s="8">
        <v>1914</v>
      </c>
      <c r="L164" s="8">
        <v>28.980922909439339</v>
      </c>
      <c r="M164" s="8">
        <v>3420</v>
      </c>
      <c r="N164" s="8">
        <v>16.571992573007648</v>
      </c>
      <c r="O164" s="8">
        <v>1164</v>
      </c>
      <c r="P164" s="9">
        <v>8.0498250325394132</v>
      </c>
      <c r="Q164" s="9">
        <v>1847</v>
      </c>
      <c r="R164" s="9">
        <v>27.48482835138719</v>
      </c>
      <c r="S164" s="9">
        <v>538</v>
      </c>
      <c r="T164" s="9">
        <v>13.551020803383039</v>
      </c>
      <c r="U164" s="9">
        <v>413</v>
      </c>
      <c r="V164" s="9">
        <v>2.6934116490521292</v>
      </c>
      <c r="W164" s="9">
        <v>1753</v>
      </c>
      <c r="X164">
        <v>1329.104502899931</v>
      </c>
      <c r="Y164">
        <v>-0.75606220095725551</v>
      </c>
      <c r="Z164">
        <v>0.19992449128778</v>
      </c>
      <c r="AA164">
        <v>-3.781738775910886</v>
      </c>
      <c r="AB164">
        <v>1.5573674152732889E-4</v>
      </c>
      <c r="AC164">
        <v>8.9367185514298755E-3</v>
      </c>
      <c r="AD164" t="s">
        <v>1885</v>
      </c>
      <c r="AE164" t="s">
        <v>1886</v>
      </c>
      <c r="AF164" t="s">
        <v>1887</v>
      </c>
      <c r="AG164" t="s">
        <v>1888</v>
      </c>
      <c r="AH164" t="s">
        <v>830</v>
      </c>
      <c r="AI164" t="s">
        <v>1889</v>
      </c>
      <c r="AJ164" t="s">
        <v>832</v>
      </c>
      <c r="AK164" t="s">
        <v>833</v>
      </c>
      <c r="AL164" t="s">
        <v>834</v>
      </c>
      <c r="AM164" t="s">
        <v>1890</v>
      </c>
      <c r="AN164" t="s">
        <v>43</v>
      </c>
    </row>
    <row r="165" spans="1:40" x14ac:dyDescent="0.3">
      <c r="A165" t="s">
        <v>1891</v>
      </c>
      <c r="B165">
        <v>2331</v>
      </c>
      <c r="C165" t="str">
        <f>IF(Y165&lt;0, "Down", "Up")</f>
        <v>Down</v>
      </c>
      <c r="D165" s="7" t="str">
        <f>IF(AC165&lt;0.05, "Sig", "N")</f>
        <v>Sig</v>
      </c>
      <c r="E165" s="1" t="str">
        <f>IF(AND(H165&gt;2,J165&gt;2,L165&gt;2,N165&gt;2),"Y","N")</f>
        <v>Y</v>
      </c>
      <c r="F165" s="1" t="str">
        <f>IF(AND(P165&gt;2,R165&gt;2,T165&gt;2,V165&gt;2),"Y","N")</f>
        <v>N</v>
      </c>
      <c r="G165" s="1" t="str">
        <f>IF(OR(E165="Y", F165="Y"), "Expressed", "N")</f>
        <v>Expressed</v>
      </c>
      <c r="H165" s="8">
        <v>22.52481731060459</v>
      </c>
      <c r="I165" s="8">
        <v>2336</v>
      </c>
      <c r="J165" s="8">
        <v>12.52291896920824</v>
      </c>
      <c r="K165" s="8">
        <v>2909</v>
      </c>
      <c r="L165" s="8">
        <v>31.846940684409908</v>
      </c>
      <c r="M165" s="8">
        <v>5737</v>
      </c>
      <c r="N165" s="8">
        <v>17.46852720550984</v>
      </c>
      <c r="O165" s="8">
        <v>1873</v>
      </c>
      <c r="P165" s="9">
        <v>8.4853156288247131</v>
      </c>
      <c r="Q165" s="9">
        <v>1600</v>
      </c>
      <c r="R165" s="9">
        <v>15.59706491891594</v>
      </c>
      <c r="S165" s="9">
        <v>239</v>
      </c>
      <c r="T165" s="9">
        <v>3.9435232060980661</v>
      </c>
      <c r="U165" s="9">
        <v>455</v>
      </c>
      <c r="V165" s="9">
        <v>1.9438414678116549</v>
      </c>
      <c r="W165" s="9">
        <v>639</v>
      </c>
      <c r="X165">
        <v>1762.8564223848191</v>
      </c>
      <c r="Y165">
        <v>-2.0200788258389659</v>
      </c>
      <c r="Z165">
        <v>0.34714043546751228</v>
      </c>
      <c r="AA165">
        <v>-5.8191977063070146</v>
      </c>
      <c r="AB165">
        <v>5.9130759787706139E-9</v>
      </c>
      <c r="AC165">
        <v>4.3686544465654643E-6</v>
      </c>
      <c r="AD165" t="s">
        <v>1892</v>
      </c>
      <c r="AE165" t="s">
        <v>1893</v>
      </c>
      <c r="AF165" t="s">
        <v>1894</v>
      </c>
      <c r="AG165" t="s">
        <v>1895</v>
      </c>
      <c r="AH165" t="s">
        <v>43</v>
      </c>
      <c r="AI165" t="s">
        <v>43</v>
      </c>
      <c r="AJ165" t="s">
        <v>43</v>
      </c>
      <c r="AK165" t="s">
        <v>43</v>
      </c>
      <c r="AL165" t="s">
        <v>43</v>
      </c>
      <c r="AM165" t="s">
        <v>1896</v>
      </c>
      <c r="AN165" t="s">
        <v>43</v>
      </c>
    </row>
    <row r="166" spans="1:40" x14ac:dyDescent="0.3">
      <c r="A166" t="s">
        <v>76</v>
      </c>
      <c r="B166">
        <v>2118</v>
      </c>
      <c r="C166" t="str">
        <f>IF(Y166&lt;0, "Down", "Up")</f>
        <v>Down</v>
      </c>
      <c r="D166" s="7" t="str">
        <f>IF(AC166&lt;0.05, "Sig", "N")</f>
        <v>Sig</v>
      </c>
      <c r="E166" s="1" t="str">
        <f>IF(AND(H166&gt;2,J166&gt;2,L166&gt;2,N166&gt;2),"Y","N")</f>
        <v>Y</v>
      </c>
      <c r="F166" s="1" t="str">
        <f>IF(AND(P166&gt;2,R166&gt;2,T166&gt;2,V166&gt;2),"Y","N")</f>
        <v>Y</v>
      </c>
      <c r="G166" s="1" t="str">
        <f>IF(OR(E166="Y", F166="Y"), "Expressed", "N")</f>
        <v>Expressed</v>
      </c>
      <c r="H166" s="8">
        <v>14.09297987095154</v>
      </c>
      <c r="I166" s="8">
        <v>1328</v>
      </c>
      <c r="J166" s="8">
        <v>12.52204701598863</v>
      </c>
      <c r="K166" s="8">
        <v>2643</v>
      </c>
      <c r="L166" s="8">
        <v>15.432366655088829</v>
      </c>
      <c r="M166" s="8">
        <v>2526</v>
      </c>
      <c r="N166" s="8">
        <v>12.89212389130731</v>
      </c>
      <c r="O166" s="8">
        <v>1256</v>
      </c>
      <c r="P166" s="9">
        <v>6.2623333413677784</v>
      </c>
      <c r="Q166" s="9">
        <v>2304</v>
      </c>
      <c r="R166" s="9">
        <v>24.718475915689329</v>
      </c>
      <c r="S166" s="9">
        <v>802</v>
      </c>
      <c r="T166" s="9">
        <v>14.56388315320465</v>
      </c>
      <c r="U166" s="9">
        <v>548</v>
      </c>
      <c r="V166" s="9">
        <v>2.5765959643505632</v>
      </c>
      <c r="W166" s="9">
        <v>2285</v>
      </c>
      <c r="X166">
        <v>1512.233923150086</v>
      </c>
      <c r="Y166">
        <v>-0.37707842806416519</v>
      </c>
      <c r="Z166">
        <v>0.1118448279589192</v>
      </c>
      <c r="AA166">
        <v>-3.3714426938245792</v>
      </c>
      <c r="AB166">
        <v>7.477559364905378E-4</v>
      </c>
      <c r="AC166">
        <v>2.5464766671429041E-2</v>
      </c>
      <c r="AD166" t="s">
        <v>77</v>
      </c>
      <c r="AE166" t="s">
        <v>78</v>
      </c>
      <c r="AF166" t="s">
        <v>79</v>
      </c>
      <c r="AG166" t="s">
        <v>80</v>
      </c>
      <c r="AH166" t="s">
        <v>43</v>
      </c>
      <c r="AI166" t="s">
        <v>43</v>
      </c>
      <c r="AJ166" t="s">
        <v>43</v>
      </c>
      <c r="AK166" t="s">
        <v>43</v>
      </c>
      <c r="AL166" t="s">
        <v>43</v>
      </c>
      <c r="AM166" t="s">
        <v>81</v>
      </c>
      <c r="AN166" t="s">
        <v>43</v>
      </c>
    </row>
    <row r="167" spans="1:40" x14ac:dyDescent="0.3">
      <c r="A167" t="s">
        <v>1897</v>
      </c>
      <c r="B167">
        <v>2829</v>
      </c>
      <c r="C167" t="str">
        <f>IF(Y167&lt;0, "Down", "Up")</f>
        <v>Down</v>
      </c>
      <c r="D167" s="7" t="str">
        <f>IF(AC167&lt;0.05, "Sig", "N")</f>
        <v>Sig</v>
      </c>
      <c r="E167" s="1" t="str">
        <f>IF(AND(H167&gt;2,J167&gt;2,L167&gt;2,N167&gt;2),"Y","N")</f>
        <v>Y</v>
      </c>
      <c r="F167" s="1" t="str">
        <f>IF(AND(P167&gt;2,R167&gt;2,T167&gt;2,V167&gt;2),"Y","N")</f>
        <v>N</v>
      </c>
      <c r="G167" s="1" t="str">
        <f>IF(OR(E167="Y", F167="Y"), "Expressed", "N")</f>
        <v>Expressed</v>
      </c>
      <c r="H167" s="8">
        <v>7.3571354467555743</v>
      </c>
      <c r="I167" s="8">
        <v>926</v>
      </c>
      <c r="J167" s="8">
        <v>12.51055668236137</v>
      </c>
      <c r="K167" s="8">
        <v>3527</v>
      </c>
      <c r="L167" s="8">
        <v>7.8534862977660076</v>
      </c>
      <c r="M167" s="8">
        <v>1717</v>
      </c>
      <c r="N167" s="8">
        <v>4.3956577254412439</v>
      </c>
      <c r="O167" s="8">
        <v>572</v>
      </c>
      <c r="P167" s="9">
        <v>2.1351853397741589</v>
      </c>
      <c r="Q167" s="9">
        <v>559</v>
      </c>
      <c r="R167" s="9">
        <v>4.4899761188207226</v>
      </c>
      <c r="S167" s="9">
        <v>222</v>
      </c>
      <c r="T167" s="9">
        <v>3.0182054597970498</v>
      </c>
      <c r="U167" s="9">
        <v>278</v>
      </c>
      <c r="V167" s="9">
        <v>0.97859629682244942</v>
      </c>
      <c r="W167" s="9">
        <v>845</v>
      </c>
      <c r="X167">
        <v>903.66638006935261</v>
      </c>
      <c r="Y167">
        <v>-1.571753222174646</v>
      </c>
      <c r="Z167">
        <v>0.31006448778367202</v>
      </c>
      <c r="AA167">
        <v>-5.0691171807822064</v>
      </c>
      <c r="AB167">
        <v>3.9966512395440631E-7</v>
      </c>
      <c r="AC167">
        <v>1.2271276442246849E-4</v>
      </c>
      <c r="AD167" t="s">
        <v>1898</v>
      </c>
      <c r="AE167" t="s">
        <v>1899</v>
      </c>
      <c r="AF167" t="s">
        <v>43</v>
      </c>
      <c r="AG167" t="s">
        <v>140</v>
      </c>
      <c r="AH167" t="s">
        <v>43</v>
      </c>
      <c r="AI167" t="s">
        <v>43</v>
      </c>
      <c r="AJ167" t="s">
        <v>43</v>
      </c>
      <c r="AK167" t="s">
        <v>43</v>
      </c>
      <c r="AL167" t="s">
        <v>43</v>
      </c>
      <c r="AM167" t="s">
        <v>141</v>
      </c>
      <c r="AN167" t="s">
        <v>43</v>
      </c>
    </row>
    <row r="168" spans="1:40" x14ac:dyDescent="0.3">
      <c r="A168" t="s">
        <v>1900</v>
      </c>
      <c r="B168">
        <v>1537</v>
      </c>
      <c r="C168" t="str">
        <f>IF(Y168&lt;0, "Down", "Up")</f>
        <v>Down</v>
      </c>
      <c r="D168" s="7" t="str">
        <f>IF(AC168&lt;0.05, "Sig", "N")</f>
        <v>Sig</v>
      </c>
      <c r="E168" s="1" t="str">
        <f>IF(AND(H168&gt;2,J168&gt;2,L168&gt;2,N168&gt;2),"Y","N")</f>
        <v>Y</v>
      </c>
      <c r="F168" s="1" t="str">
        <f>IF(AND(P168&gt;2,R168&gt;2,T168&gt;2,V168&gt;2),"Y","N")</f>
        <v>Y</v>
      </c>
      <c r="G168" s="1" t="str">
        <f>IF(OR(E168="Y", F168="Y"), "Expressed", "N")</f>
        <v>Expressed</v>
      </c>
      <c r="H168" s="8">
        <v>18.147993972985692</v>
      </c>
      <c r="I168" s="8">
        <v>1241</v>
      </c>
      <c r="J168" s="8">
        <v>12.469918712751021</v>
      </c>
      <c r="K168" s="8">
        <v>1910</v>
      </c>
      <c r="L168" s="8">
        <v>25.34906999856398</v>
      </c>
      <c r="M168" s="8">
        <v>3011</v>
      </c>
      <c r="N168" s="8">
        <v>15.672081433546859</v>
      </c>
      <c r="O168" s="8">
        <v>1108</v>
      </c>
      <c r="P168" s="9">
        <v>7.6126943021472382</v>
      </c>
      <c r="Q168" s="9">
        <v>1760</v>
      </c>
      <c r="R168" s="9">
        <v>26.01980101404838</v>
      </c>
      <c r="S168" s="9">
        <v>667</v>
      </c>
      <c r="T168" s="9">
        <v>16.690937842309591</v>
      </c>
      <c r="U168" s="9">
        <v>562</v>
      </c>
      <c r="V168" s="9">
        <v>3.641280770082377</v>
      </c>
      <c r="W168" s="9">
        <v>1748</v>
      </c>
      <c r="X168">
        <v>1349.8101507731501</v>
      </c>
      <c r="Y168">
        <v>-0.52725862911671317</v>
      </c>
      <c r="Z168">
        <v>0.17215069013488021</v>
      </c>
      <c r="AA168">
        <v>-3.0627738332248668</v>
      </c>
      <c r="AB168">
        <v>2.192957324498829E-3</v>
      </c>
      <c r="AC168">
        <v>4.8791690839631682E-2</v>
      </c>
      <c r="AD168" t="s">
        <v>1901</v>
      </c>
      <c r="AE168" t="s">
        <v>1902</v>
      </c>
      <c r="AF168" t="s">
        <v>1903</v>
      </c>
      <c r="AG168" t="s">
        <v>1904</v>
      </c>
      <c r="AH168" t="s">
        <v>43</v>
      </c>
      <c r="AI168" t="s">
        <v>43</v>
      </c>
      <c r="AJ168" t="s">
        <v>43</v>
      </c>
      <c r="AK168" t="s">
        <v>43</v>
      </c>
      <c r="AL168" t="s">
        <v>43</v>
      </c>
      <c r="AM168" t="s">
        <v>1905</v>
      </c>
      <c r="AN168" t="s">
        <v>43</v>
      </c>
    </row>
    <row r="169" spans="1:40" x14ac:dyDescent="0.3">
      <c r="A169" t="s">
        <v>1906</v>
      </c>
      <c r="B169">
        <v>1893</v>
      </c>
      <c r="C169" t="str">
        <f>IF(Y169&lt;0, "Down", "Up")</f>
        <v>Down</v>
      </c>
      <c r="D169" s="7" t="str">
        <f>IF(AC169&lt;0.05, "Sig", "N")</f>
        <v>Sig</v>
      </c>
      <c r="E169" s="1" t="str">
        <f>IF(AND(H169&gt;2,J169&gt;2,L169&gt;2,N169&gt;2),"Y","N")</f>
        <v>Y</v>
      </c>
      <c r="F169" s="1" t="str">
        <f>IF(AND(P169&gt;2,R169&gt;2,T169&gt;2,V169&gt;2),"Y","N")</f>
        <v>Y</v>
      </c>
      <c r="G169" s="1" t="str">
        <f>IF(OR(E169="Y", F169="Y"), "Expressed", "N")</f>
        <v>Expressed</v>
      </c>
      <c r="H169" s="8">
        <v>15.35248293376009</v>
      </c>
      <c r="I169" s="8">
        <v>1293</v>
      </c>
      <c r="J169" s="8">
        <v>12.446624893697109</v>
      </c>
      <c r="K169" s="8">
        <v>2348</v>
      </c>
      <c r="L169" s="8">
        <v>21.415830632206461</v>
      </c>
      <c r="M169" s="8">
        <v>3133</v>
      </c>
      <c r="N169" s="8">
        <v>15.262833047322109</v>
      </c>
      <c r="O169" s="8">
        <v>1329</v>
      </c>
      <c r="P169" s="9">
        <v>7.4139024013275234</v>
      </c>
      <c r="Q169" s="9">
        <v>2068</v>
      </c>
      <c r="R169" s="9">
        <v>24.823618666849459</v>
      </c>
      <c r="S169" s="9">
        <v>908</v>
      </c>
      <c r="T169" s="9">
        <v>18.448625203227149</v>
      </c>
      <c r="U169" s="9">
        <v>576</v>
      </c>
      <c r="V169" s="9">
        <v>3.030146241277726</v>
      </c>
      <c r="W169" s="9">
        <v>2281</v>
      </c>
      <c r="X169">
        <v>1553.0910271323801</v>
      </c>
      <c r="Y169">
        <v>-0.41559560551600389</v>
      </c>
      <c r="Z169">
        <v>0.124671620168828</v>
      </c>
      <c r="AA169">
        <v>-3.3335221356168461</v>
      </c>
      <c r="AB169">
        <v>8.5753847802121455E-4</v>
      </c>
      <c r="AC169">
        <v>2.79255161120903E-2</v>
      </c>
      <c r="AD169" t="s">
        <v>1907</v>
      </c>
      <c r="AE169" t="s">
        <v>1908</v>
      </c>
      <c r="AF169" t="s">
        <v>1909</v>
      </c>
      <c r="AG169" t="s">
        <v>1910</v>
      </c>
      <c r="AH169" t="s">
        <v>830</v>
      </c>
      <c r="AI169" t="s">
        <v>1911</v>
      </c>
      <c r="AJ169" t="s">
        <v>1912</v>
      </c>
      <c r="AK169" t="s">
        <v>1017</v>
      </c>
      <c r="AL169" t="s">
        <v>1913</v>
      </c>
      <c r="AM169" t="s">
        <v>1914</v>
      </c>
      <c r="AN169" t="s">
        <v>43</v>
      </c>
    </row>
    <row r="170" spans="1:40" x14ac:dyDescent="0.3">
      <c r="A170" t="s">
        <v>1915</v>
      </c>
      <c r="B170">
        <v>900</v>
      </c>
      <c r="C170" t="str">
        <f>IF(Y170&lt;0, "Down", "Up")</f>
        <v>Down</v>
      </c>
      <c r="D170" s="7" t="str">
        <f>IF(AC170&lt;0.05, "Sig", "N")</f>
        <v>Sig</v>
      </c>
      <c r="E170" s="1" t="str">
        <f>IF(AND(H170&gt;2,J170&gt;2,L170&gt;2,N170&gt;2),"Y","N")</f>
        <v>Y</v>
      </c>
      <c r="F170" s="1" t="str">
        <f>IF(AND(P170&gt;2,R170&gt;2,T170&gt;2,V170&gt;2),"Y","N")</f>
        <v>Y</v>
      </c>
      <c r="G170" s="1" t="str">
        <f>IF(OR(E170="Y", F170="Y"), "Expressed", "N")</f>
        <v>Expressed</v>
      </c>
      <c r="H170" s="8">
        <v>14.95942929102956</v>
      </c>
      <c r="I170" s="8">
        <v>599</v>
      </c>
      <c r="J170" s="8">
        <v>12.331523652133299</v>
      </c>
      <c r="K170" s="8">
        <v>1106</v>
      </c>
      <c r="L170" s="8">
        <v>19.237062085858081</v>
      </c>
      <c r="M170" s="8">
        <v>1338</v>
      </c>
      <c r="N170" s="8">
        <v>13.74455057556429</v>
      </c>
      <c r="O170" s="8">
        <v>569</v>
      </c>
      <c r="P170" s="9">
        <v>6.6763985559825247</v>
      </c>
      <c r="Q170" s="9">
        <v>904</v>
      </c>
      <c r="R170" s="9">
        <v>22.82396494909564</v>
      </c>
      <c r="S170" s="9">
        <v>278</v>
      </c>
      <c r="T170" s="9">
        <v>11.880399911526061</v>
      </c>
      <c r="U170" s="9">
        <v>182</v>
      </c>
      <c r="V170" s="9">
        <v>2.0138197606528738</v>
      </c>
      <c r="W170" s="9">
        <v>915</v>
      </c>
      <c r="X170">
        <v>638.34418383131288</v>
      </c>
      <c r="Y170">
        <v>-0.69329413689222896</v>
      </c>
      <c r="Z170">
        <v>0.15992585619263741</v>
      </c>
      <c r="AA170">
        <v>-4.335097234415473</v>
      </c>
      <c r="AB170">
        <v>1.456957071253172E-5</v>
      </c>
      <c r="AC170">
        <v>1.6560278403157441E-3</v>
      </c>
      <c r="AD170" t="s">
        <v>1916</v>
      </c>
      <c r="AE170" t="s">
        <v>1917</v>
      </c>
      <c r="AF170" t="s">
        <v>1918</v>
      </c>
      <c r="AG170" t="s">
        <v>1919</v>
      </c>
      <c r="AH170" t="s">
        <v>43</v>
      </c>
      <c r="AI170" t="s">
        <v>43</v>
      </c>
      <c r="AJ170" t="s">
        <v>43</v>
      </c>
      <c r="AK170" t="s">
        <v>43</v>
      </c>
      <c r="AL170" t="s">
        <v>43</v>
      </c>
      <c r="AM170" t="s">
        <v>1920</v>
      </c>
      <c r="AN170" t="s">
        <v>43</v>
      </c>
    </row>
    <row r="171" spans="1:40" x14ac:dyDescent="0.3">
      <c r="A171" t="s">
        <v>1921</v>
      </c>
      <c r="B171">
        <v>1354</v>
      </c>
      <c r="C171" t="str">
        <f>IF(Y171&lt;0, "Down", "Up")</f>
        <v>Down</v>
      </c>
      <c r="D171" s="7" t="str">
        <f>IF(AC171&lt;0.05, "Sig", "N")</f>
        <v>Sig</v>
      </c>
      <c r="E171" s="1" t="str">
        <f>IF(AND(H171&gt;2,J171&gt;2,L171&gt;2,N171&gt;2),"Y","N")</f>
        <v>Y</v>
      </c>
      <c r="F171" s="1" t="str">
        <f>IF(AND(P171&gt;2,R171&gt;2,T171&gt;2,V171&gt;2),"Y","N")</f>
        <v>Y</v>
      </c>
      <c r="G171" s="1" t="str">
        <f>IF(OR(E171="Y", F171="Y"), "Expressed", "N")</f>
        <v>Expressed</v>
      </c>
      <c r="H171" s="8">
        <v>22.659206609772841</v>
      </c>
      <c r="I171" s="8">
        <v>1365</v>
      </c>
      <c r="J171" s="8">
        <v>12.258038007114161</v>
      </c>
      <c r="K171" s="8">
        <v>1654</v>
      </c>
      <c r="L171" s="8">
        <v>33.629913102583238</v>
      </c>
      <c r="M171" s="8">
        <v>3519</v>
      </c>
      <c r="N171" s="8">
        <v>28.242813737043949</v>
      </c>
      <c r="O171" s="8">
        <v>1759</v>
      </c>
      <c r="P171" s="9">
        <v>13.71891207458722</v>
      </c>
      <c r="Q171" s="9">
        <v>1229</v>
      </c>
      <c r="R171" s="9">
        <v>20.625210479433839</v>
      </c>
      <c r="S171" s="9">
        <v>259</v>
      </c>
      <c r="T171" s="9">
        <v>7.3571544461301057</v>
      </c>
      <c r="U171" s="9">
        <v>307</v>
      </c>
      <c r="V171" s="9">
        <v>2.2579349743876072</v>
      </c>
      <c r="W171" s="9">
        <v>1494</v>
      </c>
      <c r="X171">
        <v>1293.1978846651041</v>
      </c>
      <c r="Y171">
        <v>-1.460220539619447</v>
      </c>
      <c r="Z171">
        <v>0.28735065231854451</v>
      </c>
      <c r="AA171">
        <v>-5.0816677388318912</v>
      </c>
      <c r="AB171">
        <v>3.7413542291897951E-7</v>
      </c>
      <c r="AC171">
        <v>1.1793746224867349E-4</v>
      </c>
      <c r="AD171" t="s">
        <v>1922</v>
      </c>
      <c r="AE171" t="s">
        <v>1923</v>
      </c>
      <c r="AF171" t="s">
        <v>1924</v>
      </c>
      <c r="AG171" t="s">
        <v>1925</v>
      </c>
      <c r="AH171" t="s">
        <v>43</v>
      </c>
      <c r="AI171" t="s">
        <v>43</v>
      </c>
      <c r="AJ171" t="s">
        <v>43</v>
      </c>
      <c r="AK171" t="s">
        <v>43</v>
      </c>
      <c r="AL171" t="s">
        <v>43</v>
      </c>
      <c r="AM171" t="s">
        <v>1926</v>
      </c>
      <c r="AN171" t="s">
        <v>43</v>
      </c>
    </row>
    <row r="172" spans="1:40" x14ac:dyDescent="0.3">
      <c r="A172" t="s">
        <v>1933</v>
      </c>
      <c r="B172">
        <v>2437</v>
      </c>
      <c r="C172" t="str">
        <f>IF(Y172&lt;0, "Down", "Up")</f>
        <v>Down</v>
      </c>
      <c r="D172" s="7" t="str">
        <f>IF(AC172&lt;0.05, "Sig", "N")</f>
        <v>Sig</v>
      </c>
      <c r="E172" s="1" t="str">
        <f>IF(AND(H172&gt;2,J172&gt;2,L172&gt;2,N172&gt;2),"Y","N")</f>
        <v>Y</v>
      </c>
      <c r="F172" s="1" t="str">
        <f>IF(AND(P172&gt;2,R172&gt;2,T172&gt;2,V172&gt;2),"Y","N")</f>
        <v>Y</v>
      </c>
      <c r="G172" s="1" t="str">
        <f>IF(OR(E172="Y", F172="Y"), "Expressed", "N")</f>
        <v>Expressed</v>
      </c>
      <c r="H172" s="8">
        <v>15.80833027302528</v>
      </c>
      <c r="I172" s="8">
        <v>1714</v>
      </c>
      <c r="J172" s="8">
        <v>12.241749904468961</v>
      </c>
      <c r="K172" s="8">
        <v>2973</v>
      </c>
      <c r="L172" s="8">
        <v>14.96803152999091</v>
      </c>
      <c r="M172" s="8">
        <v>2819</v>
      </c>
      <c r="N172" s="8">
        <v>11.82902042319053</v>
      </c>
      <c r="O172" s="8">
        <v>1326</v>
      </c>
      <c r="P172" s="9">
        <v>5.7459321378236261</v>
      </c>
      <c r="Q172" s="9">
        <v>2004</v>
      </c>
      <c r="R172" s="9">
        <v>18.68561337845971</v>
      </c>
      <c r="S172" s="9">
        <v>921</v>
      </c>
      <c r="T172" s="9">
        <v>14.535597025863201</v>
      </c>
      <c r="U172" s="9">
        <v>500</v>
      </c>
      <c r="V172" s="9">
        <v>2.0431779577073992</v>
      </c>
      <c r="W172" s="9">
        <v>2692</v>
      </c>
      <c r="X172">
        <v>1654.4182161148281</v>
      </c>
      <c r="Y172">
        <v>-0.54664525518754359</v>
      </c>
      <c r="Z172">
        <v>0.14825862551339311</v>
      </c>
      <c r="AA172">
        <v>-3.6871059157240169</v>
      </c>
      <c r="AB172">
        <v>2.2681896766484419E-4</v>
      </c>
      <c r="AC172">
        <v>1.173693074875804E-2</v>
      </c>
      <c r="AD172" t="s">
        <v>1934</v>
      </c>
      <c r="AE172" t="s">
        <v>1935</v>
      </c>
      <c r="AF172" t="s">
        <v>1936</v>
      </c>
      <c r="AG172" t="s">
        <v>1937</v>
      </c>
      <c r="AH172" t="s">
        <v>43</v>
      </c>
      <c r="AI172" t="s">
        <v>43</v>
      </c>
      <c r="AJ172" t="s">
        <v>43</v>
      </c>
      <c r="AK172" t="s">
        <v>43</v>
      </c>
      <c r="AL172" t="s">
        <v>43</v>
      </c>
      <c r="AM172" t="s">
        <v>1938</v>
      </c>
      <c r="AN172" t="s">
        <v>43</v>
      </c>
    </row>
    <row r="173" spans="1:40" x14ac:dyDescent="0.3">
      <c r="A173" t="s">
        <v>556</v>
      </c>
      <c r="B173">
        <v>3079</v>
      </c>
      <c r="C173" t="str">
        <f>IF(Y173&lt;0, "Down", "Up")</f>
        <v>Down</v>
      </c>
      <c r="D173" s="7" t="str">
        <f>IF(AC173&lt;0.05, "Sig", "N")</f>
        <v>Sig</v>
      </c>
      <c r="E173" s="1" t="str">
        <f>IF(AND(H173&gt;2,J173&gt;2,L173&gt;2,N173&gt;2),"Y","N")</f>
        <v>Y</v>
      </c>
      <c r="F173" s="1" t="str">
        <f>IF(AND(P173&gt;2,R173&gt;2,T173&gt;2,V173&gt;2),"Y","N")</f>
        <v>N</v>
      </c>
      <c r="G173" s="1" t="str">
        <f>IF(OR(E173="Y", F173="Y"), "Expressed", "N")</f>
        <v>Expressed</v>
      </c>
      <c r="H173" s="8">
        <v>9.241760915913817</v>
      </c>
      <c r="I173" s="8">
        <v>1266</v>
      </c>
      <c r="J173" s="8">
        <v>12.07813414600728</v>
      </c>
      <c r="K173" s="8">
        <v>3706</v>
      </c>
      <c r="L173" s="8">
        <v>12.985956183425721</v>
      </c>
      <c r="M173" s="8">
        <v>3090</v>
      </c>
      <c r="N173" s="8">
        <v>9.9697850404646573</v>
      </c>
      <c r="O173" s="8">
        <v>1412</v>
      </c>
      <c r="P173" s="9">
        <v>4.8428108348593044</v>
      </c>
      <c r="Q173" s="9">
        <v>2040</v>
      </c>
      <c r="R173" s="9">
        <v>15.055169491926319</v>
      </c>
      <c r="S173" s="9">
        <v>995</v>
      </c>
      <c r="T173" s="9">
        <v>12.429171062233589</v>
      </c>
      <c r="U173" s="9">
        <v>448</v>
      </c>
      <c r="V173" s="9">
        <v>1.448972171454338</v>
      </c>
      <c r="W173" s="9">
        <v>2003</v>
      </c>
      <c r="X173">
        <v>1623.383086884767</v>
      </c>
      <c r="Y173">
        <v>-0.68887553499302745</v>
      </c>
      <c r="Z173">
        <v>0.15168509875922881</v>
      </c>
      <c r="AA173">
        <v>-4.5414845665656713</v>
      </c>
      <c r="AB173">
        <v>5.585947584235919E-6</v>
      </c>
      <c r="AC173">
        <v>8.0526202918600968E-4</v>
      </c>
      <c r="AD173" t="s">
        <v>557</v>
      </c>
      <c r="AE173" t="s">
        <v>558</v>
      </c>
      <c r="AF173" t="s">
        <v>559</v>
      </c>
      <c r="AG173" t="s">
        <v>560</v>
      </c>
      <c r="AH173" t="s">
        <v>43</v>
      </c>
      <c r="AI173" t="s">
        <v>43</v>
      </c>
      <c r="AJ173" t="s">
        <v>43</v>
      </c>
      <c r="AK173" t="s">
        <v>43</v>
      </c>
      <c r="AL173" t="s">
        <v>43</v>
      </c>
      <c r="AM173" t="s">
        <v>561</v>
      </c>
      <c r="AN173" t="s">
        <v>43</v>
      </c>
    </row>
    <row r="174" spans="1:40" x14ac:dyDescent="0.3">
      <c r="A174" t="s">
        <v>1945</v>
      </c>
      <c r="B174">
        <v>1056</v>
      </c>
      <c r="C174" t="str">
        <f>IF(Y174&lt;0, "Down", "Up")</f>
        <v>Down</v>
      </c>
      <c r="D174" s="7" t="str">
        <f>IF(AC174&lt;0.05, "Sig", "N")</f>
        <v>Sig</v>
      </c>
      <c r="E174" s="1" t="str">
        <f>IF(AND(H174&gt;2,J174&gt;2,L174&gt;2,N174&gt;2),"Y","N")</f>
        <v>Y</v>
      </c>
      <c r="F174" s="1" t="str">
        <f>IF(AND(P174&gt;2,R174&gt;2,T174&gt;2,V174&gt;2),"Y","N")</f>
        <v>Y</v>
      </c>
      <c r="G174" s="1" t="str">
        <f>IF(OR(E174="Y", F174="Y"), "Expressed", "N")</f>
        <v>Expressed</v>
      </c>
      <c r="H174" s="8">
        <v>15.708081864821789</v>
      </c>
      <c r="I174" s="8">
        <v>738</v>
      </c>
      <c r="J174" s="8">
        <v>12.068239641888219</v>
      </c>
      <c r="K174" s="8">
        <v>1270</v>
      </c>
      <c r="L174" s="8">
        <v>17.007899877172729</v>
      </c>
      <c r="M174" s="8">
        <v>1388</v>
      </c>
      <c r="N174" s="8">
        <v>11.158251735434741</v>
      </c>
      <c r="O174" s="8">
        <v>542</v>
      </c>
      <c r="P174" s="9">
        <v>5.4201070718303566</v>
      </c>
      <c r="Q174" s="9">
        <v>890</v>
      </c>
      <c r="R174" s="9">
        <v>19.150991305713671</v>
      </c>
      <c r="S174" s="9">
        <v>452</v>
      </c>
      <c r="T174" s="9">
        <v>16.46278437707381</v>
      </c>
      <c r="U174" s="9">
        <v>228</v>
      </c>
      <c r="V174" s="9">
        <v>2.1501197494483111</v>
      </c>
      <c r="W174" s="9">
        <v>1056</v>
      </c>
      <c r="X174">
        <v>729.06078804179833</v>
      </c>
      <c r="Y174">
        <v>-0.5351957886835863</v>
      </c>
      <c r="Z174">
        <v>0.1472219479722667</v>
      </c>
      <c r="AA174">
        <v>-3.6352989214923661</v>
      </c>
      <c r="AB174">
        <v>2.7765849476641498E-4</v>
      </c>
      <c r="AC174">
        <v>1.310259906839837E-2</v>
      </c>
      <c r="AD174" t="s">
        <v>1946</v>
      </c>
      <c r="AE174" t="s">
        <v>1947</v>
      </c>
      <c r="AF174" t="s">
        <v>1948</v>
      </c>
      <c r="AG174" t="s">
        <v>1949</v>
      </c>
      <c r="AH174" t="s">
        <v>43</v>
      </c>
      <c r="AI174" t="s">
        <v>43</v>
      </c>
      <c r="AJ174" t="s">
        <v>43</v>
      </c>
      <c r="AK174" t="s">
        <v>43</v>
      </c>
      <c r="AL174" t="s">
        <v>43</v>
      </c>
      <c r="AM174" t="s">
        <v>1950</v>
      </c>
      <c r="AN174" t="s">
        <v>43</v>
      </c>
    </row>
    <row r="175" spans="1:40" x14ac:dyDescent="0.3">
      <c r="A175" t="s">
        <v>1954</v>
      </c>
      <c r="B175">
        <v>1610</v>
      </c>
      <c r="C175" t="str">
        <f>IF(Y175&lt;0, "Down", "Up")</f>
        <v>Down</v>
      </c>
      <c r="D175" s="7" t="str">
        <f>IF(AC175&lt;0.05, "Sig", "N")</f>
        <v>Sig</v>
      </c>
      <c r="E175" s="1" t="str">
        <f>IF(AND(H175&gt;2,J175&gt;2,L175&gt;2,N175&gt;2),"Y","N")</f>
        <v>Y</v>
      </c>
      <c r="F175" s="1" t="str">
        <f>IF(AND(P175&gt;2,R175&gt;2,T175&gt;2,V175&gt;2),"Y","N")</f>
        <v>N</v>
      </c>
      <c r="G175" s="1" t="str">
        <f>IF(OR(E175="Y", F175="Y"), "Expressed", "N")</f>
        <v>Expressed</v>
      </c>
      <c r="H175" s="8">
        <v>37.400512203155763</v>
      </c>
      <c r="I175" s="8">
        <v>2679</v>
      </c>
      <c r="J175" s="8">
        <v>12.022934312259849</v>
      </c>
      <c r="K175" s="8">
        <v>1929</v>
      </c>
      <c r="L175" s="8">
        <v>53.261848777113947</v>
      </c>
      <c r="M175" s="8">
        <v>6627</v>
      </c>
      <c r="N175" s="8">
        <v>26.844250990404461</v>
      </c>
      <c r="O175" s="8">
        <v>1988</v>
      </c>
      <c r="P175" s="9">
        <v>13.03956193863478</v>
      </c>
      <c r="Q175" s="9">
        <v>1524</v>
      </c>
      <c r="R175" s="9">
        <v>21.509200189756761</v>
      </c>
      <c r="S175" s="9">
        <v>518</v>
      </c>
      <c r="T175" s="9">
        <v>12.374642385167901</v>
      </c>
      <c r="U175" s="9">
        <v>303</v>
      </c>
      <c r="V175" s="9">
        <v>1.874167799911401</v>
      </c>
      <c r="W175" s="9">
        <v>632</v>
      </c>
      <c r="X175">
        <v>1835.272369878754</v>
      </c>
      <c r="Y175">
        <v>-2.0882529092525561</v>
      </c>
      <c r="Z175">
        <v>0.34243596645998969</v>
      </c>
      <c r="AA175">
        <v>-6.0982289063860566</v>
      </c>
      <c r="AB175">
        <v>1.0725009282657E-9</v>
      </c>
      <c r="AC175">
        <v>1.3345298392661941E-6</v>
      </c>
      <c r="AD175" t="s">
        <v>1955</v>
      </c>
      <c r="AE175" t="s">
        <v>1956</v>
      </c>
      <c r="AF175" t="s">
        <v>1957</v>
      </c>
      <c r="AG175" t="s">
        <v>1958</v>
      </c>
      <c r="AH175" t="s">
        <v>43</v>
      </c>
      <c r="AI175" t="s">
        <v>43</v>
      </c>
      <c r="AJ175" t="s">
        <v>43</v>
      </c>
      <c r="AK175" t="s">
        <v>43</v>
      </c>
      <c r="AL175" t="s">
        <v>43</v>
      </c>
      <c r="AM175" t="s">
        <v>345</v>
      </c>
      <c r="AN175" t="s">
        <v>43</v>
      </c>
    </row>
    <row r="176" spans="1:40" x14ac:dyDescent="0.3">
      <c r="A176" t="s">
        <v>1959</v>
      </c>
      <c r="B176">
        <v>1527</v>
      </c>
      <c r="C176" t="str">
        <f>IF(Y176&lt;0, "Down", "Up")</f>
        <v>Down</v>
      </c>
      <c r="D176" s="7" t="str">
        <f>IF(AC176&lt;0.05, "Sig", "N")</f>
        <v>Sig</v>
      </c>
      <c r="E176" s="1" t="str">
        <f>IF(AND(H176&gt;2,J176&gt;2,L176&gt;2,N176&gt;2),"Y","N")</f>
        <v>Y</v>
      </c>
      <c r="F176" s="1" t="str">
        <f>IF(AND(P176&gt;2,R176&gt;2,T176&gt;2,V176&gt;2),"Y","N")</f>
        <v>Y</v>
      </c>
      <c r="G176" s="1" t="str">
        <f>IF(OR(E176="Y", F176="Y"), "Expressed", "N")</f>
        <v>Expressed</v>
      </c>
      <c r="H176" s="8">
        <v>13.851005404743489</v>
      </c>
      <c r="I176" s="8">
        <v>941</v>
      </c>
      <c r="J176" s="8">
        <v>11.966717300455141</v>
      </c>
      <c r="K176" s="8">
        <v>1821</v>
      </c>
      <c r="L176" s="8">
        <v>15.5581796671727</v>
      </c>
      <c r="M176" s="8">
        <v>1836</v>
      </c>
      <c r="N176" s="8">
        <v>12.614076821035029</v>
      </c>
      <c r="O176" s="8">
        <v>886</v>
      </c>
      <c r="P176" s="9">
        <v>6.1272723185824063</v>
      </c>
      <c r="Q176" s="9">
        <v>1356</v>
      </c>
      <c r="R176" s="9">
        <v>20.178358010005969</v>
      </c>
      <c r="S176" s="9">
        <v>456</v>
      </c>
      <c r="T176" s="9">
        <v>11.485623580562571</v>
      </c>
      <c r="U176" s="9">
        <v>402</v>
      </c>
      <c r="V176" s="9">
        <v>2.6216742927819752</v>
      </c>
      <c r="W176" s="9">
        <v>1621</v>
      </c>
      <c r="X176">
        <v>1032.3028055000159</v>
      </c>
      <c r="Y176">
        <v>-0.50052545889934164</v>
      </c>
      <c r="Z176">
        <v>0.14279699299154491</v>
      </c>
      <c r="AA176">
        <v>-3.5051540541121762</v>
      </c>
      <c r="AB176">
        <v>4.5634314164104872E-4</v>
      </c>
      <c r="AC176">
        <v>1.8071799924083209E-2</v>
      </c>
      <c r="AD176" t="s">
        <v>1960</v>
      </c>
      <c r="AE176" t="s">
        <v>1961</v>
      </c>
      <c r="AF176" t="s">
        <v>1962</v>
      </c>
      <c r="AG176" t="s">
        <v>1963</v>
      </c>
      <c r="AH176" t="s">
        <v>43</v>
      </c>
      <c r="AI176" t="s">
        <v>43</v>
      </c>
      <c r="AJ176" t="s">
        <v>43</v>
      </c>
      <c r="AK176" t="s">
        <v>43</v>
      </c>
      <c r="AL176" t="s">
        <v>43</v>
      </c>
      <c r="AM176" t="s">
        <v>1042</v>
      </c>
      <c r="AN176" t="s">
        <v>43</v>
      </c>
    </row>
    <row r="177" spans="1:40" x14ac:dyDescent="0.3">
      <c r="A177" t="s">
        <v>1964</v>
      </c>
      <c r="B177">
        <v>1657</v>
      </c>
      <c r="C177" t="str">
        <f>IF(Y177&lt;0, "Down", "Up")</f>
        <v>Down</v>
      </c>
      <c r="D177" s="7" t="str">
        <f>IF(AC177&lt;0.05, "Sig", "N")</f>
        <v>Sig</v>
      </c>
      <c r="E177" s="1" t="str">
        <f>IF(AND(H177&gt;2,J177&gt;2,L177&gt;2,N177&gt;2),"Y","N")</f>
        <v>Y</v>
      </c>
      <c r="F177" s="1" t="str">
        <f>IF(AND(P177&gt;2,R177&gt;2,T177&gt;2,V177&gt;2),"Y","N")</f>
        <v>Y</v>
      </c>
      <c r="G177" s="1" t="str">
        <f>IF(OR(E177="Y", F177="Y"), "Expressed", "N")</f>
        <v>Expressed</v>
      </c>
      <c r="H177" s="8">
        <v>16.725198489390898</v>
      </c>
      <c r="I177" s="8">
        <v>1233</v>
      </c>
      <c r="J177" s="8">
        <v>11.7424690285052</v>
      </c>
      <c r="K177" s="8">
        <v>1939</v>
      </c>
      <c r="L177" s="8">
        <v>18.960566834734319</v>
      </c>
      <c r="M177" s="8">
        <v>2428</v>
      </c>
      <c r="N177" s="8">
        <v>13.80238121167192</v>
      </c>
      <c r="O177" s="8">
        <v>1052</v>
      </c>
      <c r="P177" s="9">
        <v>6.7044897164230086</v>
      </c>
      <c r="Q177" s="9">
        <v>1580</v>
      </c>
      <c r="R177" s="9">
        <v>21.667048187639189</v>
      </c>
      <c r="S177" s="9">
        <v>543</v>
      </c>
      <c r="T177" s="9">
        <v>12.6039332519175</v>
      </c>
      <c r="U177" s="9">
        <v>490</v>
      </c>
      <c r="V177" s="9">
        <v>2.9448643266591858</v>
      </c>
      <c r="W177" s="9">
        <v>1776</v>
      </c>
      <c r="X177">
        <v>1238.2545875913911</v>
      </c>
      <c r="Y177">
        <v>-0.57292868363495975</v>
      </c>
      <c r="Z177">
        <v>0.15671671413853011</v>
      </c>
      <c r="AA177">
        <v>-3.6558237376551812</v>
      </c>
      <c r="AB177">
        <v>2.563574603979302E-4</v>
      </c>
      <c r="AC177">
        <v>1.248784478031858E-2</v>
      </c>
      <c r="AD177" t="s">
        <v>1965</v>
      </c>
      <c r="AE177" t="s">
        <v>1966</v>
      </c>
      <c r="AF177" t="s">
        <v>1967</v>
      </c>
      <c r="AG177" t="s">
        <v>1968</v>
      </c>
      <c r="AH177" t="s">
        <v>43</v>
      </c>
      <c r="AI177" t="s">
        <v>43</v>
      </c>
      <c r="AJ177" t="s">
        <v>43</v>
      </c>
      <c r="AK177" t="s">
        <v>43</v>
      </c>
      <c r="AL177" t="s">
        <v>43</v>
      </c>
      <c r="AM177" t="s">
        <v>1969</v>
      </c>
      <c r="AN177" t="s">
        <v>43</v>
      </c>
    </row>
    <row r="178" spans="1:40" x14ac:dyDescent="0.3">
      <c r="A178" t="s">
        <v>1970</v>
      </c>
      <c r="B178">
        <v>3804</v>
      </c>
      <c r="C178" t="str">
        <f>IF(Y178&lt;0, "Down", "Up")</f>
        <v>Down</v>
      </c>
      <c r="D178" s="7" t="str">
        <f>IF(AC178&lt;0.05, "Sig", "N")</f>
        <v>Sig</v>
      </c>
      <c r="E178" s="1" t="str">
        <f>IF(AND(H178&gt;2,J178&gt;2,L178&gt;2,N178&gt;2),"Y","N")</f>
        <v>Y</v>
      </c>
      <c r="F178" s="1" t="str">
        <f>IF(AND(P178&gt;2,R178&gt;2,T178&gt;2,V178&gt;2),"Y","N")</f>
        <v>N</v>
      </c>
      <c r="G178" s="1" t="str">
        <f>IF(OR(E178="Y", F178="Y"), "Expressed", "N")</f>
        <v>Expressed</v>
      </c>
      <c r="H178" s="8">
        <v>35.989747822999327</v>
      </c>
      <c r="I178" s="8">
        <v>6091</v>
      </c>
      <c r="J178" s="8">
        <v>11.64910820128393</v>
      </c>
      <c r="K178" s="8">
        <v>4416</v>
      </c>
      <c r="L178" s="8">
        <v>54.857778970914481</v>
      </c>
      <c r="M178" s="8">
        <v>16127</v>
      </c>
      <c r="N178" s="8">
        <v>20.425600182843372</v>
      </c>
      <c r="O178" s="8">
        <v>3574</v>
      </c>
      <c r="P178" s="9">
        <v>9.9217101946029373</v>
      </c>
      <c r="Q178" s="9">
        <v>3764</v>
      </c>
      <c r="R178" s="9">
        <v>22.484036267586401</v>
      </c>
      <c r="S178" s="9">
        <v>890</v>
      </c>
      <c r="T178" s="9">
        <v>8.9986688842607716</v>
      </c>
      <c r="U178" s="9">
        <v>467</v>
      </c>
      <c r="V178" s="9">
        <v>1.222554115104983</v>
      </c>
      <c r="W178" s="9">
        <v>1957</v>
      </c>
      <c r="X178">
        <v>4045.8863951534281</v>
      </c>
      <c r="Y178">
        <v>-2.1589303102091768</v>
      </c>
      <c r="Z178">
        <v>0.47488277580136717</v>
      </c>
      <c r="AA178">
        <v>-4.5462383986573753</v>
      </c>
      <c r="AB178">
        <v>5.4613174821028944E-6</v>
      </c>
      <c r="AC178">
        <v>7.92125570011513E-4</v>
      </c>
      <c r="AD178" t="s">
        <v>1971</v>
      </c>
      <c r="AE178" t="s">
        <v>1972</v>
      </c>
      <c r="AF178" t="s">
        <v>1973</v>
      </c>
      <c r="AG178" t="s">
        <v>1974</v>
      </c>
      <c r="AH178" t="s">
        <v>1080</v>
      </c>
      <c r="AJ178" t="s">
        <v>1975</v>
      </c>
      <c r="AK178" t="s">
        <v>1082</v>
      </c>
      <c r="AL178" t="s">
        <v>1976</v>
      </c>
      <c r="AM178" t="s">
        <v>1977</v>
      </c>
      <c r="AN178" t="s">
        <v>43</v>
      </c>
    </row>
    <row r="179" spans="1:40" x14ac:dyDescent="0.3">
      <c r="A179" t="s">
        <v>1978</v>
      </c>
      <c r="B179">
        <v>2158</v>
      </c>
      <c r="C179" t="str">
        <f>IF(Y179&lt;0, "Down", "Up")</f>
        <v>Down</v>
      </c>
      <c r="D179" s="7" t="str">
        <f>IF(AC179&lt;0.05, "Sig", "N")</f>
        <v>Sig</v>
      </c>
      <c r="E179" s="1" t="str">
        <f>IF(AND(H179&gt;2,J179&gt;2,L179&gt;2,N179&gt;2),"Y","N")</f>
        <v>Y</v>
      </c>
      <c r="F179" s="1" t="str">
        <f>IF(AND(P179&gt;2,R179&gt;2,T179&gt;2,V179&gt;2),"Y","N")</f>
        <v>Y</v>
      </c>
      <c r="G179" s="1" t="str">
        <f>IF(OR(E179="Y", F179="Y"), "Expressed", "N")</f>
        <v>Expressed</v>
      </c>
      <c r="H179" s="8">
        <v>17.154294876766439</v>
      </c>
      <c r="I179" s="8">
        <v>1647</v>
      </c>
      <c r="J179" s="8">
        <v>11.57384279075286</v>
      </c>
      <c r="K179" s="8">
        <v>2489</v>
      </c>
      <c r="L179" s="8">
        <v>14.228903713081751</v>
      </c>
      <c r="M179" s="8">
        <v>2373</v>
      </c>
      <c r="N179" s="8">
        <v>11.42411065168141</v>
      </c>
      <c r="O179" s="8">
        <v>1134</v>
      </c>
      <c r="P179" s="9">
        <v>5.549247713771754</v>
      </c>
      <c r="Q179" s="9">
        <v>1896</v>
      </c>
      <c r="R179" s="9">
        <v>19.964206958434559</v>
      </c>
      <c r="S179" s="9">
        <v>696</v>
      </c>
      <c r="T179" s="9">
        <v>12.40470877074417</v>
      </c>
      <c r="U179" s="9">
        <v>478</v>
      </c>
      <c r="V179" s="9">
        <v>2.2058103785374801</v>
      </c>
      <c r="W179" s="9">
        <v>2241</v>
      </c>
      <c r="X179">
        <v>1445.963300930689</v>
      </c>
      <c r="Y179">
        <v>-0.56753071066292093</v>
      </c>
      <c r="Z179">
        <v>0.16546776032069729</v>
      </c>
      <c r="AA179">
        <v>-3.4298567259445281</v>
      </c>
      <c r="AB179">
        <v>6.039000348617374E-4</v>
      </c>
      <c r="AC179">
        <v>2.2067085972490259E-2</v>
      </c>
      <c r="AD179" t="s">
        <v>1979</v>
      </c>
      <c r="AE179" t="s">
        <v>1980</v>
      </c>
      <c r="AF179" t="s">
        <v>1981</v>
      </c>
      <c r="AG179" t="s">
        <v>1982</v>
      </c>
      <c r="AH179" t="s">
        <v>43</v>
      </c>
      <c r="AI179" t="s">
        <v>43</v>
      </c>
      <c r="AJ179" t="s">
        <v>43</v>
      </c>
      <c r="AK179" t="s">
        <v>43</v>
      </c>
      <c r="AL179" t="s">
        <v>43</v>
      </c>
      <c r="AM179" t="s">
        <v>1983</v>
      </c>
      <c r="AN179" t="s">
        <v>43</v>
      </c>
    </row>
    <row r="180" spans="1:40" x14ac:dyDescent="0.3">
      <c r="A180" t="s">
        <v>1984</v>
      </c>
      <c r="B180">
        <v>1136</v>
      </c>
      <c r="C180" t="str">
        <f>IF(Y180&lt;0, "Down", "Up")</f>
        <v>Down</v>
      </c>
      <c r="D180" s="7" t="str">
        <f>IF(AC180&lt;0.05, "Sig", "N")</f>
        <v>Sig</v>
      </c>
      <c r="E180" s="1" t="str">
        <f>IF(AND(H180&gt;2,J180&gt;2,L180&gt;2,N180&gt;2),"Y","N")</f>
        <v>Y</v>
      </c>
      <c r="F180" s="1" t="str">
        <f>IF(AND(P180&gt;2,R180&gt;2,T180&gt;2,V180&gt;2),"Y","N")</f>
        <v>Y</v>
      </c>
      <c r="G180" s="1" t="str">
        <f>IF(OR(E180="Y", F180="Y"), "Expressed", "N")</f>
        <v>Expressed</v>
      </c>
      <c r="H180" s="8">
        <v>13.31580557028235</v>
      </c>
      <c r="I180" s="8">
        <v>673</v>
      </c>
      <c r="J180" s="8">
        <v>11.350863968376849</v>
      </c>
      <c r="K180" s="8">
        <v>1285</v>
      </c>
      <c r="L180" s="8">
        <v>14.31799112726797</v>
      </c>
      <c r="M180" s="8">
        <v>1257</v>
      </c>
      <c r="N180" s="8">
        <v>9.2816287628310903</v>
      </c>
      <c r="O180" s="8">
        <v>485</v>
      </c>
      <c r="P180" s="9">
        <v>4.5085397684447202</v>
      </c>
      <c r="Q180" s="9">
        <v>862</v>
      </c>
      <c r="R180" s="9">
        <v>17.242256644479539</v>
      </c>
      <c r="S180" s="9">
        <v>387</v>
      </c>
      <c r="T180" s="9">
        <v>13.10271838960548</v>
      </c>
      <c r="U180" s="9">
        <v>292</v>
      </c>
      <c r="V180" s="9">
        <v>2.5597422665781968</v>
      </c>
      <c r="W180" s="9">
        <v>965</v>
      </c>
      <c r="X180">
        <v>696.56534474072294</v>
      </c>
      <c r="Y180">
        <v>-0.4512281499277368</v>
      </c>
      <c r="Z180">
        <v>0.1467174521922642</v>
      </c>
      <c r="AA180">
        <v>-3.075490633087262</v>
      </c>
      <c r="AB180">
        <v>2.1015652951089162E-3</v>
      </c>
      <c r="AC180">
        <v>4.7728344579217083E-2</v>
      </c>
      <c r="AD180" t="s">
        <v>1985</v>
      </c>
      <c r="AE180" t="s">
        <v>1986</v>
      </c>
      <c r="AF180" t="s">
        <v>1987</v>
      </c>
      <c r="AG180" t="s">
        <v>1988</v>
      </c>
      <c r="AH180" t="s">
        <v>43</v>
      </c>
      <c r="AI180" t="s">
        <v>43</v>
      </c>
      <c r="AJ180" t="s">
        <v>43</v>
      </c>
      <c r="AK180" t="s">
        <v>43</v>
      </c>
      <c r="AL180" t="s">
        <v>43</v>
      </c>
      <c r="AM180" t="s">
        <v>864</v>
      </c>
      <c r="AN180" t="s">
        <v>43</v>
      </c>
    </row>
    <row r="181" spans="1:40" x14ac:dyDescent="0.3">
      <c r="A181" t="s">
        <v>456</v>
      </c>
      <c r="B181">
        <v>1899</v>
      </c>
      <c r="C181" t="str">
        <f>IF(Y181&lt;0, "Down", "Up")</f>
        <v>Down</v>
      </c>
      <c r="D181" s="7" t="str">
        <f>IF(AC181&lt;0.05, "Sig", "N")</f>
        <v>Sig</v>
      </c>
      <c r="E181" s="1" t="str">
        <f>IF(AND(H181&gt;2,J181&gt;2,L181&gt;2,N181&gt;2),"Y","N")</f>
        <v>Y</v>
      </c>
      <c r="F181" s="1" t="str">
        <f>IF(AND(P181&gt;2,R181&gt;2,T181&gt;2,V181&gt;2),"Y","N")</f>
        <v>N</v>
      </c>
      <c r="G181" s="1" t="str">
        <f>IF(OR(E181="Y", F181="Y"), "Expressed", "N")</f>
        <v>Expressed</v>
      </c>
      <c r="H181" s="8">
        <v>16.830822660076461</v>
      </c>
      <c r="I181" s="8">
        <v>1422</v>
      </c>
      <c r="J181" s="8">
        <v>11.33989088276701</v>
      </c>
      <c r="K181" s="8">
        <v>2146</v>
      </c>
      <c r="L181" s="8">
        <v>21.218700662147668</v>
      </c>
      <c r="M181" s="8">
        <v>3114</v>
      </c>
      <c r="N181" s="8">
        <v>8.1854368781419691</v>
      </c>
      <c r="O181" s="8">
        <v>715</v>
      </c>
      <c r="P181" s="9">
        <v>3.97606590720188</v>
      </c>
      <c r="Q181" s="9">
        <v>1481</v>
      </c>
      <c r="R181" s="9">
        <v>17.72128721721818</v>
      </c>
      <c r="S181" s="9">
        <v>385</v>
      </c>
      <c r="T181" s="9">
        <v>7.7976643696299472</v>
      </c>
      <c r="U181" s="9">
        <v>358</v>
      </c>
      <c r="V181" s="9">
        <v>1.8773696013585981</v>
      </c>
      <c r="W181" s="9">
        <v>1520</v>
      </c>
      <c r="X181">
        <v>1191.4247388289191</v>
      </c>
      <c r="Y181">
        <v>-0.96246118037032924</v>
      </c>
      <c r="Z181">
        <v>0.2452134814135207</v>
      </c>
      <c r="AA181">
        <v>-3.924992927885818</v>
      </c>
      <c r="AB181">
        <v>8.6732286001922146E-5</v>
      </c>
      <c r="AC181">
        <v>6.0309550166395389E-3</v>
      </c>
      <c r="AD181" t="s">
        <v>457</v>
      </c>
      <c r="AE181" t="s">
        <v>458</v>
      </c>
      <c r="AF181" t="s">
        <v>459</v>
      </c>
      <c r="AG181" t="s">
        <v>460</v>
      </c>
      <c r="AH181" t="s">
        <v>43</v>
      </c>
      <c r="AI181" t="s">
        <v>43</v>
      </c>
      <c r="AJ181" t="s">
        <v>43</v>
      </c>
      <c r="AK181" t="s">
        <v>43</v>
      </c>
      <c r="AL181" t="s">
        <v>43</v>
      </c>
      <c r="AM181" t="s">
        <v>461</v>
      </c>
      <c r="AN181" t="s">
        <v>43</v>
      </c>
    </row>
    <row r="182" spans="1:40" x14ac:dyDescent="0.3">
      <c r="A182" t="s">
        <v>1989</v>
      </c>
      <c r="B182">
        <v>1988</v>
      </c>
      <c r="C182" t="str">
        <f>IF(Y182&lt;0, "Down", "Up")</f>
        <v>Down</v>
      </c>
      <c r="D182" s="7" t="str">
        <f>IF(AC182&lt;0.05, "Sig", "N")</f>
        <v>Sig</v>
      </c>
      <c r="E182" s="1" t="str">
        <f>IF(AND(H182&gt;2,J182&gt;2,L182&gt;2,N182&gt;2),"Y","N")</f>
        <v>Y</v>
      </c>
      <c r="F182" s="1" t="str">
        <f>IF(AND(P182&gt;2,R182&gt;2,T182&gt;2,V182&gt;2),"Y","N")</f>
        <v>N</v>
      </c>
      <c r="G182" s="1" t="str">
        <f>IF(OR(E182="Y", F182="Y"), "Expressed", "N")</f>
        <v>Expressed</v>
      </c>
      <c r="H182" s="8">
        <v>14.51708287178309</v>
      </c>
      <c r="I182" s="8">
        <v>1284</v>
      </c>
      <c r="J182" s="8">
        <v>11.326887713190731</v>
      </c>
      <c r="K182" s="8">
        <v>2244</v>
      </c>
      <c r="L182" s="8">
        <v>13.584110686490851</v>
      </c>
      <c r="M182" s="8">
        <v>2087</v>
      </c>
      <c r="N182" s="8">
        <v>9.4046547699967462</v>
      </c>
      <c r="O182" s="8">
        <v>860</v>
      </c>
      <c r="P182" s="9">
        <v>4.5682995002797746</v>
      </c>
      <c r="Q182" s="9">
        <v>1319</v>
      </c>
      <c r="R182" s="9">
        <v>15.07625887574976</v>
      </c>
      <c r="S182" s="9">
        <v>687</v>
      </c>
      <c r="T182" s="9">
        <v>13.2913511017482</v>
      </c>
      <c r="U182" s="9">
        <v>353</v>
      </c>
      <c r="V182" s="9">
        <v>1.768275968888656</v>
      </c>
      <c r="W182" s="9">
        <v>1454</v>
      </c>
      <c r="X182">
        <v>1153.0219431767609</v>
      </c>
      <c r="Y182">
        <v>-0.69664714711968079</v>
      </c>
      <c r="Z182">
        <v>0.15385516239512151</v>
      </c>
      <c r="AA182">
        <v>-4.5279413201007452</v>
      </c>
      <c r="AB182">
        <v>5.9561115218040937E-6</v>
      </c>
      <c r="AC182">
        <v>8.3818088451483562E-4</v>
      </c>
      <c r="AD182" t="s">
        <v>1990</v>
      </c>
      <c r="AE182" t="s">
        <v>1991</v>
      </c>
      <c r="AF182" t="s">
        <v>1992</v>
      </c>
      <c r="AG182" t="s">
        <v>1514</v>
      </c>
      <c r="AH182" t="s">
        <v>43</v>
      </c>
      <c r="AI182" t="s">
        <v>43</v>
      </c>
      <c r="AJ182" t="s">
        <v>43</v>
      </c>
      <c r="AK182" t="s">
        <v>43</v>
      </c>
      <c r="AL182" t="s">
        <v>43</v>
      </c>
      <c r="AM182" t="s">
        <v>1515</v>
      </c>
      <c r="AN182" t="s">
        <v>43</v>
      </c>
    </row>
    <row r="183" spans="1:40" x14ac:dyDescent="0.3">
      <c r="A183" t="s">
        <v>1993</v>
      </c>
      <c r="B183">
        <v>724</v>
      </c>
      <c r="C183" t="str">
        <f>IF(Y183&lt;0, "Down", "Up")</f>
        <v>Down</v>
      </c>
      <c r="D183" s="7" t="str">
        <f>IF(AC183&lt;0.05, "Sig", "N")</f>
        <v>Sig</v>
      </c>
      <c r="E183" s="1" t="str">
        <f>IF(AND(H183&gt;2,J183&gt;2,L183&gt;2,N183&gt;2),"Y","N")</f>
        <v>Y</v>
      </c>
      <c r="F183" s="1" t="str">
        <f>IF(AND(P183&gt;2,R183&gt;2,T183&gt;2,V183&gt;2),"Y","N")</f>
        <v>N</v>
      </c>
      <c r="G183" s="1" t="str">
        <f>IF(OR(E183="Y", F183="Y"), "Expressed", "N")</f>
        <v>Expressed</v>
      </c>
      <c r="H183" s="8">
        <v>17.78880474221296</v>
      </c>
      <c r="I183" s="8">
        <v>573</v>
      </c>
      <c r="J183" s="8">
        <v>11.282100431040201</v>
      </c>
      <c r="K183" s="8">
        <v>814</v>
      </c>
      <c r="L183" s="8">
        <v>26.68372057408962</v>
      </c>
      <c r="M183" s="8">
        <v>1493</v>
      </c>
      <c r="N183" s="8">
        <v>13.632580579420051</v>
      </c>
      <c r="O183" s="8">
        <v>454</v>
      </c>
      <c r="P183" s="9">
        <v>6.6220092679180773</v>
      </c>
      <c r="Q183" s="9">
        <v>668</v>
      </c>
      <c r="R183" s="9">
        <v>20.96539585787583</v>
      </c>
      <c r="S183" s="9">
        <v>240</v>
      </c>
      <c r="T183" s="9">
        <v>12.74974353556197</v>
      </c>
      <c r="U183" s="9">
        <v>138</v>
      </c>
      <c r="V183" s="9">
        <v>1.898157475814211</v>
      </c>
      <c r="W183" s="9">
        <v>506</v>
      </c>
      <c r="X183">
        <v>534.96011524226128</v>
      </c>
      <c r="Y183">
        <v>-1.0492615646228269</v>
      </c>
      <c r="Z183">
        <v>0.21689285172214501</v>
      </c>
      <c r="AA183">
        <v>-4.8376954624904167</v>
      </c>
      <c r="AB183">
        <v>1.313531895028498E-6</v>
      </c>
      <c r="AC183">
        <v>2.7482903878123119E-4</v>
      </c>
      <c r="AD183" t="s">
        <v>1994</v>
      </c>
      <c r="AE183" t="s">
        <v>1995</v>
      </c>
      <c r="AF183" t="s">
        <v>1996</v>
      </c>
      <c r="AG183" t="s">
        <v>43</v>
      </c>
      <c r="AH183" t="s">
        <v>43</v>
      </c>
      <c r="AI183" t="s">
        <v>43</v>
      </c>
      <c r="AJ183" t="s">
        <v>43</v>
      </c>
      <c r="AK183" t="s">
        <v>43</v>
      </c>
      <c r="AL183" t="s">
        <v>43</v>
      </c>
      <c r="AM183" t="s">
        <v>43</v>
      </c>
      <c r="AN183" t="s">
        <v>43</v>
      </c>
    </row>
    <row r="184" spans="1:40" x14ac:dyDescent="0.3">
      <c r="A184" t="s">
        <v>1997</v>
      </c>
      <c r="B184">
        <v>1071</v>
      </c>
      <c r="C184" t="str">
        <f>IF(Y184&lt;0, "Down", "Up")</f>
        <v>Down</v>
      </c>
      <c r="D184" s="7" t="str">
        <f>IF(AC184&lt;0.05, "Sig", "N")</f>
        <v>Sig</v>
      </c>
      <c r="E184" s="1" t="str">
        <f>IF(AND(H184&gt;2,J184&gt;2,L184&gt;2,N184&gt;2),"Y","N")</f>
        <v>Y</v>
      </c>
      <c r="F184" s="1" t="str">
        <f>IF(AND(P184&gt;2,R184&gt;2,T184&gt;2,V184&gt;2),"Y","N")</f>
        <v>N</v>
      </c>
      <c r="G184" s="1" t="str">
        <f>IF(OR(E184="Y", F184="Y"), "Expressed", "N")</f>
        <v>Expressed</v>
      </c>
      <c r="H184" s="8">
        <v>35.362352317426549</v>
      </c>
      <c r="I184" s="8">
        <v>1685</v>
      </c>
      <c r="J184" s="8">
        <v>11.18713756944334</v>
      </c>
      <c r="K184" s="8">
        <v>1194</v>
      </c>
      <c r="L184" s="8">
        <v>45.76628303954881</v>
      </c>
      <c r="M184" s="8">
        <v>3788</v>
      </c>
      <c r="N184" s="8">
        <v>17.335213172943689</v>
      </c>
      <c r="O184" s="8">
        <v>854</v>
      </c>
      <c r="P184" s="9">
        <v>8.420558501290893</v>
      </c>
      <c r="Q184" s="9">
        <v>959</v>
      </c>
      <c r="R184" s="9">
        <v>20.34671523962847</v>
      </c>
      <c r="S184" s="9">
        <v>33</v>
      </c>
      <c r="T184" s="9">
        <v>1.1850952091178291</v>
      </c>
      <c r="U184" s="9">
        <v>75</v>
      </c>
      <c r="V184" s="9">
        <v>0.69737040377211912</v>
      </c>
      <c r="W184" s="9">
        <v>504</v>
      </c>
      <c r="X184">
        <v>975.50092367121022</v>
      </c>
      <c r="Y184">
        <v>-2.564783779585126</v>
      </c>
      <c r="Z184">
        <v>0.75684425515749598</v>
      </c>
      <c r="AA184">
        <v>-3.3887867445745572</v>
      </c>
      <c r="AB184">
        <v>7.0202585206163566E-4</v>
      </c>
      <c r="AC184">
        <v>2.4552211826096439E-2</v>
      </c>
      <c r="AD184" t="s">
        <v>1998</v>
      </c>
      <c r="AE184" t="s">
        <v>1999</v>
      </c>
      <c r="AF184" t="s">
        <v>2000</v>
      </c>
      <c r="AG184" t="s">
        <v>74</v>
      </c>
      <c r="AH184" t="s">
        <v>43</v>
      </c>
      <c r="AI184" t="s">
        <v>43</v>
      </c>
      <c r="AJ184" t="s">
        <v>43</v>
      </c>
      <c r="AK184" t="s">
        <v>43</v>
      </c>
      <c r="AL184" t="s">
        <v>43</v>
      </c>
      <c r="AM184" t="s">
        <v>75</v>
      </c>
      <c r="AN184" t="s">
        <v>43</v>
      </c>
    </row>
    <row r="185" spans="1:40" x14ac:dyDescent="0.3">
      <c r="A185" t="s">
        <v>2001</v>
      </c>
      <c r="B185">
        <v>1541</v>
      </c>
      <c r="C185" t="str">
        <f>IF(Y185&lt;0, "Down", "Up")</f>
        <v>Down</v>
      </c>
      <c r="D185" s="7" t="str">
        <f>IF(AC185&lt;0.05, "Sig", "N")</f>
        <v>Sig</v>
      </c>
      <c r="E185" s="1" t="str">
        <f>IF(AND(H185&gt;2,J185&gt;2,L185&gt;2,N185&gt;2),"Y","N")</f>
        <v>Y</v>
      </c>
      <c r="F185" s="1" t="str">
        <f>IF(AND(P185&gt;2,R185&gt;2,T185&gt;2,V185&gt;2),"Y","N")</f>
        <v>Y</v>
      </c>
      <c r="G185" s="1" t="str">
        <f>IF(OR(E185="Y", F185="Y"), "Expressed", "N")</f>
        <v>Expressed</v>
      </c>
      <c r="H185" s="8">
        <v>13.98771196758562</v>
      </c>
      <c r="I185" s="8">
        <v>959</v>
      </c>
      <c r="J185" s="8">
        <v>11.011464717951441</v>
      </c>
      <c r="K185" s="8">
        <v>1691</v>
      </c>
      <c r="L185" s="8">
        <v>30.774888130124811</v>
      </c>
      <c r="M185" s="8">
        <v>3665</v>
      </c>
      <c r="N185" s="8">
        <v>16.87288426767066</v>
      </c>
      <c r="O185" s="8">
        <v>1196</v>
      </c>
      <c r="P185" s="9">
        <v>8.1959828035564399</v>
      </c>
      <c r="Q185" s="9">
        <v>1697</v>
      </c>
      <c r="R185" s="9">
        <v>25.023287994488239</v>
      </c>
      <c r="S185" s="9">
        <v>305</v>
      </c>
      <c r="T185" s="9">
        <v>7.6124766588870729</v>
      </c>
      <c r="U185" s="9">
        <v>321</v>
      </c>
      <c r="V185" s="9">
        <v>2.0744076875035309</v>
      </c>
      <c r="W185" s="9">
        <v>1180</v>
      </c>
      <c r="X185">
        <v>1169.2632851730179</v>
      </c>
      <c r="Y185">
        <v>-1.1083910545288469</v>
      </c>
      <c r="Z185">
        <v>0.28417022632390609</v>
      </c>
      <c r="AA185">
        <v>-3.9004475200208621</v>
      </c>
      <c r="AB185">
        <v>9.6015038513179199E-5</v>
      </c>
      <c r="AC185">
        <v>6.5114160944402134E-3</v>
      </c>
      <c r="AD185" t="s">
        <v>2002</v>
      </c>
      <c r="AE185" t="s">
        <v>2003</v>
      </c>
      <c r="AF185" t="s">
        <v>2004</v>
      </c>
      <c r="AG185" t="s">
        <v>2005</v>
      </c>
      <c r="AH185" t="s">
        <v>43</v>
      </c>
      <c r="AI185" t="s">
        <v>43</v>
      </c>
      <c r="AJ185" t="s">
        <v>43</v>
      </c>
      <c r="AK185" t="s">
        <v>43</v>
      </c>
      <c r="AL185" t="s">
        <v>43</v>
      </c>
      <c r="AM185" t="s">
        <v>345</v>
      </c>
      <c r="AN185" t="s">
        <v>43</v>
      </c>
    </row>
    <row r="186" spans="1:40" x14ac:dyDescent="0.3">
      <c r="A186" t="s">
        <v>445</v>
      </c>
      <c r="B186">
        <v>1316</v>
      </c>
      <c r="C186" t="str">
        <f>IF(Y186&lt;0, "Down", "Up")</f>
        <v>Down</v>
      </c>
      <c r="D186" s="7" t="str">
        <f>IF(AC186&lt;0.05, "Sig", "N")</f>
        <v>Sig</v>
      </c>
      <c r="E186" s="1" t="str">
        <f>IF(AND(H186&gt;2,J186&gt;2,L186&gt;2,N186&gt;2),"Y","N")</f>
        <v>Y</v>
      </c>
      <c r="F186" s="1" t="str">
        <f>IF(AND(P186&gt;2,R186&gt;2,T186&gt;2,V186&gt;2),"Y","N")</f>
        <v>N</v>
      </c>
      <c r="G186" s="1" t="str">
        <f>IF(OR(E186="Y", F186="Y"), "Expressed", "N")</f>
        <v>Expressed</v>
      </c>
      <c r="H186" s="8">
        <v>12.51926400040113</v>
      </c>
      <c r="I186" s="8">
        <v>733</v>
      </c>
      <c r="J186" s="8">
        <v>10.903960533244719</v>
      </c>
      <c r="K186" s="8">
        <v>1430</v>
      </c>
      <c r="L186" s="8">
        <v>14.601440632794329</v>
      </c>
      <c r="M186" s="8">
        <v>1485</v>
      </c>
      <c r="N186" s="8">
        <v>13.61231872003685</v>
      </c>
      <c r="O186" s="8">
        <v>824</v>
      </c>
      <c r="P186" s="9">
        <v>6.6121670946157343</v>
      </c>
      <c r="Q186" s="9">
        <v>1340</v>
      </c>
      <c r="R186" s="9">
        <v>23.13737469454345</v>
      </c>
      <c r="S186" s="9">
        <v>521</v>
      </c>
      <c r="T186" s="9">
        <v>15.226868859511519</v>
      </c>
      <c r="U186" s="9">
        <v>246</v>
      </c>
      <c r="V186" s="9">
        <v>1.861533848026597</v>
      </c>
      <c r="W186" s="9">
        <v>962</v>
      </c>
      <c r="X186">
        <v>843.02794968605212</v>
      </c>
      <c r="Y186">
        <v>-0.53493668394512084</v>
      </c>
      <c r="Z186">
        <v>0.1676490204618129</v>
      </c>
      <c r="AA186">
        <v>-3.1908130597575939</v>
      </c>
      <c r="AB186">
        <v>1.418730447560583E-3</v>
      </c>
      <c r="AC186">
        <v>3.8383509030268208E-2</v>
      </c>
      <c r="AD186" t="s">
        <v>446</v>
      </c>
      <c r="AE186" t="s">
        <v>447</v>
      </c>
      <c r="AF186" t="s">
        <v>448</v>
      </c>
      <c r="AG186" t="s">
        <v>449</v>
      </c>
      <c r="AH186" t="s">
        <v>43</v>
      </c>
      <c r="AI186" t="s">
        <v>43</v>
      </c>
      <c r="AJ186" t="s">
        <v>43</v>
      </c>
      <c r="AK186" t="s">
        <v>43</v>
      </c>
      <c r="AL186" t="s">
        <v>43</v>
      </c>
      <c r="AM186" t="s">
        <v>450</v>
      </c>
      <c r="AN186" t="s">
        <v>43</v>
      </c>
    </row>
    <row r="187" spans="1:40" x14ac:dyDescent="0.3">
      <c r="A187" t="s">
        <v>2011</v>
      </c>
      <c r="B187">
        <v>2326</v>
      </c>
      <c r="C187" t="str">
        <f>IF(Y187&lt;0, "Down", "Up")</f>
        <v>Down</v>
      </c>
      <c r="D187" s="7" t="str">
        <f>IF(AC187&lt;0.05, "Sig", "N")</f>
        <v>Sig</v>
      </c>
      <c r="E187" s="1" t="str">
        <f>IF(AND(H187&gt;2,J187&gt;2,L187&gt;2,N187&gt;2),"Y","N")</f>
        <v>Y</v>
      </c>
      <c r="F187" s="1" t="str">
        <f>IF(AND(P187&gt;2,R187&gt;2,T187&gt;2,V187&gt;2),"Y","N")</f>
        <v>Y</v>
      </c>
      <c r="G187" s="1" t="str">
        <f>IF(OR(E187="Y", F187="Y"), "Expressed", "N")</f>
        <v>Expressed</v>
      </c>
      <c r="H187" s="8">
        <v>16.852622108214181</v>
      </c>
      <c r="I187" s="8">
        <v>1744</v>
      </c>
      <c r="J187" s="8">
        <v>10.74221299922362</v>
      </c>
      <c r="K187" s="8">
        <v>2490</v>
      </c>
      <c r="L187" s="8">
        <v>27.225721474207369</v>
      </c>
      <c r="M187" s="8">
        <v>4894</v>
      </c>
      <c r="N187" s="8">
        <v>11.150427544804421</v>
      </c>
      <c r="O187" s="8">
        <v>1193</v>
      </c>
      <c r="P187" s="9">
        <v>5.4163064808442174</v>
      </c>
      <c r="Q187" s="9">
        <v>2209</v>
      </c>
      <c r="R187" s="9">
        <v>21.57998687180746</v>
      </c>
      <c r="S187" s="9">
        <v>720</v>
      </c>
      <c r="T187" s="9">
        <v>11.905607463130099</v>
      </c>
      <c r="U187" s="9">
        <v>505</v>
      </c>
      <c r="V187" s="9">
        <v>2.1620881039390629</v>
      </c>
      <c r="W187" s="9">
        <v>2056</v>
      </c>
      <c r="X187">
        <v>1700.536451534399</v>
      </c>
      <c r="Y187">
        <v>-0.85654752896056852</v>
      </c>
      <c r="Z187">
        <v>0.2247590730562482</v>
      </c>
      <c r="AA187">
        <v>-3.8109586292261</v>
      </c>
      <c r="AB187">
        <v>1.384289348729654E-4</v>
      </c>
      <c r="AC187">
        <v>8.3392310294250552E-3</v>
      </c>
      <c r="AD187" t="s">
        <v>2012</v>
      </c>
      <c r="AE187" t="s">
        <v>2013</v>
      </c>
      <c r="AF187" t="s">
        <v>2014</v>
      </c>
      <c r="AG187" t="s">
        <v>2015</v>
      </c>
      <c r="AH187" t="s">
        <v>43</v>
      </c>
      <c r="AI187" t="s">
        <v>43</v>
      </c>
      <c r="AJ187" t="s">
        <v>43</v>
      </c>
      <c r="AK187" t="s">
        <v>43</v>
      </c>
      <c r="AL187" t="s">
        <v>43</v>
      </c>
      <c r="AM187" t="s">
        <v>2016</v>
      </c>
      <c r="AN187" t="s">
        <v>43</v>
      </c>
    </row>
    <row r="188" spans="1:40" x14ac:dyDescent="0.3">
      <c r="A188" t="s">
        <v>2017</v>
      </c>
      <c r="B188">
        <v>1431</v>
      </c>
      <c r="C188" t="str">
        <f>IF(Y188&lt;0, "Down", "Up")</f>
        <v>Down</v>
      </c>
      <c r="D188" s="7" t="str">
        <f>IF(AC188&lt;0.05, "Sig", "N")</f>
        <v>Sig</v>
      </c>
      <c r="E188" s="1" t="str">
        <f>IF(AND(H188&gt;2,J188&gt;2,L188&gt;2,N188&gt;2),"Y","N")</f>
        <v>Y</v>
      </c>
      <c r="F188" s="1" t="str">
        <f>IF(AND(P188&gt;2,R188&gt;2,T188&gt;2,V188&gt;2),"Y","N")</f>
        <v>N</v>
      </c>
      <c r="G188" s="1" t="str">
        <f>IF(OR(E188="Y", F188="Y"), "Expressed", "N")</f>
        <v>Expressed</v>
      </c>
      <c r="H188" s="8">
        <v>15.14147251346847</v>
      </c>
      <c r="I188" s="8">
        <v>964</v>
      </c>
      <c r="J188" s="8">
        <v>10.721905480746431</v>
      </c>
      <c r="K188" s="8">
        <v>1529</v>
      </c>
      <c r="L188" s="8">
        <v>18.292850776852191</v>
      </c>
      <c r="M188" s="8">
        <v>2023</v>
      </c>
      <c r="N188" s="8">
        <v>9.419174494423471</v>
      </c>
      <c r="O188" s="8">
        <v>620</v>
      </c>
      <c r="P188" s="9">
        <v>4.5753524385816062</v>
      </c>
      <c r="Q188" s="9">
        <v>1163</v>
      </c>
      <c r="R188" s="9">
        <v>18.467378552205592</v>
      </c>
      <c r="S188" s="9">
        <v>392</v>
      </c>
      <c r="T188" s="9">
        <v>10.535986528478841</v>
      </c>
      <c r="U188" s="9">
        <v>199</v>
      </c>
      <c r="V188" s="9">
        <v>1.3848577385096481</v>
      </c>
      <c r="W188" s="9">
        <v>1234</v>
      </c>
      <c r="X188">
        <v>868.3876156851461</v>
      </c>
      <c r="Y188">
        <v>-0.82269252538863458</v>
      </c>
      <c r="Z188">
        <v>0.20730391972605491</v>
      </c>
      <c r="AA188">
        <v>-3.9685333807281351</v>
      </c>
      <c r="AB188">
        <v>7.2316328600794555E-5</v>
      </c>
      <c r="AC188">
        <v>5.3428207524374516E-3</v>
      </c>
      <c r="AD188" t="s">
        <v>2018</v>
      </c>
      <c r="AE188" t="s">
        <v>2019</v>
      </c>
      <c r="AF188" t="s">
        <v>2020</v>
      </c>
      <c r="AG188" t="s">
        <v>2021</v>
      </c>
      <c r="AH188" t="s">
        <v>43</v>
      </c>
      <c r="AI188" t="s">
        <v>43</v>
      </c>
      <c r="AJ188" t="s">
        <v>43</v>
      </c>
      <c r="AK188" t="s">
        <v>43</v>
      </c>
      <c r="AL188" t="s">
        <v>43</v>
      </c>
      <c r="AM188" t="s">
        <v>2022</v>
      </c>
      <c r="AN188" t="s">
        <v>43</v>
      </c>
    </row>
    <row r="189" spans="1:40" x14ac:dyDescent="0.3">
      <c r="A189" t="s">
        <v>2023</v>
      </c>
      <c r="B189">
        <v>930</v>
      </c>
      <c r="C189" t="str">
        <f>IF(Y189&lt;0, "Down", "Up")</f>
        <v>Down</v>
      </c>
      <c r="D189" s="7" t="str">
        <f>IF(AC189&lt;0.05, "Sig", "N")</f>
        <v>Sig</v>
      </c>
      <c r="E189" s="1" t="str">
        <f>IF(AND(H189&gt;2,J189&gt;2,L189&gt;2,N189&gt;2),"Y","N")</f>
        <v>Y</v>
      </c>
      <c r="F189" s="1" t="str">
        <f>IF(AND(P189&gt;2,R189&gt;2,T189&gt;2,V189&gt;2),"Y","N")</f>
        <v>N</v>
      </c>
      <c r="G189" s="1" t="str">
        <f>IF(OR(E189="Y", F189="Y"), "Expressed", "N")</f>
        <v>Expressed</v>
      </c>
      <c r="H189" s="8">
        <v>12.80924797928645</v>
      </c>
      <c r="I189" s="8">
        <v>530</v>
      </c>
      <c r="J189" s="8">
        <v>10.71446332605294</v>
      </c>
      <c r="K189" s="8">
        <v>993</v>
      </c>
      <c r="L189" s="8">
        <v>9.8787169687250369</v>
      </c>
      <c r="M189" s="8">
        <v>710</v>
      </c>
      <c r="N189" s="8">
        <v>7.1999346515229901</v>
      </c>
      <c r="O189" s="8">
        <v>308</v>
      </c>
      <c r="P189" s="9">
        <v>3.497359411376979</v>
      </c>
      <c r="Q189" s="9">
        <v>380</v>
      </c>
      <c r="R189" s="9">
        <v>9.2846560241111291</v>
      </c>
      <c r="S189" s="9">
        <v>139</v>
      </c>
      <c r="T189" s="9">
        <v>5.7485806023513213</v>
      </c>
      <c r="U189" s="9">
        <v>165</v>
      </c>
      <c r="V189" s="9">
        <v>1.766821661685879</v>
      </c>
      <c r="W189" s="9">
        <v>511</v>
      </c>
      <c r="X189">
        <v>420.55604863349339</v>
      </c>
      <c r="Y189">
        <v>-0.99208166600464232</v>
      </c>
      <c r="Z189">
        <v>0.24278464987612011</v>
      </c>
      <c r="AA189">
        <v>-4.0862619053999003</v>
      </c>
      <c r="AB189">
        <v>4.3837890814125218E-5</v>
      </c>
      <c r="AC189">
        <v>3.688311084083803E-3</v>
      </c>
      <c r="AD189" t="s">
        <v>2024</v>
      </c>
      <c r="AE189" t="s">
        <v>2025</v>
      </c>
      <c r="AF189" t="s">
        <v>2026</v>
      </c>
      <c r="AG189" t="s">
        <v>2027</v>
      </c>
      <c r="AH189" t="s">
        <v>43</v>
      </c>
      <c r="AI189" t="s">
        <v>43</v>
      </c>
      <c r="AJ189" t="s">
        <v>43</v>
      </c>
      <c r="AK189" t="s">
        <v>43</v>
      </c>
      <c r="AL189" t="s">
        <v>43</v>
      </c>
      <c r="AM189" t="s">
        <v>2028</v>
      </c>
      <c r="AN189" t="s">
        <v>43</v>
      </c>
    </row>
    <row r="190" spans="1:40" x14ac:dyDescent="0.3">
      <c r="A190" t="s">
        <v>2029</v>
      </c>
      <c r="B190">
        <v>1954</v>
      </c>
      <c r="C190" t="str">
        <f>IF(Y190&lt;0, "Down", "Up")</f>
        <v>Down</v>
      </c>
      <c r="D190" s="7" t="str">
        <f>IF(AC190&lt;0.05, "Sig", "N")</f>
        <v>Sig</v>
      </c>
      <c r="E190" s="1" t="str">
        <f>IF(AND(H190&gt;2,J190&gt;2,L190&gt;2,N190&gt;2),"Y","N")</f>
        <v>Y</v>
      </c>
      <c r="F190" s="1" t="str">
        <f>IF(AND(P190&gt;2,R190&gt;2,T190&gt;2,V190&gt;2),"Y","N")</f>
        <v>Y</v>
      </c>
      <c r="G190" s="1" t="str">
        <f>IF(OR(E190="Y", F190="Y"), "Expressed", "N")</f>
        <v>Expressed</v>
      </c>
      <c r="H190" s="8">
        <v>11.62939999957948</v>
      </c>
      <c r="I190" s="8">
        <v>1011</v>
      </c>
      <c r="J190" s="8">
        <v>10.71257480112898</v>
      </c>
      <c r="K190" s="8">
        <v>2086</v>
      </c>
      <c r="L190" s="8">
        <v>15.323710475467911</v>
      </c>
      <c r="M190" s="8">
        <v>2314</v>
      </c>
      <c r="N190" s="8">
        <v>19.603884333276831</v>
      </c>
      <c r="O190" s="8">
        <v>1762</v>
      </c>
      <c r="P190" s="9">
        <v>9.5225627302087634</v>
      </c>
      <c r="Q190" s="9">
        <v>1724</v>
      </c>
      <c r="R190" s="9">
        <v>20.048314788258711</v>
      </c>
      <c r="S190" s="9">
        <v>434</v>
      </c>
      <c r="T190" s="9">
        <v>8.5426761659206356</v>
      </c>
      <c r="U190" s="9">
        <v>466</v>
      </c>
      <c r="V190" s="9">
        <v>2.3749423769158091</v>
      </c>
      <c r="W190" s="9">
        <v>1548</v>
      </c>
      <c r="X190">
        <v>1291.1021733368721</v>
      </c>
      <c r="Y190">
        <v>-0.82677283800203372</v>
      </c>
      <c r="Z190">
        <v>0.2322393330554936</v>
      </c>
      <c r="AA190">
        <v>-3.560003497790257</v>
      </c>
      <c r="AB190">
        <v>3.7084985424305322E-4</v>
      </c>
      <c r="AC190">
        <v>1.571260260576033E-2</v>
      </c>
      <c r="AD190" t="s">
        <v>2030</v>
      </c>
      <c r="AE190" t="s">
        <v>2031</v>
      </c>
      <c r="AF190" t="s">
        <v>55</v>
      </c>
      <c r="AG190" t="s">
        <v>2032</v>
      </c>
      <c r="AH190" t="s">
        <v>43</v>
      </c>
      <c r="AI190" t="s">
        <v>43</v>
      </c>
      <c r="AJ190" t="s">
        <v>43</v>
      </c>
      <c r="AK190" t="s">
        <v>43</v>
      </c>
      <c r="AL190" t="s">
        <v>43</v>
      </c>
      <c r="AM190" t="s">
        <v>2033</v>
      </c>
      <c r="AN190" t="s">
        <v>43</v>
      </c>
    </row>
    <row r="191" spans="1:40" x14ac:dyDescent="0.3">
      <c r="A191" t="s">
        <v>2034</v>
      </c>
      <c r="B191">
        <v>947</v>
      </c>
      <c r="C191" t="str">
        <f>IF(Y191&lt;0, "Down", "Up")</f>
        <v>Down</v>
      </c>
      <c r="D191" s="7" t="str">
        <f>IF(AC191&lt;0.05, "Sig", "N")</f>
        <v>Sig</v>
      </c>
      <c r="E191" s="1" t="str">
        <f>IF(AND(H191&gt;2,J191&gt;2,L191&gt;2,N191&gt;2),"Y","N")</f>
        <v>Y</v>
      </c>
      <c r="F191" s="1" t="str">
        <f>IF(AND(P191&gt;2,R191&gt;2,T191&gt;2,V191&gt;2),"Y","N")</f>
        <v>N</v>
      </c>
      <c r="G191" s="1" t="str">
        <f>IF(OR(E191="Y", F191="Y"), "Expressed", "N")</f>
        <v>Expressed</v>
      </c>
      <c r="H191" s="8">
        <v>11.01282438688547</v>
      </c>
      <c r="I191" s="8">
        <v>464</v>
      </c>
      <c r="J191" s="8">
        <v>10.64927900551525</v>
      </c>
      <c r="K191" s="8">
        <v>1005</v>
      </c>
      <c r="L191" s="8">
        <v>11.996917699544509</v>
      </c>
      <c r="M191" s="8">
        <v>878</v>
      </c>
      <c r="N191" s="8">
        <v>7.598691300546915</v>
      </c>
      <c r="O191" s="8">
        <v>331</v>
      </c>
      <c r="P191" s="9">
        <v>3.6910549637411898</v>
      </c>
      <c r="Q191" s="9">
        <v>570</v>
      </c>
      <c r="R191" s="9">
        <v>13.67697481904438</v>
      </c>
      <c r="S191" s="9">
        <v>274</v>
      </c>
      <c r="T191" s="9">
        <v>11.128313637850409</v>
      </c>
      <c r="U191" s="9">
        <v>122</v>
      </c>
      <c r="V191" s="9">
        <v>1.2829258950745881</v>
      </c>
      <c r="W191" s="9">
        <v>684</v>
      </c>
      <c r="X191">
        <v>467.90005507839948</v>
      </c>
      <c r="Y191">
        <v>-0.65490316415710703</v>
      </c>
      <c r="Z191">
        <v>0.17704066811538771</v>
      </c>
      <c r="AA191">
        <v>-3.6991679433240079</v>
      </c>
      <c r="AB191">
        <v>2.163074386180773E-4</v>
      </c>
      <c r="AC191">
        <v>1.135162834419488E-2</v>
      </c>
      <c r="AD191" t="s">
        <v>2035</v>
      </c>
      <c r="AE191" t="s">
        <v>2036</v>
      </c>
      <c r="AF191" t="s">
        <v>2037</v>
      </c>
      <c r="AG191" t="s">
        <v>43</v>
      </c>
      <c r="AH191" t="s">
        <v>43</v>
      </c>
      <c r="AI191" t="s">
        <v>43</v>
      </c>
      <c r="AJ191" t="s">
        <v>43</v>
      </c>
      <c r="AK191" t="s">
        <v>43</v>
      </c>
      <c r="AL191" t="s">
        <v>43</v>
      </c>
      <c r="AM191" t="s">
        <v>43</v>
      </c>
      <c r="AN191" t="s">
        <v>43</v>
      </c>
    </row>
    <row r="192" spans="1:40" x14ac:dyDescent="0.3">
      <c r="A192" t="s">
        <v>2038</v>
      </c>
      <c r="B192">
        <v>1438</v>
      </c>
      <c r="C192" t="str">
        <f>IF(Y192&lt;0, "Down", "Up")</f>
        <v>Down</v>
      </c>
      <c r="D192" s="7" t="str">
        <f>IF(AC192&lt;0.05, "Sig", "N")</f>
        <v>Sig</v>
      </c>
      <c r="E192" s="1" t="str">
        <f>IF(AND(H192&gt;2,J192&gt;2,L192&gt;2,N192&gt;2),"Y","N")</f>
        <v>Y</v>
      </c>
      <c r="F192" s="1" t="str">
        <f>IF(AND(P192&gt;2,R192&gt;2,T192&gt;2,V192&gt;2),"Y","N")</f>
        <v>Y</v>
      </c>
      <c r="G192" s="1" t="str">
        <f>IF(OR(E192="Y", F192="Y"), "Expressed", "N")</f>
        <v>Expressed</v>
      </c>
      <c r="H192" s="8">
        <v>13.6922850706761</v>
      </c>
      <c r="I192" s="8">
        <v>876</v>
      </c>
      <c r="J192" s="8">
        <v>10.61388678230343</v>
      </c>
      <c r="K192" s="8">
        <v>1521</v>
      </c>
      <c r="L192" s="8">
        <v>14.73941184659601</v>
      </c>
      <c r="M192" s="8">
        <v>1638</v>
      </c>
      <c r="N192" s="8">
        <v>12.54815842148772</v>
      </c>
      <c r="O192" s="8">
        <v>830</v>
      </c>
      <c r="P192" s="9">
        <v>6.0952525369874504</v>
      </c>
      <c r="Q192" s="9">
        <v>1306</v>
      </c>
      <c r="R192" s="9">
        <v>20.637137679827418</v>
      </c>
      <c r="S192" s="9">
        <v>478</v>
      </c>
      <c r="T192" s="9">
        <v>12.78491320363643</v>
      </c>
      <c r="U192" s="9">
        <v>323</v>
      </c>
      <c r="V192" s="9">
        <v>2.236842242819661</v>
      </c>
      <c r="W192" s="9">
        <v>1461</v>
      </c>
      <c r="X192">
        <v>936.98359990804545</v>
      </c>
      <c r="Y192">
        <v>-0.46527348272221031</v>
      </c>
      <c r="Z192">
        <v>0.12960813169791119</v>
      </c>
      <c r="AA192">
        <v>-3.5898479256429918</v>
      </c>
      <c r="AB192">
        <v>3.3087093564007099E-4</v>
      </c>
      <c r="AC192">
        <v>1.459412436642268E-2</v>
      </c>
      <c r="AD192" t="s">
        <v>2039</v>
      </c>
      <c r="AE192" t="s">
        <v>2040</v>
      </c>
      <c r="AF192" t="s">
        <v>2041</v>
      </c>
      <c r="AG192" t="s">
        <v>2042</v>
      </c>
      <c r="AH192" t="s">
        <v>43</v>
      </c>
      <c r="AI192" t="s">
        <v>43</v>
      </c>
      <c r="AJ192" t="s">
        <v>43</v>
      </c>
      <c r="AK192" t="s">
        <v>43</v>
      </c>
      <c r="AL192" t="s">
        <v>43</v>
      </c>
      <c r="AM192" t="s">
        <v>2043</v>
      </c>
      <c r="AN192" t="s">
        <v>2044</v>
      </c>
    </row>
    <row r="193" spans="1:40" x14ac:dyDescent="0.3">
      <c r="A193" t="s">
        <v>2050</v>
      </c>
      <c r="B193">
        <v>2160</v>
      </c>
      <c r="C193" t="str">
        <f>IF(Y193&lt;0, "Down", "Up")</f>
        <v>Down</v>
      </c>
      <c r="D193" s="7" t="str">
        <f>IF(AC193&lt;0.05, "Sig", "N")</f>
        <v>Sig</v>
      </c>
      <c r="E193" s="1" t="str">
        <f>IF(AND(H193&gt;2,J193&gt;2,L193&gt;2,N193&gt;2),"Y","N")</f>
        <v>Y</v>
      </c>
      <c r="F193" s="1" t="str">
        <f>IF(AND(P193&gt;2,R193&gt;2,T193&gt;2,V193&gt;2),"Y","N")</f>
        <v>Y</v>
      </c>
      <c r="G193" s="1" t="str">
        <f>IF(OR(E193="Y", F193="Y"), "Expressed", "N")</f>
        <v>Expressed</v>
      </c>
      <c r="H193" s="8">
        <v>11.29033165050576</v>
      </c>
      <c r="I193" s="8">
        <v>1085</v>
      </c>
      <c r="J193" s="8">
        <v>10.58288535245617</v>
      </c>
      <c r="K193" s="8">
        <v>2278</v>
      </c>
      <c r="L193" s="8">
        <v>14.653043679001261</v>
      </c>
      <c r="M193" s="8">
        <v>2446</v>
      </c>
      <c r="N193" s="8">
        <v>20.200141333595141</v>
      </c>
      <c r="O193" s="8">
        <v>2007</v>
      </c>
      <c r="P193" s="9">
        <v>9.8121938355718559</v>
      </c>
      <c r="Q193" s="9">
        <v>1593</v>
      </c>
      <c r="R193" s="9">
        <v>16.758193290887419</v>
      </c>
      <c r="S193" s="9">
        <v>449</v>
      </c>
      <c r="T193" s="9">
        <v>7.9950532977745841</v>
      </c>
      <c r="U193" s="9">
        <v>596</v>
      </c>
      <c r="V193" s="9">
        <v>2.747794362062987</v>
      </c>
      <c r="W193" s="9">
        <v>1690</v>
      </c>
      <c r="X193">
        <v>1412.034437005093</v>
      </c>
      <c r="Y193">
        <v>-0.84158945724862155</v>
      </c>
      <c r="Z193">
        <v>0.25684484936603891</v>
      </c>
      <c r="AA193">
        <v>-3.2766452561765869</v>
      </c>
      <c r="AB193">
        <v>1.0504826248107499E-3</v>
      </c>
      <c r="AC193">
        <v>3.1825366950206477E-2</v>
      </c>
      <c r="AD193" t="s">
        <v>2051</v>
      </c>
      <c r="AE193" t="s">
        <v>2052</v>
      </c>
      <c r="AF193" t="s">
        <v>2053</v>
      </c>
      <c r="AG193" t="s">
        <v>1895</v>
      </c>
      <c r="AH193" t="s">
        <v>43</v>
      </c>
      <c r="AI193" t="s">
        <v>43</v>
      </c>
      <c r="AJ193" t="s">
        <v>43</v>
      </c>
      <c r="AK193" t="s">
        <v>43</v>
      </c>
      <c r="AL193" t="s">
        <v>43</v>
      </c>
      <c r="AM193" t="s">
        <v>1896</v>
      </c>
      <c r="AN193" t="s">
        <v>43</v>
      </c>
    </row>
    <row r="194" spans="1:40" x14ac:dyDescent="0.3">
      <c r="A194" t="s">
        <v>2054</v>
      </c>
      <c r="B194">
        <v>1404</v>
      </c>
      <c r="C194" t="str">
        <f>IF(Y194&lt;0, "Down", "Up")</f>
        <v>Down</v>
      </c>
      <c r="D194" s="7" t="str">
        <f>IF(AC194&lt;0.05, "Sig", "N")</f>
        <v>Sig</v>
      </c>
      <c r="E194" s="1" t="str">
        <f>IF(AND(H194&gt;2,J194&gt;2,L194&gt;2,N194&gt;2),"Y","N")</f>
        <v>Y</v>
      </c>
      <c r="F194" s="1" t="str">
        <f>IF(AND(P194&gt;2,R194&gt;2,T194&gt;2,V194&gt;2),"Y","N")</f>
        <v>N</v>
      </c>
      <c r="G194" s="1" t="str">
        <f>IF(OR(E194="Y", F194="Y"), "Expressed", "N")</f>
        <v>Expressed</v>
      </c>
      <c r="H194" s="8">
        <v>15.97695992513966</v>
      </c>
      <c r="I194" s="8">
        <v>998</v>
      </c>
      <c r="J194" s="8">
        <v>10.549293428935851</v>
      </c>
      <c r="K194" s="8">
        <v>1476</v>
      </c>
      <c r="L194" s="8">
        <v>20.174547212613231</v>
      </c>
      <c r="M194" s="8">
        <v>2189</v>
      </c>
      <c r="N194" s="8">
        <v>8.5938280940901492</v>
      </c>
      <c r="O194" s="8">
        <v>555</v>
      </c>
      <c r="P194" s="9">
        <v>4.1744414386128401</v>
      </c>
      <c r="Q194" s="9">
        <v>717</v>
      </c>
      <c r="R194" s="9">
        <v>11.60425379261798</v>
      </c>
      <c r="S194" s="9">
        <v>427</v>
      </c>
      <c r="T194" s="9">
        <v>11.69740537313602</v>
      </c>
      <c r="U194" s="9">
        <v>207</v>
      </c>
      <c r="V194" s="9">
        <v>1.468232919326377</v>
      </c>
      <c r="W194" s="9">
        <v>887</v>
      </c>
      <c r="X194">
        <v>820.16007797474322</v>
      </c>
      <c r="Y194">
        <v>-1.104435888840273</v>
      </c>
      <c r="Z194">
        <v>0.21871355595743011</v>
      </c>
      <c r="AA194">
        <v>-5.0496910628403757</v>
      </c>
      <c r="AB194">
        <v>4.4252513940619579E-7</v>
      </c>
      <c r="AC194">
        <v>1.30987430953392E-4</v>
      </c>
      <c r="AD194" t="s">
        <v>2055</v>
      </c>
      <c r="AE194" t="s">
        <v>2056</v>
      </c>
      <c r="AF194" t="s">
        <v>2057</v>
      </c>
      <c r="AG194" t="s">
        <v>2058</v>
      </c>
      <c r="AH194" t="s">
        <v>43</v>
      </c>
      <c r="AI194" t="s">
        <v>43</v>
      </c>
      <c r="AJ194" t="s">
        <v>43</v>
      </c>
      <c r="AK194" t="s">
        <v>43</v>
      </c>
      <c r="AL194" t="s">
        <v>43</v>
      </c>
      <c r="AM194" t="s">
        <v>2059</v>
      </c>
      <c r="AN194" t="s">
        <v>43</v>
      </c>
    </row>
    <row r="195" spans="1:40" x14ac:dyDescent="0.3">
      <c r="A195" t="s">
        <v>2060</v>
      </c>
      <c r="B195">
        <v>944</v>
      </c>
      <c r="C195" t="str">
        <f>IF(Y195&lt;0, "Down", "Up")</f>
        <v>Down</v>
      </c>
      <c r="D195" s="7" t="str">
        <f>IF(AC195&lt;0.05, "Sig", "N")</f>
        <v>Sig</v>
      </c>
      <c r="E195" s="1" t="str">
        <f>IF(AND(H195&gt;2,J195&gt;2,L195&gt;2,N195&gt;2),"Y","N")</f>
        <v>Y</v>
      </c>
      <c r="F195" s="1" t="str">
        <f>IF(AND(P195&gt;2,R195&gt;2,T195&gt;2,V195&gt;2),"Y","N")</f>
        <v>N</v>
      </c>
      <c r="G195" s="1" t="str">
        <f>IF(OR(E195="Y", F195="Y"), "Expressed", "N")</f>
        <v>Expressed</v>
      </c>
      <c r="H195" s="8">
        <v>11.071632732336161</v>
      </c>
      <c r="I195" s="8">
        <v>465</v>
      </c>
      <c r="J195" s="8">
        <v>10.502412525934171</v>
      </c>
      <c r="K195" s="8">
        <v>988</v>
      </c>
      <c r="L195" s="8">
        <v>18.436370733363741</v>
      </c>
      <c r="M195" s="8">
        <v>1345</v>
      </c>
      <c r="N195" s="8">
        <v>11.49183384373031</v>
      </c>
      <c r="O195" s="8">
        <v>499</v>
      </c>
      <c r="P195" s="9">
        <v>5.5821441711070419</v>
      </c>
      <c r="Q195" s="9">
        <v>709</v>
      </c>
      <c r="R195" s="9">
        <v>17.066301412294141</v>
      </c>
      <c r="S195" s="9">
        <v>129</v>
      </c>
      <c r="T195" s="9">
        <v>5.2558926873558711</v>
      </c>
      <c r="U195" s="9">
        <v>118</v>
      </c>
      <c r="V195" s="9">
        <v>1.244806170733233</v>
      </c>
      <c r="W195" s="9">
        <v>571</v>
      </c>
      <c r="X195">
        <v>508.08793141584249</v>
      </c>
      <c r="Y195">
        <v>-1.1636822028752529</v>
      </c>
      <c r="Z195">
        <v>0.24670347211437479</v>
      </c>
      <c r="AA195">
        <v>-4.7169267335473712</v>
      </c>
      <c r="AB195">
        <v>2.3943386433360821E-6</v>
      </c>
      <c r="AC195">
        <v>4.1622760445405622E-4</v>
      </c>
      <c r="AD195" t="s">
        <v>2061</v>
      </c>
      <c r="AE195" t="s">
        <v>2062</v>
      </c>
      <c r="AF195" t="s">
        <v>2063</v>
      </c>
      <c r="AG195" t="s">
        <v>2064</v>
      </c>
      <c r="AH195" t="s">
        <v>43</v>
      </c>
      <c r="AI195" t="s">
        <v>43</v>
      </c>
      <c r="AJ195" t="s">
        <v>43</v>
      </c>
      <c r="AK195" t="s">
        <v>43</v>
      </c>
      <c r="AL195" t="s">
        <v>43</v>
      </c>
      <c r="AM195" t="s">
        <v>2028</v>
      </c>
      <c r="AN195" t="s">
        <v>43</v>
      </c>
    </row>
    <row r="196" spans="1:40" x14ac:dyDescent="0.3">
      <c r="A196" t="s">
        <v>2071</v>
      </c>
      <c r="B196">
        <v>702</v>
      </c>
      <c r="C196" t="str">
        <f>IF(Y196&lt;0, "Down", "Up")</f>
        <v>Down</v>
      </c>
      <c r="D196" s="7" t="str">
        <f>IF(AC196&lt;0.05, "Sig", "N")</f>
        <v>Sig</v>
      </c>
      <c r="E196" s="1" t="str">
        <f>IF(AND(H196&gt;2,J196&gt;2,L196&gt;2,N196&gt;2),"Y","N")</f>
        <v>Y</v>
      </c>
      <c r="F196" s="1" t="str">
        <f>IF(AND(P196&gt;2,R196&gt;2,T196&gt;2,V196&gt;2),"Y","N")</f>
        <v>N</v>
      </c>
      <c r="G196" s="1" t="str">
        <f>IF(OR(E196="Y", F196="Y"), "Expressed", "N")</f>
        <v>Expressed</v>
      </c>
      <c r="H196" s="8">
        <v>21.38799444888436</v>
      </c>
      <c r="I196" s="8">
        <v>668</v>
      </c>
      <c r="J196" s="8">
        <v>10.320582460286831</v>
      </c>
      <c r="K196" s="8">
        <v>722</v>
      </c>
      <c r="L196" s="8">
        <v>95.99729728943781</v>
      </c>
      <c r="M196" s="8">
        <v>5208</v>
      </c>
      <c r="N196" s="8">
        <v>4.1807812349627751</v>
      </c>
      <c r="O196" s="8">
        <v>135</v>
      </c>
      <c r="P196" s="9">
        <v>2.0308093485143539</v>
      </c>
      <c r="Q196" s="9">
        <v>528</v>
      </c>
      <c r="R196" s="9">
        <v>17.090783828458271</v>
      </c>
      <c r="S196" s="9">
        <v>75</v>
      </c>
      <c r="T196" s="9">
        <v>4.109158796183614</v>
      </c>
      <c r="U196" s="9">
        <v>70</v>
      </c>
      <c r="V196" s="9">
        <v>0.9930077715250859</v>
      </c>
      <c r="W196" s="9">
        <v>234</v>
      </c>
      <c r="X196">
        <v>710.38741472710296</v>
      </c>
      <c r="Y196">
        <v>-2.730211307297342</v>
      </c>
      <c r="Z196">
        <v>0.87919418140481409</v>
      </c>
      <c r="AA196">
        <v>-3.105356433245376</v>
      </c>
      <c r="AB196">
        <v>1.9004985552867359E-3</v>
      </c>
      <c r="AC196">
        <v>4.497656340749652E-2</v>
      </c>
    </row>
    <row r="197" spans="1:40" x14ac:dyDescent="0.3">
      <c r="A197" t="s">
        <v>2072</v>
      </c>
      <c r="B197">
        <v>1761</v>
      </c>
      <c r="C197" t="str">
        <f>IF(Y197&lt;0, "Down", "Up")</f>
        <v>Down</v>
      </c>
      <c r="D197" s="7" t="str">
        <f>IF(AC197&lt;0.05, "Sig", "N")</f>
        <v>Sig</v>
      </c>
      <c r="E197" s="1" t="str">
        <f>IF(AND(H197&gt;2,J197&gt;2,L197&gt;2,N197&gt;2),"Y","N")</f>
        <v>Y</v>
      </c>
      <c r="F197" s="1" t="str">
        <f>IF(AND(P197&gt;2,R197&gt;2,T197&gt;2,V197&gt;2),"Y","N")</f>
        <v>N</v>
      </c>
      <c r="G197" s="1" t="str">
        <f>IF(OR(E197="Y", F197="Y"), "Expressed", "N")</f>
        <v>Expressed</v>
      </c>
      <c r="H197" s="8">
        <v>10.1980734530856</v>
      </c>
      <c r="I197" s="8">
        <v>799</v>
      </c>
      <c r="J197" s="8">
        <v>10.28541863589062</v>
      </c>
      <c r="K197" s="8">
        <v>1805</v>
      </c>
      <c r="L197" s="8">
        <v>12.25636914890309</v>
      </c>
      <c r="M197" s="8">
        <v>1668</v>
      </c>
      <c r="N197" s="8">
        <v>13.3576079161809</v>
      </c>
      <c r="O197" s="8">
        <v>1082</v>
      </c>
      <c r="P197" s="9">
        <v>6.4884416345719274</v>
      </c>
      <c r="Q197" s="9">
        <v>683</v>
      </c>
      <c r="R197" s="9">
        <v>8.813055769681025</v>
      </c>
      <c r="S197" s="9">
        <v>218</v>
      </c>
      <c r="T197" s="9">
        <v>4.7613039979765697</v>
      </c>
      <c r="U197" s="9">
        <v>347</v>
      </c>
      <c r="V197" s="9">
        <v>1.962283889810025</v>
      </c>
      <c r="W197" s="9">
        <v>915</v>
      </c>
      <c r="X197">
        <v>861.5664939631738</v>
      </c>
      <c r="Y197">
        <v>-1.197972094419971</v>
      </c>
      <c r="Z197">
        <v>0.25070718312905199</v>
      </c>
      <c r="AA197">
        <v>-4.7783716424403861</v>
      </c>
      <c r="AB197">
        <v>1.767205195647611E-6</v>
      </c>
      <c r="AC197">
        <v>3.3424212188400653E-4</v>
      </c>
      <c r="AD197" t="s">
        <v>2073</v>
      </c>
      <c r="AE197" t="s">
        <v>2074</v>
      </c>
      <c r="AF197" t="s">
        <v>2075</v>
      </c>
      <c r="AG197" t="s">
        <v>2076</v>
      </c>
      <c r="AH197" t="s">
        <v>43</v>
      </c>
      <c r="AI197" t="s">
        <v>43</v>
      </c>
      <c r="AJ197" t="s">
        <v>43</v>
      </c>
      <c r="AK197" t="s">
        <v>43</v>
      </c>
      <c r="AL197" t="s">
        <v>43</v>
      </c>
      <c r="AM197" t="s">
        <v>345</v>
      </c>
      <c r="AN197" t="s">
        <v>43</v>
      </c>
    </row>
    <row r="198" spans="1:40" x14ac:dyDescent="0.3">
      <c r="A198" t="s">
        <v>2077</v>
      </c>
      <c r="B198">
        <v>1885</v>
      </c>
      <c r="C198" t="str">
        <f>IF(Y198&lt;0, "Down", "Up")</f>
        <v>Down</v>
      </c>
      <c r="D198" s="7" t="str">
        <f>IF(AC198&lt;0.05, "Sig", "N")</f>
        <v>Sig</v>
      </c>
      <c r="E198" s="1" t="str">
        <f>IF(AND(H198&gt;2,J198&gt;2,L198&gt;2,N198&gt;2),"Y","N")</f>
        <v>Y</v>
      </c>
      <c r="F198" s="1" t="str">
        <f>IF(AND(P198&gt;2,R198&gt;2,T198&gt;2,V198&gt;2),"Y","N")</f>
        <v>Y</v>
      </c>
      <c r="G198" s="1" t="str">
        <f>IF(OR(E198="Y", F198="Y"), "Expressed", "N")</f>
        <v>Expressed</v>
      </c>
      <c r="H198" s="8">
        <v>14.09408331285764</v>
      </c>
      <c r="I198" s="8">
        <v>1182</v>
      </c>
      <c r="J198" s="8">
        <v>10.25295499283285</v>
      </c>
      <c r="K198" s="8">
        <v>1926</v>
      </c>
      <c r="L198" s="8">
        <v>16.056245870331761</v>
      </c>
      <c r="M198" s="8">
        <v>2339</v>
      </c>
      <c r="N198" s="8">
        <v>8.9958878986785233</v>
      </c>
      <c r="O198" s="8">
        <v>780</v>
      </c>
      <c r="P198" s="9">
        <v>4.3697414947343356</v>
      </c>
      <c r="Q198" s="9">
        <v>1434</v>
      </c>
      <c r="R198" s="9">
        <v>17.28633668417574</v>
      </c>
      <c r="S198" s="9">
        <v>523</v>
      </c>
      <c r="T198" s="9">
        <v>10.671343698557941</v>
      </c>
      <c r="U198" s="9">
        <v>461</v>
      </c>
      <c r="V198" s="9">
        <v>2.4354616221030039</v>
      </c>
      <c r="W198" s="9">
        <v>1418</v>
      </c>
      <c r="X198">
        <v>1124.894849137311</v>
      </c>
      <c r="Y198">
        <v>-0.60045689492196497</v>
      </c>
      <c r="Z198">
        <v>0.17369078206342189</v>
      </c>
      <c r="AA198">
        <v>-3.4570452604831532</v>
      </c>
      <c r="AB198">
        <v>5.4613311484543868E-4</v>
      </c>
      <c r="AC198">
        <v>2.0333352915237579E-2</v>
      </c>
      <c r="AD198" t="s">
        <v>2078</v>
      </c>
      <c r="AE198" t="s">
        <v>2079</v>
      </c>
      <c r="AF198" t="s">
        <v>2080</v>
      </c>
      <c r="AG198" t="s">
        <v>2081</v>
      </c>
      <c r="AH198" t="s">
        <v>43</v>
      </c>
      <c r="AI198" t="s">
        <v>43</v>
      </c>
      <c r="AJ198" t="s">
        <v>43</v>
      </c>
      <c r="AK198" t="s">
        <v>43</v>
      </c>
      <c r="AL198" t="s">
        <v>43</v>
      </c>
      <c r="AM198" t="s">
        <v>2082</v>
      </c>
      <c r="AN198" t="s">
        <v>43</v>
      </c>
    </row>
    <row r="199" spans="1:40" x14ac:dyDescent="0.3">
      <c r="A199" t="s">
        <v>2083</v>
      </c>
      <c r="B199">
        <v>1718</v>
      </c>
      <c r="C199" t="str">
        <f>IF(Y199&lt;0, "Down", "Up")</f>
        <v>Down</v>
      </c>
      <c r="D199" s="7" t="str">
        <f>IF(AC199&lt;0.05, "Sig", "N")</f>
        <v>Sig</v>
      </c>
      <c r="E199" s="1" t="str">
        <f>IF(AND(H199&gt;2,J199&gt;2,L199&gt;2,N199&gt;2),"Y","N")</f>
        <v>Y</v>
      </c>
      <c r="F199" s="1" t="str">
        <f>IF(AND(P199&gt;2,R199&gt;2,T199&gt;2,V199&gt;2),"Y","N")</f>
        <v>Y</v>
      </c>
      <c r="G199" s="1" t="str">
        <f>IF(OR(E199="Y", F199="Y"), "Expressed", "N")</f>
        <v>Expressed</v>
      </c>
      <c r="H199" s="8">
        <v>18.355457938029261</v>
      </c>
      <c r="I199" s="8">
        <v>1403</v>
      </c>
      <c r="J199" s="8">
        <v>10.23328489469219</v>
      </c>
      <c r="K199" s="8">
        <v>1752</v>
      </c>
      <c r="L199" s="8">
        <v>27.453613533942651</v>
      </c>
      <c r="M199" s="8">
        <v>3645</v>
      </c>
      <c r="N199" s="8">
        <v>18.55118248566253</v>
      </c>
      <c r="O199" s="8">
        <v>1466</v>
      </c>
      <c r="P199" s="9">
        <v>9.0112141010446027</v>
      </c>
      <c r="Q199" s="9">
        <v>1447</v>
      </c>
      <c r="R199" s="9">
        <v>19.138616595500569</v>
      </c>
      <c r="S199" s="9">
        <v>435</v>
      </c>
      <c r="T199" s="9">
        <v>9.7385628373348077</v>
      </c>
      <c r="U199" s="9">
        <v>535</v>
      </c>
      <c r="V199" s="9">
        <v>3.1011469212678899</v>
      </c>
      <c r="W199" s="9">
        <v>1701</v>
      </c>
      <c r="X199">
        <v>1398.7423436109141</v>
      </c>
      <c r="Y199">
        <v>-0.96044446286152951</v>
      </c>
      <c r="Z199">
        <v>0.2491308824696675</v>
      </c>
      <c r="AA199">
        <v>-3.8551802704687441</v>
      </c>
      <c r="AB199">
        <v>1.15644381366103E-4</v>
      </c>
      <c r="AC199">
        <v>7.4701214870420956E-3</v>
      </c>
      <c r="AD199" t="s">
        <v>2084</v>
      </c>
      <c r="AE199" t="s">
        <v>2085</v>
      </c>
      <c r="AF199" t="s">
        <v>2086</v>
      </c>
      <c r="AG199" t="s">
        <v>43</v>
      </c>
      <c r="AH199" t="s">
        <v>43</v>
      </c>
      <c r="AI199" t="s">
        <v>43</v>
      </c>
      <c r="AJ199" t="s">
        <v>43</v>
      </c>
      <c r="AK199" t="s">
        <v>43</v>
      </c>
      <c r="AL199" t="s">
        <v>43</v>
      </c>
      <c r="AM199" t="s">
        <v>43</v>
      </c>
      <c r="AN199" t="s">
        <v>43</v>
      </c>
    </row>
    <row r="200" spans="1:40" x14ac:dyDescent="0.3">
      <c r="A200" t="s">
        <v>2087</v>
      </c>
      <c r="B200">
        <v>1490</v>
      </c>
      <c r="C200" t="str">
        <f>IF(Y200&lt;0, "Down", "Up")</f>
        <v>Down</v>
      </c>
      <c r="D200" s="7" t="str">
        <f>IF(AC200&lt;0.05, "Sig", "N")</f>
        <v>Sig</v>
      </c>
      <c r="E200" s="1" t="str">
        <f>IF(AND(H200&gt;2,J200&gt;2,L200&gt;2,N200&gt;2),"Y","N")</f>
        <v>Y</v>
      </c>
      <c r="F200" s="1" t="str">
        <f>IF(AND(P200&gt;2,R200&gt;2,T200&gt;2,V200&gt;2),"Y","N")</f>
        <v>N</v>
      </c>
      <c r="G200" s="1" t="str">
        <f>IF(OR(E200="Y", F200="Y"), "Expressed", "N")</f>
        <v>Expressed</v>
      </c>
      <c r="H200" s="8">
        <v>14.49665594089867</v>
      </c>
      <c r="I200" s="8">
        <v>961</v>
      </c>
      <c r="J200" s="8">
        <v>10.21653048184861</v>
      </c>
      <c r="K200" s="8">
        <v>1517</v>
      </c>
      <c r="L200" s="8">
        <v>11.941024032287681</v>
      </c>
      <c r="M200" s="8">
        <v>1375</v>
      </c>
      <c r="N200" s="8">
        <v>9.8924579342179602</v>
      </c>
      <c r="O200" s="8">
        <v>678</v>
      </c>
      <c r="P200" s="9">
        <v>4.8052492880014821</v>
      </c>
      <c r="Q200" s="9">
        <v>910</v>
      </c>
      <c r="R200" s="9">
        <v>13.877789461683591</v>
      </c>
      <c r="S200" s="9">
        <v>366</v>
      </c>
      <c r="T200" s="9">
        <v>9.4476455285999847</v>
      </c>
      <c r="U200" s="9">
        <v>286</v>
      </c>
      <c r="V200" s="9">
        <v>1.911487596401098</v>
      </c>
      <c r="W200" s="9">
        <v>887</v>
      </c>
      <c r="X200">
        <v>798.81954337833668</v>
      </c>
      <c r="Y200">
        <v>-0.83408053705241381</v>
      </c>
      <c r="Z200">
        <v>0.1641346844117253</v>
      </c>
      <c r="AA200">
        <v>-5.0816836188026899</v>
      </c>
      <c r="AB200">
        <v>3.7410414025836123E-7</v>
      </c>
      <c r="AC200">
        <v>1.1793746224867349E-4</v>
      </c>
      <c r="AD200" t="s">
        <v>2088</v>
      </c>
      <c r="AE200" t="s">
        <v>2089</v>
      </c>
      <c r="AF200" t="s">
        <v>2090</v>
      </c>
      <c r="AG200" t="s">
        <v>2091</v>
      </c>
      <c r="AH200" t="s">
        <v>43</v>
      </c>
      <c r="AI200" t="s">
        <v>43</v>
      </c>
      <c r="AJ200" t="s">
        <v>43</v>
      </c>
      <c r="AK200" t="s">
        <v>43</v>
      </c>
      <c r="AL200" t="s">
        <v>43</v>
      </c>
      <c r="AM200" t="s">
        <v>2092</v>
      </c>
      <c r="AN200" t="s">
        <v>43</v>
      </c>
    </row>
    <row r="201" spans="1:40" x14ac:dyDescent="0.3">
      <c r="A201" t="s">
        <v>2093</v>
      </c>
      <c r="B201">
        <v>966</v>
      </c>
      <c r="C201" t="str">
        <f>IF(Y201&lt;0, "Down", "Up")</f>
        <v>Down</v>
      </c>
      <c r="D201" s="7" t="str">
        <f>IF(AC201&lt;0.05, "Sig", "N")</f>
        <v>Sig</v>
      </c>
      <c r="E201" s="1" t="str">
        <f>IF(AND(H201&gt;2,J201&gt;2,L201&gt;2,N201&gt;2),"Y","N")</f>
        <v>Y</v>
      </c>
      <c r="F201" s="1" t="str">
        <f>IF(AND(P201&gt;2,R201&gt;2,T201&gt;2,V201&gt;2),"Y","N")</f>
        <v>N</v>
      </c>
      <c r="G201" s="1" t="str">
        <f>IF(OR(E201="Y", F201="Y"), "Expressed", "N")</f>
        <v>Expressed</v>
      </c>
      <c r="H201" s="8">
        <v>13.634876291557349</v>
      </c>
      <c r="I201" s="8">
        <v>586</v>
      </c>
      <c r="J201" s="8">
        <v>10.180124093670861</v>
      </c>
      <c r="K201" s="8">
        <v>980</v>
      </c>
      <c r="L201" s="8">
        <v>14.80165557535107</v>
      </c>
      <c r="M201" s="8">
        <v>1105</v>
      </c>
      <c r="N201" s="8">
        <v>10.892536451505499</v>
      </c>
      <c r="O201" s="8">
        <v>484</v>
      </c>
      <c r="P201" s="9">
        <v>5.2910361991106907</v>
      </c>
      <c r="Q201" s="9">
        <v>553</v>
      </c>
      <c r="R201" s="9">
        <v>13.00807929236165</v>
      </c>
      <c r="S201" s="9">
        <v>418</v>
      </c>
      <c r="T201" s="9">
        <v>16.642858806306901</v>
      </c>
      <c r="U201" s="9">
        <v>154</v>
      </c>
      <c r="V201" s="9">
        <v>1.587578884413398</v>
      </c>
      <c r="W201" s="9">
        <v>742</v>
      </c>
      <c r="X201">
        <v>569.65960775911287</v>
      </c>
      <c r="Y201">
        <v>-0.67045799068192991</v>
      </c>
      <c r="Z201">
        <v>0.19987239186060249</v>
      </c>
      <c r="AA201">
        <v>-3.3544302164029189</v>
      </c>
      <c r="AB201">
        <v>7.9528609785212004E-4</v>
      </c>
      <c r="AC201">
        <v>2.6370482363842668E-2</v>
      </c>
      <c r="AD201" t="s">
        <v>2094</v>
      </c>
      <c r="AE201" t="s">
        <v>2095</v>
      </c>
      <c r="AF201" t="s">
        <v>43</v>
      </c>
      <c r="AG201" t="s">
        <v>2096</v>
      </c>
      <c r="AH201" t="s">
        <v>43</v>
      </c>
      <c r="AI201" t="s">
        <v>43</v>
      </c>
      <c r="AJ201" t="s">
        <v>43</v>
      </c>
      <c r="AK201" t="s">
        <v>43</v>
      </c>
      <c r="AL201" t="s">
        <v>43</v>
      </c>
      <c r="AM201" t="s">
        <v>2097</v>
      </c>
      <c r="AN201" t="s">
        <v>43</v>
      </c>
    </row>
    <row r="202" spans="1:40" x14ac:dyDescent="0.3">
      <c r="A202" t="s">
        <v>2098</v>
      </c>
      <c r="B202">
        <v>1557</v>
      </c>
      <c r="C202" t="str">
        <f>IF(Y202&lt;0, "Down", "Up")</f>
        <v>Down</v>
      </c>
      <c r="D202" s="7" t="str">
        <f>IF(AC202&lt;0.05, "Sig", "N")</f>
        <v>Sig</v>
      </c>
      <c r="E202" s="1" t="str">
        <f>IF(AND(H202&gt;2,J202&gt;2,L202&gt;2,N202&gt;2),"Y","N")</f>
        <v>Y</v>
      </c>
      <c r="F202" s="1" t="str">
        <f>IF(AND(P202&gt;2,R202&gt;2,T202&gt;2,V202&gt;2),"Y","N")</f>
        <v>N</v>
      </c>
      <c r="G202" s="1" t="str">
        <f>IF(OR(E202="Y", F202="Y"), "Expressed", "N")</f>
        <v>Expressed</v>
      </c>
      <c r="H202" s="8">
        <v>14.11825281695592</v>
      </c>
      <c r="I202" s="8">
        <v>978</v>
      </c>
      <c r="J202" s="8">
        <v>10.16359154972573</v>
      </c>
      <c r="K202" s="8">
        <v>1577</v>
      </c>
      <c r="L202" s="8">
        <v>20.718523799668301</v>
      </c>
      <c r="M202" s="8">
        <v>2493</v>
      </c>
      <c r="N202" s="8">
        <v>13.446165775336929</v>
      </c>
      <c r="O202" s="8">
        <v>963</v>
      </c>
      <c r="P202" s="9">
        <v>6.5314585058577279</v>
      </c>
      <c r="Q202" s="9">
        <v>1057</v>
      </c>
      <c r="R202" s="9">
        <v>15.425936717475381</v>
      </c>
      <c r="S202" s="9">
        <v>288</v>
      </c>
      <c r="T202" s="9">
        <v>7.1143077608839072</v>
      </c>
      <c r="U202" s="9">
        <v>224</v>
      </c>
      <c r="V202" s="9">
        <v>1.4326863570674071</v>
      </c>
      <c r="W202" s="9">
        <v>987</v>
      </c>
      <c r="X202">
        <v>932.5855101149989</v>
      </c>
      <c r="Y202">
        <v>-1.2583034527013459</v>
      </c>
      <c r="Z202">
        <v>0.1925879915293511</v>
      </c>
      <c r="AA202">
        <v>-6.5336547866203603</v>
      </c>
      <c r="AB202">
        <v>6.418379331459314E-11</v>
      </c>
      <c r="AC202">
        <v>1.3794847650396469E-7</v>
      </c>
      <c r="AD202" t="s">
        <v>2099</v>
      </c>
      <c r="AE202" t="s">
        <v>2100</v>
      </c>
      <c r="AF202" t="s">
        <v>2101</v>
      </c>
      <c r="AG202" t="s">
        <v>2102</v>
      </c>
      <c r="AH202" t="s">
        <v>43</v>
      </c>
      <c r="AI202" t="s">
        <v>43</v>
      </c>
      <c r="AJ202" t="s">
        <v>43</v>
      </c>
      <c r="AK202" t="s">
        <v>43</v>
      </c>
      <c r="AL202" t="s">
        <v>43</v>
      </c>
      <c r="AM202" t="s">
        <v>362</v>
      </c>
      <c r="AN202" t="s">
        <v>43</v>
      </c>
    </row>
    <row r="203" spans="1:40" x14ac:dyDescent="0.3">
      <c r="A203" t="s">
        <v>2103</v>
      </c>
      <c r="B203">
        <v>1280</v>
      </c>
      <c r="C203" t="str">
        <f>IF(Y203&lt;0, "Down", "Up")</f>
        <v>Down</v>
      </c>
      <c r="D203" s="7" t="str">
        <f>IF(AC203&lt;0.05, "Sig", "N")</f>
        <v>Sig</v>
      </c>
      <c r="E203" s="1" t="str">
        <f>IF(AND(H203&gt;2,J203&gt;2,L203&gt;2,N203&gt;2),"Y","N")</f>
        <v>Y</v>
      </c>
      <c r="F203" s="1" t="str">
        <f>IF(AND(P203&gt;2,R203&gt;2,T203&gt;2,V203&gt;2),"Y","N")</f>
        <v>N</v>
      </c>
      <c r="G203" s="1" t="str">
        <f>IF(OR(E203="Y", F203="Y"), "Expressed", "N")</f>
        <v>Expressed</v>
      </c>
      <c r="H203" s="8">
        <v>21.019137592897209</v>
      </c>
      <c r="I203" s="8">
        <v>1197</v>
      </c>
      <c r="J203" s="8">
        <v>10.15228781685223</v>
      </c>
      <c r="K203" s="8">
        <v>1295</v>
      </c>
      <c r="L203" s="8">
        <v>30.16574057465694</v>
      </c>
      <c r="M203" s="8">
        <v>2984</v>
      </c>
      <c r="N203" s="8">
        <v>53.229184085891681</v>
      </c>
      <c r="O203" s="8">
        <v>3134</v>
      </c>
      <c r="P203" s="9">
        <v>25.8560107741162</v>
      </c>
      <c r="Q203" s="9">
        <v>656</v>
      </c>
      <c r="R203" s="9">
        <v>11.64552415129465</v>
      </c>
      <c r="S203" s="9">
        <v>51</v>
      </c>
      <c r="T203" s="9">
        <v>1.532459408551726</v>
      </c>
      <c r="U203" s="9">
        <v>153</v>
      </c>
      <c r="V203" s="9">
        <v>1.1903459007636541</v>
      </c>
      <c r="W203" s="9">
        <v>372</v>
      </c>
      <c r="X203">
        <v>1214.859038287653</v>
      </c>
      <c r="Y203">
        <v>-3.0238106743479038</v>
      </c>
      <c r="Z203">
        <v>0.66646760577418984</v>
      </c>
      <c r="AA203">
        <v>-4.5370707415484208</v>
      </c>
      <c r="AB203">
        <v>5.7040976988365273E-6</v>
      </c>
      <c r="AC203">
        <v>8.1731077452056467E-4</v>
      </c>
      <c r="AD203" t="s">
        <v>2104</v>
      </c>
      <c r="AE203" t="s">
        <v>2105</v>
      </c>
      <c r="AF203" t="s">
        <v>2106</v>
      </c>
      <c r="AG203" t="s">
        <v>43</v>
      </c>
      <c r="AH203" t="s">
        <v>43</v>
      </c>
      <c r="AI203" t="s">
        <v>43</v>
      </c>
      <c r="AJ203" t="s">
        <v>43</v>
      </c>
      <c r="AK203" t="s">
        <v>43</v>
      </c>
      <c r="AL203" t="s">
        <v>43</v>
      </c>
      <c r="AM203" t="s">
        <v>43</v>
      </c>
      <c r="AN203" t="s">
        <v>43</v>
      </c>
    </row>
    <row r="204" spans="1:40" x14ac:dyDescent="0.3">
      <c r="A204" t="s">
        <v>2107</v>
      </c>
      <c r="B204">
        <v>1389</v>
      </c>
      <c r="C204" t="str">
        <f>IF(Y204&lt;0, "Down", "Up")</f>
        <v>Down</v>
      </c>
      <c r="D204" s="7" t="str">
        <f>IF(AC204&lt;0.05, "Sig", "N")</f>
        <v>Sig</v>
      </c>
      <c r="E204" s="1" t="str">
        <f>IF(AND(H204&gt;2,J204&gt;2,L204&gt;2,N204&gt;2),"Y","N")</f>
        <v>Y</v>
      </c>
      <c r="F204" s="1" t="str">
        <f>IF(AND(P204&gt;2,R204&gt;2,T204&gt;2,V204&gt;2),"Y","N")</f>
        <v>Y</v>
      </c>
      <c r="G204" s="1" t="str">
        <f>IF(OR(E204="Y", F204="Y"), "Expressed", "N")</f>
        <v>Expressed</v>
      </c>
      <c r="H204" s="8">
        <v>17.13659081103529</v>
      </c>
      <c r="I204" s="8">
        <v>1059</v>
      </c>
      <c r="J204" s="8">
        <v>10.092488961855549</v>
      </c>
      <c r="K204" s="8">
        <v>1397</v>
      </c>
      <c r="L204" s="8">
        <v>19.265195979406339</v>
      </c>
      <c r="M204" s="8">
        <v>2068</v>
      </c>
      <c r="N204" s="8">
        <v>12.34910673204123</v>
      </c>
      <c r="O204" s="8">
        <v>789</v>
      </c>
      <c r="P204" s="9">
        <v>5.9985634233871084</v>
      </c>
      <c r="Q204" s="9">
        <v>1357</v>
      </c>
      <c r="R204" s="9">
        <v>22.199478513486579</v>
      </c>
      <c r="S204" s="9">
        <v>481</v>
      </c>
      <c r="T204" s="9">
        <v>13.318999543431261</v>
      </c>
      <c r="U204" s="9">
        <v>318</v>
      </c>
      <c r="V204" s="9">
        <v>2.27990417447469</v>
      </c>
      <c r="W204" s="9">
        <v>1426</v>
      </c>
      <c r="X204">
        <v>986.69080147601858</v>
      </c>
      <c r="Y204">
        <v>-0.59117777572500263</v>
      </c>
      <c r="Z204">
        <v>0.17678900365856859</v>
      </c>
      <c r="AA204">
        <v>-3.3439736832656202</v>
      </c>
      <c r="AB204">
        <v>8.2587571327758327E-4</v>
      </c>
      <c r="AC204">
        <v>2.7080934276433599E-2</v>
      </c>
      <c r="AD204" t="s">
        <v>2108</v>
      </c>
      <c r="AE204" t="s">
        <v>2109</v>
      </c>
      <c r="AF204" t="s">
        <v>2110</v>
      </c>
      <c r="AG204" t="s">
        <v>2111</v>
      </c>
      <c r="AH204" t="s">
        <v>43</v>
      </c>
      <c r="AI204" t="s">
        <v>43</v>
      </c>
      <c r="AJ204" t="s">
        <v>43</v>
      </c>
      <c r="AK204" t="s">
        <v>43</v>
      </c>
      <c r="AL204" t="s">
        <v>43</v>
      </c>
      <c r="AM204" t="s">
        <v>864</v>
      </c>
      <c r="AN204" t="s">
        <v>43</v>
      </c>
    </row>
    <row r="205" spans="1:40" x14ac:dyDescent="0.3">
      <c r="A205" t="s">
        <v>2118</v>
      </c>
      <c r="B205">
        <v>2053</v>
      </c>
      <c r="C205" t="str">
        <f>IF(Y205&lt;0, "Down", "Up")</f>
        <v>Down</v>
      </c>
      <c r="D205" s="7" t="str">
        <f>IF(AC205&lt;0.05, "Sig", "N")</f>
        <v>Sig</v>
      </c>
      <c r="E205" s="1" t="str">
        <f>IF(AND(H205&gt;2,J205&gt;2,L205&gt;2,N205&gt;2),"Y","N")</f>
        <v>Y</v>
      </c>
      <c r="F205" s="1" t="str">
        <f>IF(AND(P205&gt;2,R205&gt;2,T205&gt;2,V205&gt;2),"Y","N")</f>
        <v>N</v>
      </c>
      <c r="G205" s="1" t="str">
        <f>IF(OR(E205="Y", F205="Y"), "Expressed", "N")</f>
        <v>Expressed</v>
      </c>
      <c r="H205" s="8">
        <v>10.35697431941901</v>
      </c>
      <c r="I205" s="8">
        <v>946</v>
      </c>
      <c r="J205" s="8">
        <v>10.039581569129471</v>
      </c>
      <c r="K205" s="8">
        <v>2054</v>
      </c>
      <c r="L205" s="8">
        <v>13.494377666443119</v>
      </c>
      <c r="M205" s="8">
        <v>2141</v>
      </c>
      <c r="N205" s="8">
        <v>8.0055953194766989</v>
      </c>
      <c r="O205" s="8">
        <v>756</v>
      </c>
      <c r="P205" s="9">
        <v>3.888708091027584</v>
      </c>
      <c r="Q205" s="9">
        <v>1382</v>
      </c>
      <c r="R205" s="9">
        <v>15.296225038517539</v>
      </c>
      <c r="S205" s="9">
        <v>572</v>
      </c>
      <c r="T205" s="9">
        <v>10.716077672705</v>
      </c>
      <c r="U205" s="9">
        <v>340</v>
      </c>
      <c r="V205" s="9">
        <v>1.6492317508009711</v>
      </c>
      <c r="W205" s="9">
        <v>1428</v>
      </c>
      <c r="X205">
        <v>1045.357425558788</v>
      </c>
      <c r="Y205">
        <v>-0.58444509319705917</v>
      </c>
      <c r="Z205">
        <v>0.1313480246005852</v>
      </c>
      <c r="AA205">
        <v>-4.4495917999093786</v>
      </c>
      <c r="AB205">
        <v>8.6033650786728426E-6</v>
      </c>
      <c r="AC205">
        <v>1.111479547486248E-3</v>
      </c>
      <c r="AD205" t="s">
        <v>2119</v>
      </c>
      <c r="AE205" t="s">
        <v>2120</v>
      </c>
      <c r="AF205" t="s">
        <v>2121</v>
      </c>
      <c r="AG205" t="s">
        <v>897</v>
      </c>
      <c r="AH205" t="s">
        <v>43</v>
      </c>
      <c r="AI205" t="s">
        <v>43</v>
      </c>
      <c r="AJ205" t="s">
        <v>43</v>
      </c>
      <c r="AK205" t="s">
        <v>43</v>
      </c>
      <c r="AL205" t="s">
        <v>43</v>
      </c>
      <c r="AM205" t="s">
        <v>898</v>
      </c>
      <c r="AN205" t="s">
        <v>43</v>
      </c>
    </row>
    <row r="206" spans="1:40" x14ac:dyDescent="0.3">
      <c r="A206" s="13" t="s">
        <v>2128</v>
      </c>
      <c r="B206" s="13">
        <v>1736</v>
      </c>
      <c r="C206" s="13" t="str">
        <f>IF(Y206&lt;0, "Down", "Up")</f>
        <v>Down</v>
      </c>
      <c r="D206" s="14" t="str">
        <f>IF(AC206&lt;0.05, "Sig", "N")</f>
        <v>Sig</v>
      </c>
      <c r="E206" s="15" t="str">
        <f>IF(AND(H206&gt;2,J206&gt;2,L206&gt;2,N206&gt;2),"Y","N")</f>
        <v>Y</v>
      </c>
      <c r="F206" s="15" t="str">
        <f>IF(AND(P206&gt;2,R206&gt;2,T206&gt;2,V206&gt;2),"Y","N")</f>
        <v>Y</v>
      </c>
      <c r="G206" s="15" t="str">
        <f>IF(OR(E206="Y", F206="Y"), "Expressed", "N")</f>
        <v>Expressed</v>
      </c>
      <c r="H206" s="13">
        <v>12.299985424853899</v>
      </c>
      <c r="I206" s="13">
        <v>950</v>
      </c>
      <c r="J206" s="13">
        <v>9.9422080927983671</v>
      </c>
      <c r="K206" s="13">
        <v>1720</v>
      </c>
      <c r="L206" s="13">
        <v>13.692557649558269</v>
      </c>
      <c r="M206" s="13">
        <v>1837</v>
      </c>
      <c r="N206" s="13">
        <v>11.972062024911841</v>
      </c>
      <c r="O206" s="13">
        <v>956</v>
      </c>
      <c r="P206" s="13">
        <v>5.8154144201235942</v>
      </c>
      <c r="Q206" s="13">
        <v>1505</v>
      </c>
      <c r="R206" s="13">
        <v>19.699352419577892</v>
      </c>
      <c r="S206" s="13">
        <v>640</v>
      </c>
      <c r="T206" s="13">
        <v>14.17943827918106</v>
      </c>
      <c r="U206" s="13">
        <v>395</v>
      </c>
      <c r="V206" s="13">
        <v>2.2658914167724742</v>
      </c>
      <c r="W206" s="13">
        <v>1630</v>
      </c>
      <c r="X206" s="13">
        <v>1081.742555004397</v>
      </c>
      <c r="Y206" s="13">
        <v>-0.36948019655298159</v>
      </c>
      <c r="Z206" s="13">
        <v>0.1092006336691493</v>
      </c>
      <c r="AA206" s="13">
        <v>-3.3834986495812331</v>
      </c>
      <c r="AB206" s="13">
        <v>7.1568559458068577E-4</v>
      </c>
      <c r="AC206" s="13">
        <v>2.4745547299387209E-2</v>
      </c>
      <c r="AD206" s="13" t="s">
        <v>2129</v>
      </c>
      <c r="AE206" s="13" t="s">
        <v>2130</v>
      </c>
      <c r="AF206" s="13" t="s">
        <v>43</v>
      </c>
      <c r="AG206" s="13" t="s">
        <v>2131</v>
      </c>
      <c r="AH206" s="13" t="s">
        <v>43</v>
      </c>
      <c r="AI206" s="13" t="s">
        <v>43</v>
      </c>
      <c r="AJ206" s="13" t="s">
        <v>43</v>
      </c>
      <c r="AK206" s="13" t="s">
        <v>43</v>
      </c>
      <c r="AL206" s="13" t="s">
        <v>43</v>
      </c>
      <c r="AM206" s="13" t="s">
        <v>2132</v>
      </c>
      <c r="AN206" s="13" t="s">
        <v>43</v>
      </c>
    </row>
    <row r="207" spans="1:40" x14ac:dyDescent="0.3">
      <c r="A207" t="s">
        <v>2133</v>
      </c>
      <c r="B207">
        <v>1959</v>
      </c>
      <c r="C207" t="str">
        <f>IF(Y207&lt;0, "Down", "Up")</f>
        <v>Down</v>
      </c>
      <c r="D207" s="7" t="str">
        <f>IF(AC207&lt;0.05, "Sig", "N")</f>
        <v>Sig</v>
      </c>
      <c r="E207" s="1" t="str">
        <f>IF(AND(H207&gt;2,J207&gt;2,L207&gt;2,N207&gt;2),"Y","N")</f>
        <v>Y</v>
      </c>
      <c r="F207" s="1" t="str">
        <f>IF(AND(P207&gt;2,R207&gt;2,T207&gt;2,V207&gt;2),"Y","N")</f>
        <v>Y</v>
      </c>
      <c r="G207" s="1" t="str">
        <f>IF(OR(E207="Y", F207="Y"), "Expressed", "N")</f>
        <v>Expressed</v>
      </c>
      <c r="H207" s="8">
        <v>15.69576088027911</v>
      </c>
      <c r="I207" s="8">
        <v>1368</v>
      </c>
      <c r="J207" s="8">
        <v>9.8861454499682662</v>
      </c>
      <c r="K207" s="8">
        <v>1930</v>
      </c>
      <c r="L207" s="8">
        <v>27.041983594003181</v>
      </c>
      <c r="M207" s="8">
        <v>4094</v>
      </c>
      <c r="N207" s="8">
        <v>17.412025492503471</v>
      </c>
      <c r="O207" s="8">
        <v>1569</v>
      </c>
      <c r="P207" s="9">
        <v>8.4578699911479926</v>
      </c>
      <c r="Q207" s="9">
        <v>2146</v>
      </c>
      <c r="R207" s="9">
        <v>24.892037827839811</v>
      </c>
      <c r="S207" s="9">
        <v>887</v>
      </c>
      <c r="T207" s="9">
        <v>17.414778589449281</v>
      </c>
      <c r="U207" s="9">
        <v>452</v>
      </c>
      <c r="V207" s="9">
        <v>2.297712666345773</v>
      </c>
      <c r="W207" s="9">
        <v>1640</v>
      </c>
      <c r="X207">
        <v>1570.01958406825</v>
      </c>
      <c r="Y207">
        <v>-0.75470939499668599</v>
      </c>
      <c r="Z207">
        <v>0.22412321759711101</v>
      </c>
      <c r="AA207">
        <v>-3.3673860436600038</v>
      </c>
      <c r="AB207">
        <v>7.5884380941181756E-4</v>
      </c>
      <c r="AC207">
        <v>2.5629407631591699E-2</v>
      </c>
      <c r="AD207" t="s">
        <v>2134</v>
      </c>
      <c r="AE207" t="s">
        <v>2135</v>
      </c>
      <c r="AF207" t="s">
        <v>2136</v>
      </c>
      <c r="AG207" t="s">
        <v>2137</v>
      </c>
      <c r="AH207" t="s">
        <v>43</v>
      </c>
      <c r="AI207" t="s">
        <v>43</v>
      </c>
      <c r="AJ207" t="s">
        <v>43</v>
      </c>
      <c r="AK207" t="s">
        <v>43</v>
      </c>
      <c r="AL207" t="s">
        <v>43</v>
      </c>
      <c r="AM207" t="s">
        <v>2138</v>
      </c>
      <c r="AN207" t="s">
        <v>43</v>
      </c>
    </row>
    <row r="208" spans="1:40" x14ac:dyDescent="0.3">
      <c r="A208" t="s">
        <v>2139</v>
      </c>
      <c r="B208">
        <v>2772</v>
      </c>
      <c r="C208" t="str">
        <f>IF(Y208&lt;0, "Down", "Up")</f>
        <v>Down</v>
      </c>
      <c r="D208" s="7" t="str">
        <f>IF(AC208&lt;0.05, "Sig", "N")</f>
        <v>Sig</v>
      </c>
      <c r="E208" s="1" t="str">
        <f>IF(AND(H208&gt;2,J208&gt;2,L208&gt;2,N208&gt;2),"Y","N")</f>
        <v>Y</v>
      </c>
      <c r="F208" s="1" t="str">
        <f>IF(AND(P208&gt;2,R208&gt;2,T208&gt;2,V208&gt;2),"Y","N")</f>
        <v>N</v>
      </c>
      <c r="G208" s="1" t="str">
        <f>IF(OR(E208="Y", F208="Y"), "Expressed", "N")</f>
        <v>Expressed</v>
      </c>
      <c r="H208" s="8">
        <v>21.25223000010217</v>
      </c>
      <c r="I208" s="8">
        <v>2621</v>
      </c>
      <c r="J208" s="8">
        <v>9.8790329156994261</v>
      </c>
      <c r="K208" s="8">
        <v>2729</v>
      </c>
      <c r="L208" s="8">
        <v>30.533463180070491</v>
      </c>
      <c r="M208" s="8">
        <v>6541</v>
      </c>
      <c r="N208" s="8">
        <v>18.195146038452709</v>
      </c>
      <c r="O208" s="8">
        <v>2320</v>
      </c>
      <c r="P208" s="9">
        <v>8.8382698342269741</v>
      </c>
      <c r="Q208" s="9">
        <v>2539</v>
      </c>
      <c r="R208" s="9">
        <v>20.812998148831252</v>
      </c>
      <c r="S208" s="9">
        <v>364</v>
      </c>
      <c r="T208" s="9">
        <v>5.0505297204002231</v>
      </c>
      <c r="U208" s="9">
        <v>454</v>
      </c>
      <c r="V208" s="9">
        <v>1.6310014473676411</v>
      </c>
      <c r="W208" s="9">
        <v>1655</v>
      </c>
      <c r="X208">
        <v>2110.345679652185</v>
      </c>
      <c r="Y208">
        <v>-1.6069771120622141</v>
      </c>
      <c r="Z208">
        <v>0.31333559608510553</v>
      </c>
      <c r="AA208">
        <v>-5.1286133211170206</v>
      </c>
      <c r="AB208">
        <v>2.9188417742154829E-7</v>
      </c>
      <c r="AC208">
        <v>1.0187326614114569E-4</v>
      </c>
      <c r="AD208" t="s">
        <v>2140</v>
      </c>
      <c r="AE208" t="s">
        <v>2141</v>
      </c>
      <c r="AF208" t="s">
        <v>1973</v>
      </c>
      <c r="AG208" t="s">
        <v>1079</v>
      </c>
      <c r="AH208" t="s">
        <v>1080</v>
      </c>
      <c r="AJ208" t="s">
        <v>1081</v>
      </c>
      <c r="AK208" t="s">
        <v>1082</v>
      </c>
      <c r="AL208" t="s">
        <v>1083</v>
      </c>
      <c r="AM208" t="s">
        <v>1084</v>
      </c>
      <c r="AN208" t="s">
        <v>43</v>
      </c>
    </row>
    <row r="209" spans="1:40" x14ac:dyDescent="0.3">
      <c r="A209" s="13" t="s">
        <v>2142</v>
      </c>
      <c r="B209" s="13">
        <v>2153</v>
      </c>
      <c r="C209" s="13" t="str">
        <f>IF(Y209&lt;0, "Down", "Up")</f>
        <v>Down</v>
      </c>
      <c r="D209" s="14" t="str">
        <f>IF(AC209&lt;0.05, "Sig", "N")</f>
        <v>Sig</v>
      </c>
      <c r="E209" s="15" t="str">
        <f>IF(AND(H209&gt;2,J209&gt;2,L209&gt;2,N209&gt;2),"Y","N")</f>
        <v>Y</v>
      </c>
      <c r="F209" s="15" t="str">
        <f>IF(AND(P209&gt;2,R209&gt;2,T209&gt;2,V209&gt;2),"Y","N")</f>
        <v>Y</v>
      </c>
      <c r="G209" s="15" t="str">
        <f>IF(OR(E209="Y", F209="Y"), "Expressed", "N")</f>
        <v>Expressed</v>
      </c>
      <c r="H209" s="13">
        <v>21.12988778831685</v>
      </c>
      <c r="I209" s="13">
        <v>2024</v>
      </c>
      <c r="J209" s="13">
        <v>9.8249579302807639</v>
      </c>
      <c r="K209" s="13">
        <v>2108</v>
      </c>
      <c r="L209" s="13">
        <v>27.039403457562241</v>
      </c>
      <c r="M209" s="13">
        <v>4499</v>
      </c>
      <c r="N209" s="13">
        <v>13.85386235147163</v>
      </c>
      <c r="O209" s="13">
        <v>1372</v>
      </c>
      <c r="P209" s="13">
        <v>6.7294966168327042</v>
      </c>
      <c r="Q209" s="13">
        <v>2549</v>
      </c>
      <c r="R209" s="13">
        <v>26.902396938271099</v>
      </c>
      <c r="S209" s="13">
        <v>522</v>
      </c>
      <c r="T209" s="13">
        <v>9.3251375501390807</v>
      </c>
      <c r="U209" s="13">
        <v>479</v>
      </c>
      <c r="V209" s="13">
        <v>2.2155584051322559</v>
      </c>
      <c r="W209" s="13">
        <v>1929</v>
      </c>
      <c r="X209" s="13">
        <v>1689.5553419676601</v>
      </c>
      <c r="Y209" s="13">
        <v>-0.94000557761115033</v>
      </c>
      <c r="Z209" s="13">
        <v>0.27024753890239228</v>
      </c>
      <c r="AA209" s="13">
        <v>-3.4783131843826358</v>
      </c>
      <c r="AB209" s="13">
        <v>5.0458001522730143E-4</v>
      </c>
      <c r="AC209" s="13">
        <v>1.941225397137435E-2</v>
      </c>
      <c r="AD209" s="13" t="s">
        <v>2143</v>
      </c>
      <c r="AE209" s="13" t="s">
        <v>2144</v>
      </c>
      <c r="AF209" s="13" t="s">
        <v>2145</v>
      </c>
      <c r="AG209" s="13" t="s">
        <v>2146</v>
      </c>
      <c r="AH209" s="13" t="s">
        <v>43</v>
      </c>
      <c r="AI209" s="13" t="s">
        <v>43</v>
      </c>
      <c r="AJ209" s="13" t="s">
        <v>43</v>
      </c>
      <c r="AK209" s="13" t="s">
        <v>43</v>
      </c>
      <c r="AL209" s="13" t="s">
        <v>43</v>
      </c>
      <c r="AM209" s="13" t="s">
        <v>2147</v>
      </c>
      <c r="AN209" s="13" t="s">
        <v>43</v>
      </c>
    </row>
    <row r="210" spans="1:40" x14ac:dyDescent="0.3">
      <c r="A210" t="s">
        <v>2148</v>
      </c>
      <c r="B210">
        <v>2777</v>
      </c>
      <c r="C210" t="str">
        <f>IF(Y210&lt;0, "Down", "Up")</f>
        <v>Down</v>
      </c>
      <c r="D210" s="7" t="str">
        <f>IF(AC210&lt;0.05, "Sig", "N")</f>
        <v>Sig</v>
      </c>
      <c r="E210" s="1" t="str">
        <f>IF(AND(H210&gt;2,J210&gt;2,L210&gt;2,N210&gt;2),"Y","N")</f>
        <v>Y</v>
      </c>
      <c r="F210" s="1" t="str">
        <f>IF(AND(P210&gt;2,R210&gt;2,T210&gt;2,V210&gt;2),"Y","N")</f>
        <v>Y</v>
      </c>
      <c r="G210" s="1" t="str">
        <f>IF(OR(E210="Y", F210="Y"), "Expressed", "N")</f>
        <v>Expressed</v>
      </c>
      <c r="H210" s="8">
        <v>10.740531062920621</v>
      </c>
      <c r="I210" s="8">
        <v>1327</v>
      </c>
      <c r="J210" s="8">
        <v>9.7636811347075874</v>
      </c>
      <c r="K210" s="8">
        <v>2702</v>
      </c>
      <c r="L210" s="8">
        <v>12.953706680601581</v>
      </c>
      <c r="M210" s="8">
        <v>2780</v>
      </c>
      <c r="N210" s="8">
        <v>9.4569662965582175</v>
      </c>
      <c r="O210" s="8">
        <v>1208</v>
      </c>
      <c r="P210" s="9">
        <v>4.5937097600388066</v>
      </c>
      <c r="Q210" s="9">
        <v>2296</v>
      </c>
      <c r="R210" s="9">
        <v>18.787161756499831</v>
      </c>
      <c r="S210" s="9">
        <v>975</v>
      </c>
      <c r="T210" s="9">
        <v>13.503847019795341</v>
      </c>
      <c r="U210" s="9">
        <v>580</v>
      </c>
      <c r="V210" s="9">
        <v>2.0799066014411949</v>
      </c>
      <c r="W210" s="9">
        <v>2471</v>
      </c>
      <c r="X210">
        <v>1583.3656765953431</v>
      </c>
      <c r="Y210">
        <v>-0.29323543054302142</v>
      </c>
      <c r="Z210">
        <v>9.5956373971277542E-2</v>
      </c>
      <c r="AA210">
        <v>-3.055924462410335</v>
      </c>
      <c r="AB210">
        <v>2.2436777378213781E-3</v>
      </c>
      <c r="AC210">
        <v>4.9252580387718681E-2</v>
      </c>
      <c r="AD210" t="s">
        <v>2149</v>
      </c>
      <c r="AE210" t="s">
        <v>2150</v>
      </c>
      <c r="AF210" t="s">
        <v>2151</v>
      </c>
      <c r="AG210" t="s">
        <v>2152</v>
      </c>
      <c r="AH210" t="s">
        <v>43</v>
      </c>
      <c r="AI210" t="s">
        <v>43</v>
      </c>
      <c r="AJ210" t="s">
        <v>43</v>
      </c>
      <c r="AK210" t="s">
        <v>43</v>
      </c>
      <c r="AL210" t="s">
        <v>43</v>
      </c>
      <c r="AM210" t="s">
        <v>2153</v>
      </c>
      <c r="AN210" t="s">
        <v>43</v>
      </c>
    </row>
    <row r="211" spans="1:40" x14ac:dyDescent="0.3">
      <c r="A211" t="s">
        <v>2170</v>
      </c>
      <c r="B211">
        <v>3574</v>
      </c>
      <c r="C211" t="str">
        <f>IF(Y211&lt;0, "Down", "Up")</f>
        <v>Down</v>
      </c>
      <c r="D211" s="7" t="str">
        <f>IF(AC211&lt;0.05, "Sig", "N")</f>
        <v>Sig</v>
      </c>
      <c r="E211" s="1" t="str">
        <f>IF(AND(H211&gt;2,J211&gt;2,L211&gt;2,N211&gt;2),"Y","N")</f>
        <v>Y</v>
      </c>
      <c r="F211" s="1" t="str">
        <f>IF(AND(P211&gt;2,R211&gt;2,T211&gt;2,V211&gt;2),"Y","N")</f>
        <v>Y</v>
      </c>
      <c r="G211" s="1" t="str">
        <f>IF(OR(E211="Y", F211="Y"), "Expressed", "N")</f>
        <v>Expressed</v>
      </c>
      <c r="H211" s="8">
        <v>15.11227803086736</v>
      </c>
      <c r="I211" s="8">
        <v>2403</v>
      </c>
      <c r="J211" s="8">
        <v>9.5377321396106556</v>
      </c>
      <c r="K211" s="8">
        <v>3397</v>
      </c>
      <c r="L211" s="8">
        <v>27.885222154764779</v>
      </c>
      <c r="M211" s="8">
        <v>7702</v>
      </c>
      <c r="N211" s="8">
        <v>13.625556750096919</v>
      </c>
      <c r="O211" s="8">
        <v>2240</v>
      </c>
      <c r="P211" s="9">
        <v>6.6185974514536099</v>
      </c>
      <c r="Q211" s="9">
        <v>3977</v>
      </c>
      <c r="R211" s="9">
        <v>25.2851895394646</v>
      </c>
      <c r="S211" s="9">
        <v>1102</v>
      </c>
      <c r="T211" s="9">
        <v>11.859211644703709</v>
      </c>
      <c r="U211" s="9">
        <v>889</v>
      </c>
      <c r="V211" s="9">
        <v>2.4770737230707192</v>
      </c>
      <c r="W211" s="9">
        <v>2747</v>
      </c>
      <c r="X211">
        <v>2662.7758950565481</v>
      </c>
      <c r="Y211">
        <v>-0.78799579779493822</v>
      </c>
      <c r="Z211">
        <v>0.24405043332866311</v>
      </c>
      <c r="AA211">
        <v>-3.2288235962021141</v>
      </c>
      <c r="AB211">
        <v>1.2430054244130539E-3</v>
      </c>
      <c r="AC211">
        <v>3.5321074812468052E-2</v>
      </c>
      <c r="AD211" t="s">
        <v>2171</v>
      </c>
      <c r="AE211" t="s">
        <v>2172</v>
      </c>
      <c r="AF211" t="s">
        <v>2173</v>
      </c>
      <c r="AG211" t="s">
        <v>2174</v>
      </c>
      <c r="AH211" t="s">
        <v>43</v>
      </c>
      <c r="AI211" t="s">
        <v>43</v>
      </c>
      <c r="AJ211" t="s">
        <v>43</v>
      </c>
      <c r="AK211" t="s">
        <v>43</v>
      </c>
      <c r="AL211" t="s">
        <v>43</v>
      </c>
      <c r="AM211" t="s">
        <v>2175</v>
      </c>
      <c r="AN211" t="s">
        <v>43</v>
      </c>
    </row>
    <row r="212" spans="1:40" x14ac:dyDescent="0.3">
      <c r="A212" t="s">
        <v>2188</v>
      </c>
      <c r="B212">
        <v>1670</v>
      </c>
      <c r="C212" t="str">
        <f>IF(Y212&lt;0, "Down", "Up")</f>
        <v>Down</v>
      </c>
      <c r="D212" s="7" t="str">
        <f>IF(AC212&lt;0.05, "Sig", "N")</f>
        <v>Sig</v>
      </c>
      <c r="E212" s="1" t="str">
        <f>IF(AND(H212&gt;2,J212&gt;2,L212&gt;2,N212&gt;2),"Y","N")</f>
        <v>Y</v>
      </c>
      <c r="F212" s="1" t="str">
        <f>IF(AND(P212&gt;2,R212&gt;2,T212&gt;2,V212&gt;2),"Y","N")</f>
        <v>N</v>
      </c>
      <c r="G212" s="1" t="str">
        <f>IF(OR(E212="Y", F212="Y"), "Expressed", "N")</f>
        <v>Expressed</v>
      </c>
      <c r="H212" s="8">
        <v>12.059304209896981</v>
      </c>
      <c r="I212" s="8">
        <v>896</v>
      </c>
      <c r="J212" s="8">
        <v>9.4518402801946468</v>
      </c>
      <c r="K212" s="8">
        <v>1573</v>
      </c>
      <c r="L212" s="8">
        <v>10.96390115121339</v>
      </c>
      <c r="M212" s="8">
        <v>1415</v>
      </c>
      <c r="N212" s="8">
        <v>8.1883229121654164</v>
      </c>
      <c r="O212" s="8">
        <v>629</v>
      </c>
      <c r="P212" s="9">
        <v>3.977467794683085</v>
      </c>
      <c r="Q212" s="9">
        <v>769</v>
      </c>
      <c r="R212" s="9">
        <v>10.463453275706829</v>
      </c>
      <c r="S212" s="9">
        <v>408</v>
      </c>
      <c r="T212" s="9">
        <v>9.3966373314788498</v>
      </c>
      <c r="U212" s="9">
        <v>242</v>
      </c>
      <c r="V212" s="9">
        <v>1.443080686550622</v>
      </c>
      <c r="W212" s="9">
        <v>1338</v>
      </c>
      <c r="X212">
        <v>804.56316088285632</v>
      </c>
      <c r="Y212">
        <v>-0.70986547626006558</v>
      </c>
      <c r="Z212">
        <v>0.18928027243377199</v>
      </c>
      <c r="AA212">
        <v>-3.750340524834372</v>
      </c>
      <c r="AB212">
        <v>1.7659458849080659E-4</v>
      </c>
      <c r="AC212">
        <v>9.9130795872126674E-3</v>
      </c>
      <c r="AD212" t="s">
        <v>2189</v>
      </c>
      <c r="AE212" t="s">
        <v>2190</v>
      </c>
      <c r="AF212" t="s">
        <v>2191</v>
      </c>
      <c r="AG212" t="s">
        <v>2192</v>
      </c>
      <c r="AH212" t="s">
        <v>43</v>
      </c>
      <c r="AI212" t="s">
        <v>43</v>
      </c>
      <c r="AJ212" t="s">
        <v>43</v>
      </c>
      <c r="AK212" t="s">
        <v>43</v>
      </c>
      <c r="AL212" t="s">
        <v>43</v>
      </c>
      <c r="AM212" t="s">
        <v>130</v>
      </c>
      <c r="AN212" t="s">
        <v>43</v>
      </c>
    </row>
    <row r="213" spans="1:40" x14ac:dyDescent="0.3">
      <c r="A213" t="s">
        <v>2193</v>
      </c>
      <c r="B213">
        <v>591</v>
      </c>
      <c r="C213" t="str">
        <f>IF(Y213&lt;0, "Down", "Up")</f>
        <v>Down</v>
      </c>
      <c r="D213" s="7" t="str">
        <f>IF(AC213&lt;0.05, "Sig", "N")</f>
        <v>Sig</v>
      </c>
      <c r="E213" s="1" t="str">
        <f>IF(AND(H213&gt;2,J213&gt;2,L213&gt;2,N213&gt;2),"Y","N")</f>
        <v>Y</v>
      </c>
      <c r="F213" s="1" t="str">
        <f>IF(AND(P213&gt;2,R213&gt;2,T213&gt;2,V213&gt;2),"Y","N")</f>
        <v>N</v>
      </c>
      <c r="G213" s="1" t="str">
        <f>IF(OR(E213="Y", F213="Y"), "Expressed", "N")</f>
        <v>Expressed</v>
      </c>
      <c r="H213" s="8">
        <v>31.68022321320889</v>
      </c>
      <c r="I213" s="8">
        <v>833</v>
      </c>
      <c r="J213" s="8">
        <v>9.4064641915557718</v>
      </c>
      <c r="K213" s="8">
        <v>554</v>
      </c>
      <c r="L213" s="8">
        <v>68.880514126823329</v>
      </c>
      <c r="M213" s="8">
        <v>3146</v>
      </c>
      <c r="N213" s="8">
        <v>14.566945379078421</v>
      </c>
      <c r="O213" s="8">
        <v>396</v>
      </c>
      <c r="P213" s="9">
        <v>7.0758758214226036</v>
      </c>
      <c r="Q213" s="9">
        <v>640</v>
      </c>
      <c r="R213" s="9">
        <v>24.60694302943692</v>
      </c>
      <c r="S213" s="9">
        <v>50</v>
      </c>
      <c r="T213" s="9">
        <v>3.2539531583992072</v>
      </c>
      <c r="U213" s="9">
        <v>69</v>
      </c>
      <c r="V213" s="9">
        <v>1.1626616010909381</v>
      </c>
      <c r="W213" s="9">
        <v>289</v>
      </c>
      <c r="X213">
        <v>609.83570615061046</v>
      </c>
      <c r="Y213">
        <v>-2.3293675246674401</v>
      </c>
      <c r="Z213">
        <v>0.71180904319521088</v>
      </c>
      <c r="AA213">
        <v>-3.27246126884148</v>
      </c>
      <c r="AB213">
        <v>1.0661547894106761E-3</v>
      </c>
      <c r="AC213">
        <v>3.2056201113151571E-2</v>
      </c>
      <c r="AD213" t="s">
        <v>2194</v>
      </c>
      <c r="AE213" t="s">
        <v>2195</v>
      </c>
      <c r="AF213" t="s">
        <v>2196</v>
      </c>
      <c r="AG213" t="s">
        <v>2197</v>
      </c>
      <c r="AH213" t="s">
        <v>43</v>
      </c>
      <c r="AI213" t="s">
        <v>43</v>
      </c>
      <c r="AJ213" t="s">
        <v>43</v>
      </c>
      <c r="AK213" t="s">
        <v>43</v>
      </c>
      <c r="AL213" t="s">
        <v>43</v>
      </c>
      <c r="AM213" t="s">
        <v>2198</v>
      </c>
      <c r="AN213" t="s">
        <v>43</v>
      </c>
    </row>
    <row r="214" spans="1:40" x14ac:dyDescent="0.3">
      <c r="A214" t="s">
        <v>2199</v>
      </c>
      <c r="B214">
        <v>1694</v>
      </c>
      <c r="C214" t="str">
        <f>IF(Y214&lt;0, "Down", "Up")</f>
        <v>Down</v>
      </c>
      <c r="D214" s="7" t="str">
        <f>IF(AC214&lt;0.05, "Sig", "N")</f>
        <v>Sig</v>
      </c>
      <c r="E214" s="1" t="str">
        <f>IF(AND(H214&gt;2,J214&gt;2,L214&gt;2,N214&gt;2),"Y","N")</f>
        <v>Y</v>
      </c>
      <c r="F214" s="1" t="str">
        <f>IF(AND(P214&gt;2,R214&gt;2,T214&gt;2,V214&gt;2),"Y","N")</f>
        <v>N</v>
      </c>
      <c r="G214" s="1" t="str">
        <f>IF(OR(E214="Y", F214="Y"), "Expressed", "N")</f>
        <v>Expressed</v>
      </c>
      <c r="H214" s="8">
        <v>8.4254097638364183</v>
      </c>
      <c r="I214" s="8">
        <v>635</v>
      </c>
      <c r="J214" s="8">
        <v>9.4008612635287587</v>
      </c>
      <c r="K214" s="8">
        <v>1587</v>
      </c>
      <c r="L214" s="8">
        <v>8.6010233594205605</v>
      </c>
      <c r="M214" s="8">
        <v>1126</v>
      </c>
      <c r="N214" s="8">
        <v>5.9034407993098927</v>
      </c>
      <c r="O214" s="8">
        <v>460</v>
      </c>
      <c r="P214" s="9">
        <v>2.867589115493705</v>
      </c>
      <c r="Q214" s="9">
        <v>874</v>
      </c>
      <c r="R214" s="9">
        <v>11.72365952513206</v>
      </c>
      <c r="S214" s="9">
        <v>377</v>
      </c>
      <c r="T214" s="9">
        <v>8.5596640066523264</v>
      </c>
      <c r="U214" s="9">
        <v>182</v>
      </c>
      <c r="V214" s="9">
        <v>1.069916047572365</v>
      </c>
      <c r="W214" s="9">
        <v>1028</v>
      </c>
      <c r="X214">
        <v>671.23970864415082</v>
      </c>
      <c r="Y214">
        <v>-0.59393028965882333</v>
      </c>
      <c r="Z214">
        <v>0.1880078206843129</v>
      </c>
      <c r="AA214">
        <v>-3.1590722529362321</v>
      </c>
      <c r="AB214">
        <v>1.5827224645477791E-3</v>
      </c>
      <c r="AC214">
        <v>4.0540329909900967E-2</v>
      </c>
      <c r="AD214" t="s">
        <v>2200</v>
      </c>
      <c r="AE214" t="s">
        <v>2201</v>
      </c>
      <c r="AF214" t="s">
        <v>2202</v>
      </c>
      <c r="AG214" t="s">
        <v>2203</v>
      </c>
      <c r="AH214" t="s">
        <v>43</v>
      </c>
      <c r="AI214" t="s">
        <v>43</v>
      </c>
      <c r="AJ214" t="s">
        <v>43</v>
      </c>
      <c r="AK214" t="s">
        <v>43</v>
      </c>
      <c r="AL214" t="s">
        <v>43</v>
      </c>
      <c r="AM214" t="s">
        <v>2204</v>
      </c>
      <c r="AN214" t="s">
        <v>43</v>
      </c>
    </row>
    <row r="215" spans="1:40" x14ac:dyDescent="0.3">
      <c r="A215" t="s">
        <v>238</v>
      </c>
      <c r="B215">
        <v>1514</v>
      </c>
      <c r="C215" t="str">
        <f>IF(Y215&lt;0, "Down", "Up")</f>
        <v>Down</v>
      </c>
      <c r="D215" s="7" t="str">
        <f>IF(AC215&lt;0.05, "Sig", "N")</f>
        <v>Sig</v>
      </c>
      <c r="E215" s="1" t="str">
        <f>IF(AND(H215&gt;2,J215&gt;2,L215&gt;2,N215&gt;2),"Y","N")</f>
        <v>Y</v>
      </c>
      <c r="F215" s="1" t="str">
        <f>IF(AND(P215&gt;2,R215&gt;2,T215&gt;2,V215&gt;2),"Y","N")</f>
        <v>N</v>
      </c>
      <c r="G215" s="1" t="str">
        <f>IF(OR(E215="Y", F215="Y"), "Expressed", "N")</f>
        <v>Expressed</v>
      </c>
      <c r="H215" s="8">
        <v>9.7388724199335481</v>
      </c>
      <c r="I215" s="8">
        <v>656</v>
      </c>
      <c r="J215" s="8">
        <v>9.1995739262034881</v>
      </c>
      <c r="K215" s="8">
        <v>1388</v>
      </c>
      <c r="L215" s="8">
        <v>11.01671678474939</v>
      </c>
      <c r="M215" s="8">
        <v>1289</v>
      </c>
      <c r="N215" s="8">
        <v>9.8935951179819224</v>
      </c>
      <c r="O215" s="8">
        <v>689</v>
      </c>
      <c r="P215" s="9">
        <v>4.8058016736177214</v>
      </c>
      <c r="Q215" s="9">
        <v>786</v>
      </c>
      <c r="R215" s="9">
        <v>11.796735487215379</v>
      </c>
      <c r="S215" s="9">
        <v>181</v>
      </c>
      <c r="T215" s="9">
        <v>4.5981324082843003</v>
      </c>
      <c r="U215" s="9">
        <v>218</v>
      </c>
      <c r="V215" s="9">
        <v>1.433911467476062</v>
      </c>
      <c r="W215" s="9">
        <v>808</v>
      </c>
      <c r="X215">
        <v>662.39736338666819</v>
      </c>
      <c r="Y215">
        <v>-1.0227076092358769</v>
      </c>
      <c r="Z215">
        <v>0.20060811019084551</v>
      </c>
      <c r="AA215">
        <v>-5.0980372042931839</v>
      </c>
      <c r="AB215">
        <v>3.4319337868851599E-7</v>
      </c>
      <c r="AC215">
        <v>1.142785613937168E-4</v>
      </c>
      <c r="AD215" t="s">
        <v>239</v>
      </c>
      <c r="AE215" t="s">
        <v>240</v>
      </c>
      <c r="AF215" t="s">
        <v>43</v>
      </c>
      <c r="AG215" t="s">
        <v>241</v>
      </c>
      <c r="AH215" t="s">
        <v>43</v>
      </c>
      <c r="AI215" t="s">
        <v>43</v>
      </c>
      <c r="AJ215" t="s">
        <v>43</v>
      </c>
      <c r="AK215" t="s">
        <v>43</v>
      </c>
      <c r="AL215" t="s">
        <v>43</v>
      </c>
      <c r="AM215" t="s">
        <v>242</v>
      </c>
      <c r="AN215" t="s">
        <v>243</v>
      </c>
    </row>
    <row r="216" spans="1:40" x14ac:dyDescent="0.3">
      <c r="A216" t="s">
        <v>2211</v>
      </c>
      <c r="B216">
        <v>1396</v>
      </c>
      <c r="C216" t="str">
        <f>IF(Y216&lt;0, "Down", "Up")</f>
        <v>Down</v>
      </c>
      <c r="D216" s="7" t="str">
        <f>IF(AC216&lt;0.05, "Sig", "N")</f>
        <v>Sig</v>
      </c>
      <c r="E216" s="1" t="str">
        <f>IF(AND(H216&gt;2,J216&gt;2,L216&gt;2,N216&gt;2),"Y","N")</f>
        <v>Y</v>
      </c>
      <c r="F216" s="1" t="str">
        <f>IF(AND(P216&gt;2,R216&gt;2,T216&gt;2,V216&gt;2),"Y","N")</f>
        <v>Y</v>
      </c>
      <c r="G216" s="1" t="str">
        <f>IF(OR(E216="Y", F216="Y"), "Expressed", "N")</f>
        <v>Expressed</v>
      </c>
      <c r="H216" s="8">
        <v>13.46020181507221</v>
      </c>
      <c r="I216" s="8">
        <v>836</v>
      </c>
      <c r="J216" s="8">
        <v>9.1146072165723577</v>
      </c>
      <c r="K216" s="8">
        <v>1268</v>
      </c>
      <c r="L216" s="8">
        <v>29.077311101868631</v>
      </c>
      <c r="M216" s="8">
        <v>3137</v>
      </c>
      <c r="N216" s="8">
        <v>17.426310780803291</v>
      </c>
      <c r="O216" s="8">
        <v>1119</v>
      </c>
      <c r="P216" s="9">
        <v>8.464809052389203</v>
      </c>
      <c r="Q216" s="9">
        <v>1344</v>
      </c>
      <c r="R216" s="9">
        <v>21.876559451170611</v>
      </c>
      <c r="S216" s="9">
        <v>255</v>
      </c>
      <c r="T216" s="9">
        <v>7.0256018730165106</v>
      </c>
      <c r="U216" s="9">
        <v>329</v>
      </c>
      <c r="V216" s="9">
        <v>2.3469411471130859</v>
      </c>
      <c r="W216" s="9">
        <v>1011</v>
      </c>
      <c r="X216">
        <v>1011.411734907714</v>
      </c>
      <c r="Y216">
        <v>-1.0915397338872579</v>
      </c>
      <c r="Z216">
        <v>0.29775344095283263</v>
      </c>
      <c r="AA216">
        <v>-3.6659181180047882</v>
      </c>
      <c r="AB216">
        <v>2.4645277940184561E-4</v>
      </c>
      <c r="AC216">
        <v>1.2266603390775651E-2</v>
      </c>
      <c r="AD216" t="s">
        <v>2212</v>
      </c>
      <c r="AE216" t="s">
        <v>2213</v>
      </c>
      <c r="AF216" t="s">
        <v>43</v>
      </c>
      <c r="AG216" t="s">
        <v>2214</v>
      </c>
      <c r="AH216" t="s">
        <v>43</v>
      </c>
      <c r="AI216" t="s">
        <v>43</v>
      </c>
      <c r="AJ216" t="s">
        <v>43</v>
      </c>
      <c r="AK216" t="s">
        <v>43</v>
      </c>
      <c r="AL216" t="s">
        <v>43</v>
      </c>
      <c r="AM216" t="s">
        <v>2215</v>
      </c>
      <c r="AN216" t="s">
        <v>1866</v>
      </c>
    </row>
    <row r="217" spans="1:40" x14ac:dyDescent="0.3">
      <c r="A217" t="s">
        <v>2216</v>
      </c>
      <c r="B217">
        <v>2266</v>
      </c>
      <c r="C217" t="str">
        <f>IF(Y217&lt;0, "Down", "Up")</f>
        <v>Down</v>
      </c>
      <c r="D217" s="7" t="str">
        <f>IF(AC217&lt;0.05, "Sig", "N")</f>
        <v>Sig</v>
      </c>
      <c r="E217" s="1" t="str">
        <f>IF(AND(H217&gt;2,J217&gt;2,L217&gt;2,N217&gt;2),"Y","N")</f>
        <v>Y</v>
      </c>
      <c r="F217" s="1" t="str">
        <f>IF(AND(P217&gt;2,R217&gt;2,T217&gt;2,V217&gt;2),"Y","N")</f>
        <v>N</v>
      </c>
      <c r="G217" s="1" t="str">
        <f>IF(OR(E217="Y", F217="Y"), "Expressed", "N")</f>
        <v>Expressed</v>
      </c>
      <c r="H217" s="8">
        <v>9.1255412838494294</v>
      </c>
      <c r="I217" s="8">
        <v>920</v>
      </c>
      <c r="J217" s="8">
        <v>9.1091637434559711</v>
      </c>
      <c r="K217" s="8">
        <v>2057</v>
      </c>
      <c r="L217" s="8">
        <v>7.3378421450436058</v>
      </c>
      <c r="M217" s="8">
        <v>1285</v>
      </c>
      <c r="N217" s="8">
        <v>5.9578900105656638</v>
      </c>
      <c r="O217" s="8">
        <v>621</v>
      </c>
      <c r="P217" s="9">
        <v>2.894037752966705</v>
      </c>
      <c r="Q217" s="9">
        <v>1149</v>
      </c>
      <c r="R217" s="9">
        <v>11.521931629679511</v>
      </c>
      <c r="S217" s="9">
        <v>440</v>
      </c>
      <c r="T217" s="9">
        <v>7.4682963751997322</v>
      </c>
      <c r="U217" s="9">
        <v>265</v>
      </c>
      <c r="V217" s="9">
        <v>1.1646024192208531</v>
      </c>
      <c r="W217" s="9">
        <v>1079</v>
      </c>
      <c r="X217">
        <v>858.48613680904396</v>
      </c>
      <c r="Y217">
        <v>-0.69204265032950352</v>
      </c>
      <c r="Z217">
        <v>0.1854690242317662</v>
      </c>
      <c r="AA217">
        <v>-3.7313112159619259</v>
      </c>
      <c r="AB217">
        <v>1.9048572857694999E-4</v>
      </c>
      <c r="AC217">
        <v>1.040060876447171E-2</v>
      </c>
      <c r="AD217" t="s">
        <v>2217</v>
      </c>
      <c r="AE217" t="s">
        <v>2218</v>
      </c>
      <c r="AF217" t="s">
        <v>2219</v>
      </c>
      <c r="AG217" t="s">
        <v>2220</v>
      </c>
      <c r="AH217" t="s">
        <v>43</v>
      </c>
      <c r="AI217" t="s">
        <v>43</v>
      </c>
      <c r="AJ217" t="s">
        <v>43</v>
      </c>
      <c r="AK217" t="s">
        <v>43</v>
      </c>
      <c r="AL217" t="s">
        <v>43</v>
      </c>
      <c r="AM217" t="s">
        <v>2210</v>
      </c>
      <c r="AN217" t="s">
        <v>43</v>
      </c>
    </row>
    <row r="218" spans="1:40" x14ac:dyDescent="0.3">
      <c r="A218" t="s">
        <v>2221</v>
      </c>
      <c r="B218">
        <v>1435</v>
      </c>
      <c r="C218" t="str">
        <f>IF(Y218&lt;0, "Down", "Up")</f>
        <v>Down</v>
      </c>
      <c r="D218" s="7" t="str">
        <f>IF(AC218&lt;0.05, "Sig", "N")</f>
        <v>Sig</v>
      </c>
      <c r="E218" s="1" t="str">
        <f>IF(AND(H218&gt;2,J218&gt;2,L218&gt;2,N218&gt;2),"Y","N")</f>
        <v>Y</v>
      </c>
      <c r="F218" s="1" t="str">
        <f>IF(AND(P218&gt;2,R218&gt;2,T218&gt;2,V218&gt;2),"Y","N")</f>
        <v>N</v>
      </c>
      <c r="G218" s="1" t="str">
        <f>IF(OR(E218="Y", F218="Y"), "Expressed", "N")</f>
        <v>Expressed</v>
      </c>
      <c r="H218" s="8">
        <v>12.358216934798531</v>
      </c>
      <c r="I218" s="8">
        <v>789</v>
      </c>
      <c r="J218" s="8">
        <v>9.0906633270510309</v>
      </c>
      <c r="K218" s="8">
        <v>1300</v>
      </c>
      <c r="L218" s="8">
        <v>12.137194216136461</v>
      </c>
      <c r="M218" s="8">
        <v>1346</v>
      </c>
      <c r="N218" s="8">
        <v>8.3021283673518642</v>
      </c>
      <c r="O218" s="8">
        <v>548</v>
      </c>
      <c r="P218" s="9">
        <v>4.0327486547223028</v>
      </c>
      <c r="Q218" s="9">
        <v>823</v>
      </c>
      <c r="R218" s="9">
        <v>13.032061020162139</v>
      </c>
      <c r="S218" s="9">
        <v>342</v>
      </c>
      <c r="T218" s="9">
        <v>9.1664880875535122</v>
      </c>
      <c r="U218" s="9">
        <v>173</v>
      </c>
      <c r="V218" s="9">
        <v>1.200565672679299</v>
      </c>
      <c r="W218" s="9">
        <v>1049</v>
      </c>
      <c r="X218">
        <v>695.89550099839335</v>
      </c>
      <c r="Y218">
        <v>-0.77612110872797724</v>
      </c>
      <c r="Z218">
        <v>0.17711048643684341</v>
      </c>
      <c r="AA218">
        <v>-4.3821296205673166</v>
      </c>
      <c r="AB218">
        <v>1.17524849898735E-5</v>
      </c>
      <c r="AC218">
        <v>1.3823495031372601E-3</v>
      </c>
      <c r="AD218" t="s">
        <v>2222</v>
      </c>
      <c r="AE218" t="s">
        <v>2223</v>
      </c>
      <c r="AF218" t="s">
        <v>43</v>
      </c>
      <c r="AG218" t="s">
        <v>2224</v>
      </c>
      <c r="AH218" t="s">
        <v>43</v>
      </c>
      <c r="AI218" t="s">
        <v>43</v>
      </c>
      <c r="AJ218" t="s">
        <v>43</v>
      </c>
      <c r="AK218" t="s">
        <v>43</v>
      </c>
      <c r="AL218" t="s">
        <v>43</v>
      </c>
      <c r="AM218" t="s">
        <v>2225</v>
      </c>
      <c r="AN218" t="s">
        <v>43</v>
      </c>
    </row>
    <row r="219" spans="1:40" x14ac:dyDescent="0.3">
      <c r="A219" t="s">
        <v>2231</v>
      </c>
      <c r="B219">
        <v>1624</v>
      </c>
      <c r="C219" t="str">
        <f>IF(Y219&lt;0, "Down", "Up")</f>
        <v>Down</v>
      </c>
      <c r="D219" s="7" t="str">
        <f>IF(AC219&lt;0.05, "Sig", "N")</f>
        <v>Sig</v>
      </c>
      <c r="E219" s="1" t="str">
        <f>IF(AND(H219&gt;2,J219&gt;2,L219&gt;2,N219&gt;2),"Y","N")</f>
        <v>Y</v>
      </c>
      <c r="F219" s="1" t="str">
        <f>IF(AND(P219&gt;2,R219&gt;2,T219&gt;2,V219&gt;2),"Y","N")</f>
        <v>N</v>
      </c>
      <c r="G219" s="1" t="str">
        <f>IF(OR(E219="Y", F219="Y"), "Expressed", "N")</f>
        <v>Expressed</v>
      </c>
      <c r="H219" s="8">
        <v>10.477087403449961</v>
      </c>
      <c r="I219" s="8">
        <v>757</v>
      </c>
      <c r="J219" s="8">
        <v>8.9533689919889703</v>
      </c>
      <c r="K219" s="8">
        <v>1449</v>
      </c>
      <c r="L219" s="8">
        <v>10.573287482024259</v>
      </c>
      <c r="M219" s="8">
        <v>1327</v>
      </c>
      <c r="N219" s="8">
        <v>7.4831865109543072</v>
      </c>
      <c r="O219" s="8">
        <v>559</v>
      </c>
      <c r="P219" s="9">
        <v>3.6349486541019251</v>
      </c>
      <c r="Q219" s="9">
        <v>1109</v>
      </c>
      <c r="R219" s="9">
        <v>15.517104750433459</v>
      </c>
      <c r="S219" s="9">
        <v>222</v>
      </c>
      <c r="T219" s="9">
        <v>5.2576990429592696</v>
      </c>
      <c r="U219" s="9">
        <v>176</v>
      </c>
      <c r="V219" s="9">
        <v>1.079240817975611</v>
      </c>
      <c r="W219" s="9">
        <v>955</v>
      </c>
      <c r="X219">
        <v>697.12640749514651</v>
      </c>
      <c r="Y219">
        <v>-0.83068931119724843</v>
      </c>
      <c r="Z219">
        <v>0.23062143059087939</v>
      </c>
      <c r="AA219">
        <v>-3.601960620350519</v>
      </c>
      <c r="AB219">
        <v>3.1582621501779611E-4</v>
      </c>
      <c r="AC219">
        <v>1.422852441070302E-2</v>
      </c>
      <c r="AD219" t="s">
        <v>2232</v>
      </c>
      <c r="AE219" t="s">
        <v>2233</v>
      </c>
      <c r="AF219" t="s">
        <v>2234</v>
      </c>
      <c r="AG219" t="s">
        <v>2235</v>
      </c>
      <c r="AH219" t="s">
        <v>43</v>
      </c>
      <c r="AI219" t="s">
        <v>43</v>
      </c>
      <c r="AJ219" t="s">
        <v>43</v>
      </c>
      <c r="AK219" t="s">
        <v>43</v>
      </c>
      <c r="AL219" t="s">
        <v>43</v>
      </c>
      <c r="AM219" t="s">
        <v>2236</v>
      </c>
      <c r="AN219" t="s">
        <v>43</v>
      </c>
    </row>
    <row r="220" spans="1:40" x14ac:dyDescent="0.3">
      <c r="A220" t="s">
        <v>2237</v>
      </c>
      <c r="B220">
        <v>1877</v>
      </c>
      <c r="C220" t="str">
        <f>IF(Y220&lt;0, "Down", "Up")</f>
        <v>Down</v>
      </c>
      <c r="D220" s="7" t="str">
        <f>IF(AC220&lt;0.05, "Sig", "N")</f>
        <v>Sig</v>
      </c>
      <c r="E220" s="1" t="str">
        <f>IF(AND(H220&gt;2,J220&gt;2,L220&gt;2,N220&gt;2),"Y","N")</f>
        <v>Y</v>
      </c>
      <c r="F220" s="1" t="str">
        <f>IF(AND(P220&gt;2,R220&gt;2,T220&gt;2,V220&gt;2),"Y","N")</f>
        <v>N</v>
      </c>
      <c r="G220" s="1" t="str">
        <f>IF(OR(E220="Y", F220="Y"), "Expressed", "N")</f>
        <v>Expressed</v>
      </c>
      <c r="H220" s="8">
        <v>15.23188145432464</v>
      </c>
      <c r="I220" s="8">
        <v>1272</v>
      </c>
      <c r="J220" s="8">
        <v>8.8959671812079559</v>
      </c>
      <c r="K220" s="8">
        <v>1664</v>
      </c>
      <c r="L220" s="8">
        <v>18.3238128146279</v>
      </c>
      <c r="M220" s="8">
        <v>2658</v>
      </c>
      <c r="N220" s="8">
        <v>9.729170183440278</v>
      </c>
      <c r="O220" s="8">
        <v>840</v>
      </c>
      <c r="P220" s="9">
        <v>4.7259324636711249</v>
      </c>
      <c r="Q220" s="9">
        <v>1404</v>
      </c>
      <c r="R220" s="9">
        <v>16.996832941427229</v>
      </c>
      <c r="S220" s="9">
        <v>313</v>
      </c>
      <c r="T220" s="9">
        <v>6.413702899309115</v>
      </c>
      <c r="U220" s="9">
        <v>201</v>
      </c>
      <c r="V220" s="9">
        <v>1.066408269866296</v>
      </c>
      <c r="W220" s="9">
        <v>1397</v>
      </c>
      <c r="X220">
        <v>1037.762632368893</v>
      </c>
      <c r="Y220">
        <v>-1.0947341265827899</v>
      </c>
      <c r="Z220">
        <v>0.26185801356011762</v>
      </c>
      <c r="AA220">
        <v>-4.1806401557058317</v>
      </c>
      <c r="AB220">
        <v>2.9068957257358599E-5</v>
      </c>
      <c r="AC220">
        <v>2.7489931499138881E-3</v>
      </c>
      <c r="AD220" t="s">
        <v>2238</v>
      </c>
      <c r="AE220" t="s">
        <v>2239</v>
      </c>
      <c r="AF220" t="s">
        <v>2240</v>
      </c>
      <c r="AG220" t="s">
        <v>302</v>
      </c>
      <c r="AH220" t="s">
        <v>43</v>
      </c>
      <c r="AI220" t="s">
        <v>43</v>
      </c>
      <c r="AJ220" t="s">
        <v>43</v>
      </c>
      <c r="AK220" t="s">
        <v>43</v>
      </c>
      <c r="AL220" t="s">
        <v>43</v>
      </c>
      <c r="AM220" t="s">
        <v>303</v>
      </c>
      <c r="AN220" t="s">
        <v>43</v>
      </c>
    </row>
    <row r="221" spans="1:40" x14ac:dyDescent="0.3">
      <c r="A221" t="s">
        <v>2241</v>
      </c>
      <c r="B221">
        <v>1642</v>
      </c>
      <c r="C221" t="str">
        <f>IF(Y221&lt;0, "Down", "Up")</f>
        <v>Down</v>
      </c>
      <c r="D221" s="7" t="str">
        <f>IF(AC221&lt;0.05, "Sig", "N")</f>
        <v>Sig</v>
      </c>
      <c r="E221" s="1" t="str">
        <f>IF(AND(H221&gt;2,J221&gt;2,L221&gt;2,N221&gt;2),"Y","N")</f>
        <v>Y</v>
      </c>
      <c r="F221" s="1" t="str">
        <f>IF(AND(P221&gt;2,R221&gt;2,T221&gt;2,V221&gt;2),"Y","N")</f>
        <v>N</v>
      </c>
      <c r="G221" s="1" t="str">
        <f>IF(OR(E221="Y", F221="Y"), "Expressed", "N")</f>
        <v>Expressed</v>
      </c>
      <c r="H221" s="8">
        <v>10.78658020492759</v>
      </c>
      <c r="I221" s="8">
        <v>788</v>
      </c>
      <c r="J221" s="8">
        <v>8.8429974759385743</v>
      </c>
      <c r="K221" s="8">
        <v>1447</v>
      </c>
      <c r="L221" s="8">
        <v>9.7008556615133426</v>
      </c>
      <c r="M221" s="8">
        <v>1231</v>
      </c>
      <c r="N221" s="8">
        <v>5.5475555144560866</v>
      </c>
      <c r="O221" s="8">
        <v>419</v>
      </c>
      <c r="P221" s="9">
        <v>2.6947182756047958</v>
      </c>
      <c r="Q221" s="9">
        <v>924</v>
      </c>
      <c r="R221" s="9">
        <v>12.78686232232703</v>
      </c>
      <c r="S221" s="9">
        <v>347</v>
      </c>
      <c r="T221" s="9">
        <v>8.1280262102927416</v>
      </c>
      <c r="U221" s="9">
        <v>256</v>
      </c>
      <c r="V221" s="9">
        <v>1.5525962470533869</v>
      </c>
      <c r="W221" s="9">
        <v>913</v>
      </c>
      <c r="X221">
        <v>698.98365700939257</v>
      </c>
      <c r="Y221">
        <v>-0.59713037121194756</v>
      </c>
      <c r="Z221">
        <v>0.19409437735734311</v>
      </c>
      <c r="AA221">
        <v>-3.076494947159564</v>
      </c>
      <c r="AB221">
        <v>2.0944985269650972E-3</v>
      </c>
      <c r="AC221">
        <v>4.765941691483043E-2</v>
      </c>
      <c r="AD221" t="s">
        <v>2242</v>
      </c>
      <c r="AE221" t="s">
        <v>2243</v>
      </c>
      <c r="AF221" t="s">
        <v>2244</v>
      </c>
      <c r="AG221" t="s">
        <v>2245</v>
      </c>
      <c r="AH221" t="s">
        <v>43</v>
      </c>
      <c r="AI221" t="s">
        <v>43</v>
      </c>
      <c r="AJ221" t="s">
        <v>43</v>
      </c>
      <c r="AK221" t="s">
        <v>43</v>
      </c>
      <c r="AL221" t="s">
        <v>43</v>
      </c>
      <c r="AM221" t="s">
        <v>2246</v>
      </c>
      <c r="AN221" t="s">
        <v>2247</v>
      </c>
    </row>
    <row r="222" spans="1:40" x14ac:dyDescent="0.3">
      <c r="A222" t="s">
        <v>2248</v>
      </c>
      <c r="B222">
        <v>1781</v>
      </c>
      <c r="C222" t="str">
        <f>IF(Y222&lt;0, "Down", "Up")</f>
        <v>Down</v>
      </c>
      <c r="D222" s="7" t="str">
        <f>IF(AC222&lt;0.05, "Sig", "N")</f>
        <v>Sig</v>
      </c>
      <c r="E222" s="1" t="str">
        <f>IF(AND(H222&gt;2,J222&gt;2,L222&gt;2,N222&gt;2),"Y","N")</f>
        <v>Y</v>
      </c>
      <c r="F222" s="1" t="str">
        <f>IF(AND(P222&gt;2,R222&gt;2,T222&gt;2,V222&gt;2),"Y","N")</f>
        <v>N</v>
      </c>
      <c r="G222" s="1" t="str">
        <f>IF(OR(E222="Y", F222="Y"), "Expressed", "N")</f>
        <v>Expressed</v>
      </c>
      <c r="H222" s="8">
        <v>10.08355269561131</v>
      </c>
      <c r="I222" s="8">
        <v>799</v>
      </c>
      <c r="J222" s="8">
        <v>8.8402215008013236</v>
      </c>
      <c r="K222" s="8">
        <v>1569</v>
      </c>
      <c r="L222" s="8">
        <v>8.7984337108343933</v>
      </c>
      <c r="M222" s="8">
        <v>1211</v>
      </c>
      <c r="N222" s="8">
        <v>12.878026869739349</v>
      </c>
      <c r="O222" s="8">
        <v>1055</v>
      </c>
      <c r="P222" s="9">
        <v>6.2554857304602747</v>
      </c>
      <c r="Q222" s="9">
        <v>1046</v>
      </c>
      <c r="R222" s="9">
        <v>13.34544118788207</v>
      </c>
      <c r="S222" s="9">
        <v>245</v>
      </c>
      <c r="T222" s="9">
        <v>5.2909168733342291</v>
      </c>
      <c r="U222" s="9">
        <v>244</v>
      </c>
      <c r="V222" s="9">
        <v>1.3643243376031839</v>
      </c>
      <c r="W222" s="9">
        <v>944</v>
      </c>
      <c r="X222">
        <v>806.82053417356781</v>
      </c>
      <c r="Y222">
        <v>-1.0026141200866781</v>
      </c>
      <c r="Z222">
        <v>0.22769089816422439</v>
      </c>
      <c r="AA222">
        <v>-4.4034000839310314</v>
      </c>
      <c r="AB222">
        <v>1.065673758006585E-5</v>
      </c>
      <c r="AC222">
        <v>1.299501970144972E-3</v>
      </c>
      <c r="AD222" t="s">
        <v>2249</v>
      </c>
      <c r="AE222" t="s">
        <v>2250</v>
      </c>
      <c r="AF222" t="s">
        <v>2251</v>
      </c>
      <c r="AG222" t="s">
        <v>2252</v>
      </c>
      <c r="AH222" t="s">
        <v>43</v>
      </c>
      <c r="AI222" t="s">
        <v>43</v>
      </c>
      <c r="AJ222" t="s">
        <v>43</v>
      </c>
      <c r="AK222" t="s">
        <v>43</v>
      </c>
      <c r="AL222" t="s">
        <v>43</v>
      </c>
      <c r="AM222" t="s">
        <v>2253</v>
      </c>
      <c r="AN222" t="s">
        <v>43</v>
      </c>
    </row>
    <row r="223" spans="1:40" x14ac:dyDescent="0.3">
      <c r="A223" t="s">
        <v>2254</v>
      </c>
      <c r="B223">
        <v>1824</v>
      </c>
      <c r="C223" t="str">
        <f>IF(Y223&lt;0, "Down", "Up")</f>
        <v>Down</v>
      </c>
      <c r="D223" s="7" t="str">
        <f>IF(AC223&lt;0.05, "Sig", "N")</f>
        <v>Sig</v>
      </c>
      <c r="E223" s="1" t="str">
        <f>IF(AND(H223&gt;2,J223&gt;2,L223&gt;2,N223&gt;2),"Y","N")</f>
        <v>Y</v>
      </c>
      <c r="F223" s="1" t="str">
        <f>IF(AND(P223&gt;2,R223&gt;2,T223&gt;2,V223&gt;2),"Y","N")</f>
        <v>N</v>
      </c>
      <c r="G223" s="1" t="str">
        <f>IF(OR(E223="Y", F223="Y"), "Expressed", "N")</f>
        <v>Expressed</v>
      </c>
      <c r="H223" s="8">
        <v>9.7965465631055917</v>
      </c>
      <c r="I223" s="8">
        <v>795</v>
      </c>
      <c r="J223" s="8">
        <v>8.8298703223181345</v>
      </c>
      <c r="K223" s="8">
        <v>1605</v>
      </c>
      <c r="L223" s="8">
        <v>10.527717184702251</v>
      </c>
      <c r="M223" s="8">
        <v>1484</v>
      </c>
      <c r="N223" s="8">
        <v>7.4493086697527513</v>
      </c>
      <c r="O223" s="8">
        <v>625</v>
      </c>
      <c r="P223" s="9">
        <v>3.6184925343594592</v>
      </c>
      <c r="Q223" s="9">
        <v>932</v>
      </c>
      <c r="R223" s="9">
        <v>11.61064239303232</v>
      </c>
      <c r="S223" s="9">
        <v>502</v>
      </c>
      <c r="T223" s="9">
        <v>10.58540933048458</v>
      </c>
      <c r="U223" s="9">
        <v>256</v>
      </c>
      <c r="V223" s="9">
        <v>1.397677103981174</v>
      </c>
      <c r="W223" s="9">
        <v>1311</v>
      </c>
      <c r="X223">
        <v>826.9305011607928</v>
      </c>
      <c r="Y223">
        <v>-0.53803167747671321</v>
      </c>
      <c r="Z223">
        <v>0.15084700761909939</v>
      </c>
      <c r="AA223">
        <v>-3.5667374909768559</v>
      </c>
      <c r="AB223">
        <v>3.6145323756147561E-4</v>
      </c>
      <c r="AC223">
        <v>1.5412997168917499E-2</v>
      </c>
      <c r="AD223" t="s">
        <v>2255</v>
      </c>
      <c r="AE223" t="s">
        <v>2256</v>
      </c>
      <c r="AF223" t="s">
        <v>43</v>
      </c>
      <c r="AG223" t="s">
        <v>2257</v>
      </c>
      <c r="AH223" t="s">
        <v>43</v>
      </c>
      <c r="AI223" t="s">
        <v>43</v>
      </c>
      <c r="AJ223" t="s">
        <v>43</v>
      </c>
      <c r="AK223" t="s">
        <v>43</v>
      </c>
      <c r="AL223" t="s">
        <v>43</v>
      </c>
      <c r="AM223" t="s">
        <v>2258</v>
      </c>
      <c r="AN223" t="s">
        <v>43</v>
      </c>
    </row>
    <row r="224" spans="1:40" x14ac:dyDescent="0.3">
      <c r="A224" t="s">
        <v>2265</v>
      </c>
      <c r="B224">
        <v>1758</v>
      </c>
      <c r="C224" t="str">
        <f>IF(Y224&lt;0, "Down", "Up")</f>
        <v>Down</v>
      </c>
      <c r="D224" s="7" t="str">
        <f>IF(AC224&lt;0.05, "Sig", "N")</f>
        <v>Sig</v>
      </c>
      <c r="E224" s="1" t="str">
        <f>IF(AND(H224&gt;2,J224&gt;2,L224&gt;2,N224&gt;2),"Y","N")</f>
        <v>Y</v>
      </c>
      <c r="F224" s="1" t="str">
        <f>IF(AND(P224&gt;2,R224&gt;2,T224&gt;2,V224&gt;2),"Y","N")</f>
        <v>N</v>
      </c>
      <c r="G224" s="1" t="str">
        <f>IF(OR(E224="Y", F224="Y"), "Expressed", "N")</f>
        <v>Expressed</v>
      </c>
      <c r="H224" s="8">
        <v>12.529620503919199</v>
      </c>
      <c r="I224" s="8">
        <v>980</v>
      </c>
      <c r="J224" s="8">
        <v>8.7446819250264856</v>
      </c>
      <c r="K224" s="8">
        <v>1532</v>
      </c>
      <c r="L224" s="8">
        <v>13.88186959317113</v>
      </c>
      <c r="M224" s="8">
        <v>1886</v>
      </c>
      <c r="N224" s="8">
        <v>9.2376715751361793</v>
      </c>
      <c r="O224" s="8">
        <v>747</v>
      </c>
      <c r="P224" s="9">
        <v>4.4871876185262556</v>
      </c>
      <c r="Q224" s="9">
        <v>1418</v>
      </c>
      <c r="R224" s="9">
        <v>18.328314599778921</v>
      </c>
      <c r="S224" s="9">
        <v>515</v>
      </c>
      <c r="T224" s="9">
        <v>11.267229272538961</v>
      </c>
      <c r="U224" s="9">
        <v>320</v>
      </c>
      <c r="V224" s="9">
        <v>1.812687029054082</v>
      </c>
      <c r="W224" s="9">
        <v>1211</v>
      </c>
      <c r="X224">
        <v>957.69362501044225</v>
      </c>
      <c r="Y224">
        <v>-0.54749693516170883</v>
      </c>
      <c r="Z224">
        <v>0.15062886374195761</v>
      </c>
      <c r="AA224">
        <v>-3.634741188114027</v>
      </c>
      <c r="AB224">
        <v>2.7825983429643862E-4</v>
      </c>
      <c r="AC224">
        <v>1.3104818729952989E-2</v>
      </c>
      <c r="AD224" t="s">
        <v>2266</v>
      </c>
      <c r="AE224" t="s">
        <v>2267</v>
      </c>
      <c r="AF224" t="s">
        <v>2268</v>
      </c>
      <c r="AG224" t="s">
        <v>2269</v>
      </c>
      <c r="AH224" t="s">
        <v>43</v>
      </c>
      <c r="AI224" t="s">
        <v>43</v>
      </c>
      <c r="AJ224" t="s">
        <v>43</v>
      </c>
      <c r="AK224" t="s">
        <v>43</v>
      </c>
      <c r="AL224" t="s">
        <v>43</v>
      </c>
      <c r="AM224" t="s">
        <v>2270</v>
      </c>
      <c r="AN224" t="s">
        <v>43</v>
      </c>
    </row>
    <row r="225" spans="1:40" x14ac:dyDescent="0.3">
      <c r="A225" t="s">
        <v>2271</v>
      </c>
      <c r="B225">
        <v>1623</v>
      </c>
      <c r="C225" t="str">
        <f>IF(Y225&lt;0, "Down", "Up")</f>
        <v>Down</v>
      </c>
      <c r="D225" s="7" t="str">
        <f>IF(AC225&lt;0.05, "Sig", "N")</f>
        <v>Sig</v>
      </c>
      <c r="E225" s="1" t="str">
        <f>IF(AND(H225&gt;2,J225&gt;2,L225&gt;2,N225&gt;2),"Y","N")</f>
        <v>Y</v>
      </c>
      <c r="F225" s="1" t="str">
        <f>IF(AND(P225&gt;2,R225&gt;2,T225&gt;2,V225&gt;2),"Y","N")</f>
        <v>N</v>
      </c>
      <c r="G225" s="1" t="str">
        <f>IF(OR(E225="Y", F225="Y"), "Expressed", "N")</f>
        <v>Expressed</v>
      </c>
      <c r="H225" s="8">
        <v>9.6387658912944048</v>
      </c>
      <c r="I225" s="8">
        <v>696</v>
      </c>
      <c r="J225" s="8">
        <v>8.7424873455073602</v>
      </c>
      <c r="K225" s="8">
        <v>1414</v>
      </c>
      <c r="L225" s="8">
        <v>11.640174168974911</v>
      </c>
      <c r="M225" s="8">
        <v>1460</v>
      </c>
      <c r="N225" s="8">
        <v>8.1039665836062174</v>
      </c>
      <c r="O225" s="8">
        <v>605</v>
      </c>
      <c r="P225" s="9">
        <v>3.936491811722834</v>
      </c>
      <c r="Q225" s="9">
        <v>1060</v>
      </c>
      <c r="R225" s="9">
        <v>14.840636100413059</v>
      </c>
      <c r="S225" s="9">
        <v>377</v>
      </c>
      <c r="T225" s="9">
        <v>8.9341163445896736</v>
      </c>
      <c r="U225" s="9">
        <v>301</v>
      </c>
      <c r="V225" s="9">
        <v>1.8468843247847351</v>
      </c>
      <c r="W225" s="9">
        <v>1165</v>
      </c>
      <c r="X225">
        <v>778.91421687818206</v>
      </c>
      <c r="Y225">
        <v>-0.47217400786188451</v>
      </c>
      <c r="Z225">
        <v>0.1288399681103411</v>
      </c>
      <c r="AA225">
        <v>-3.6648100336186462</v>
      </c>
      <c r="AB225">
        <v>2.4752223571906278E-4</v>
      </c>
      <c r="AC225">
        <v>1.22681775615725E-2</v>
      </c>
      <c r="AD225" t="s">
        <v>2272</v>
      </c>
      <c r="AE225" t="s">
        <v>2273</v>
      </c>
      <c r="AF225" t="s">
        <v>2274</v>
      </c>
      <c r="AG225" t="s">
        <v>2275</v>
      </c>
      <c r="AH225" t="s">
        <v>991</v>
      </c>
      <c r="AI225" t="s">
        <v>2276</v>
      </c>
      <c r="AK225" t="s">
        <v>993</v>
      </c>
      <c r="AL225" t="s">
        <v>2277</v>
      </c>
      <c r="AM225" t="s">
        <v>2278</v>
      </c>
      <c r="AN225" t="s">
        <v>43</v>
      </c>
    </row>
    <row r="226" spans="1:40" x14ac:dyDescent="0.3">
      <c r="A226" t="s">
        <v>2279</v>
      </c>
      <c r="B226">
        <v>1637</v>
      </c>
      <c r="C226" t="str">
        <f>IF(Y226&lt;0, "Down", "Up")</f>
        <v>Down</v>
      </c>
      <c r="D226" s="7" t="str">
        <f>IF(AC226&lt;0.05, "Sig", "N")</f>
        <v>Sig</v>
      </c>
      <c r="E226" s="1" t="str">
        <f>IF(AND(H226&gt;2,J226&gt;2,L226&gt;2,N226&gt;2),"Y","N")</f>
        <v>Y</v>
      </c>
      <c r="F226" s="1" t="str">
        <f>IF(AND(P226&gt;2,R226&gt;2,T226&gt;2,V226&gt;2),"Y","N")</f>
        <v>Y</v>
      </c>
      <c r="G226" s="1" t="str">
        <f>IF(OR(E226="Y", F226="Y"), "Expressed", "N")</f>
        <v>Expressed</v>
      </c>
      <c r="H226" s="8">
        <v>23.671146563720509</v>
      </c>
      <c r="I226" s="8">
        <v>1724</v>
      </c>
      <c r="J226" s="8">
        <v>8.7351488045220993</v>
      </c>
      <c r="K226" s="8">
        <v>1425</v>
      </c>
      <c r="L226" s="8">
        <v>41.909857737365272</v>
      </c>
      <c r="M226" s="8">
        <v>5302</v>
      </c>
      <c r="N226" s="8">
        <v>11.62037545453917</v>
      </c>
      <c r="O226" s="8">
        <v>875</v>
      </c>
      <c r="P226" s="9">
        <v>5.6445831006354998</v>
      </c>
      <c r="Q226" s="9">
        <v>1274</v>
      </c>
      <c r="R226" s="9">
        <v>17.68422041360536</v>
      </c>
      <c r="S226" s="9">
        <v>376</v>
      </c>
      <c r="T226" s="9">
        <v>8.8342144782753582</v>
      </c>
      <c r="U226" s="9">
        <v>405</v>
      </c>
      <c r="V226" s="9">
        <v>2.4637580899057259</v>
      </c>
      <c r="W226" s="9">
        <v>1185</v>
      </c>
      <c r="X226">
        <v>1360.9934361558619</v>
      </c>
      <c r="Y226">
        <v>-1.3979963307070611</v>
      </c>
      <c r="Z226">
        <v>0.34517025273693058</v>
      </c>
      <c r="AA226">
        <v>-4.0501645771095314</v>
      </c>
      <c r="AB226">
        <v>5.1181624273033803E-5</v>
      </c>
      <c r="AC226">
        <v>4.1725377967691902E-3</v>
      </c>
      <c r="AD226" t="s">
        <v>2280</v>
      </c>
      <c r="AE226" t="s">
        <v>2281</v>
      </c>
      <c r="AF226" t="s">
        <v>2282</v>
      </c>
      <c r="AG226" t="s">
        <v>2283</v>
      </c>
      <c r="AH226" t="s">
        <v>43</v>
      </c>
      <c r="AI226" t="s">
        <v>43</v>
      </c>
      <c r="AJ226" t="s">
        <v>43</v>
      </c>
      <c r="AK226" t="s">
        <v>43</v>
      </c>
      <c r="AL226" t="s">
        <v>43</v>
      </c>
      <c r="AM226" t="s">
        <v>2284</v>
      </c>
      <c r="AN226" t="s">
        <v>43</v>
      </c>
    </row>
    <row r="227" spans="1:40" x14ac:dyDescent="0.3">
      <c r="A227" t="s">
        <v>2301</v>
      </c>
      <c r="B227">
        <v>1445</v>
      </c>
      <c r="C227" t="str">
        <f>IF(Y227&lt;0, "Down", "Up")</f>
        <v>Down</v>
      </c>
      <c r="D227" s="7" t="str">
        <f>IF(AC227&lt;0.05, "Sig", "N")</f>
        <v>Sig</v>
      </c>
      <c r="E227" s="1" t="str">
        <f>IF(AND(H227&gt;2,J227&gt;2,L227&gt;2,N227&gt;2),"Y","N")</f>
        <v>Y</v>
      </c>
      <c r="F227" s="1" t="str">
        <f>IF(AND(P227&gt;2,R227&gt;2,T227&gt;2,V227&gt;2),"Y","N")</f>
        <v>N</v>
      </c>
      <c r="G227" s="1" t="str">
        <f>IF(OR(E227="Y", F227="Y"), "Expressed", "N")</f>
        <v>Expressed</v>
      </c>
      <c r="H227" s="8">
        <v>15.539189162519641</v>
      </c>
      <c r="I227" s="8">
        <v>999</v>
      </c>
      <c r="J227" s="8">
        <v>8.5971978282704118</v>
      </c>
      <c r="K227" s="8">
        <v>1238</v>
      </c>
      <c r="L227" s="8">
        <v>24.9750179949997</v>
      </c>
      <c r="M227" s="8">
        <v>2789</v>
      </c>
      <c r="N227" s="8">
        <v>10.095212377184851</v>
      </c>
      <c r="O227" s="8">
        <v>671</v>
      </c>
      <c r="P227" s="9">
        <v>4.9037370095752841</v>
      </c>
      <c r="Q227" s="9">
        <v>1234</v>
      </c>
      <c r="R227" s="9">
        <v>19.40494799925408</v>
      </c>
      <c r="S227" s="9">
        <v>344</v>
      </c>
      <c r="T227" s="9">
        <v>9.1562864071306898</v>
      </c>
      <c r="U227" s="9">
        <v>242</v>
      </c>
      <c r="V227" s="9">
        <v>1.6677818315152519</v>
      </c>
      <c r="W227" s="9">
        <v>950</v>
      </c>
      <c r="X227">
        <v>910.1761866993802</v>
      </c>
      <c r="Y227">
        <v>-1.016285109631849</v>
      </c>
      <c r="Z227">
        <v>0.2588567530103677</v>
      </c>
      <c r="AA227">
        <v>-3.9260521420167258</v>
      </c>
      <c r="AB227">
        <v>8.6351444402185665E-5</v>
      </c>
      <c r="AC227">
        <v>6.0221853939718987E-3</v>
      </c>
      <c r="AD227" t="s">
        <v>2302</v>
      </c>
      <c r="AE227" t="s">
        <v>2303</v>
      </c>
      <c r="AF227" t="s">
        <v>1626</v>
      </c>
      <c r="AG227" t="s">
        <v>1627</v>
      </c>
      <c r="AH227" t="s">
        <v>43</v>
      </c>
      <c r="AI227" t="s">
        <v>43</v>
      </c>
      <c r="AJ227" t="s">
        <v>43</v>
      </c>
      <c r="AK227" t="s">
        <v>43</v>
      </c>
      <c r="AL227" t="s">
        <v>43</v>
      </c>
      <c r="AM227" t="s">
        <v>1628</v>
      </c>
      <c r="AN227" t="s">
        <v>43</v>
      </c>
    </row>
    <row r="228" spans="1:40" x14ac:dyDescent="0.3">
      <c r="A228" t="s">
        <v>2304</v>
      </c>
      <c r="B228">
        <v>937</v>
      </c>
      <c r="C228" t="str">
        <f>IF(Y228&lt;0, "Down", "Up")</f>
        <v>Down</v>
      </c>
      <c r="D228" s="7" t="str">
        <f>IF(AC228&lt;0.05, "Sig", "N")</f>
        <v>Sig</v>
      </c>
      <c r="E228" s="1" t="str">
        <f>IF(AND(H228&gt;2,J228&gt;2,L228&gt;2,N228&gt;2),"Y","N")</f>
        <v>Y</v>
      </c>
      <c r="F228" s="1" t="str">
        <f>IF(AND(P228&gt;2,R228&gt;2,T228&gt;2,V228&gt;2),"Y","N")</f>
        <v>N</v>
      </c>
      <c r="G228" s="1" t="str">
        <f>IF(OR(E228="Y", F228="Y"), "Expressed", "N")</f>
        <v>Expressed</v>
      </c>
      <c r="H228" s="8">
        <v>27.63399028430425</v>
      </c>
      <c r="I228" s="8">
        <v>1152</v>
      </c>
      <c r="J228" s="8">
        <v>8.5889267738307371</v>
      </c>
      <c r="K228" s="8">
        <v>802</v>
      </c>
      <c r="L228" s="8">
        <v>25.465163473485859</v>
      </c>
      <c r="M228" s="8">
        <v>1844</v>
      </c>
      <c r="N228" s="8">
        <v>12.992993549852301</v>
      </c>
      <c r="O228" s="8">
        <v>560</v>
      </c>
      <c r="P228" s="9">
        <v>6.3113306540808969</v>
      </c>
      <c r="Q228" s="9">
        <v>651</v>
      </c>
      <c r="R228" s="9">
        <v>15.787252981737909</v>
      </c>
      <c r="S228" s="9">
        <v>147</v>
      </c>
      <c r="T228" s="9">
        <v>6.0340168312112672</v>
      </c>
      <c r="U228" s="9">
        <v>184</v>
      </c>
      <c r="V228" s="9">
        <v>1.9555546246737661</v>
      </c>
      <c r="W228" s="9">
        <v>687</v>
      </c>
      <c r="X228">
        <v>687.44673377896663</v>
      </c>
      <c r="Y228">
        <v>-1.465943791359289</v>
      </c>
      <c r="Z228">
        <v>0.32193023130382059</v>
      </c>
      <c r="AA228">
        <v>-4.5536071136351586</v>
      </c>
      <c r="AB228">
        <v>5.2733801499814766E-6</v>
      </c>
      <c r="AC228">
        <v>7.6958798460408692E-4</v>
      </c>
      <c r="AD228" t="s">
        <v>2305</v>
      </c>
      <c r="AE228" t="s">
        <v>2306</v>
      </c>
      <c r="AF228" t="s">
        <v>2307</v>
      </c>
      <c r="AG228" t="s">
        <v>43</v>
      </c>
      <c r="AH228" t="s">
        <v>43</v>
      </c>
      <c r="AI228" t="s">
        <v>43</v>
      </c>
      <c r="AJ228" t="s">
        <v>43</v>
      </c>
      <c r="AK228" t="s">
        <v>43</v>
      </c>
      <c r="AL228" t="s">
        <v>43</v>
      </c>
      <c r="AM228" t="s">
        <v>43</v>
      </c>
      <c r="AN228" t="s">
        <v>43</v>
      </c>
    </row>
    <row r="229" spans="1:40" x14ac:dyDescent="0.3">
      <c r="A229" t="s">
        <v>2308</v>
      </c>
      <c r="B229">
        <v>1074</v>
      </c>
      <c r="C229" t="str">
        <f>IF(Y229&lt;0, "Down", "Up")</f>
        <v>Down</v>
      </c>
      <c r="D229" s="7" t="str">
        <f>IF(AC229&lt;0.05, "Sig", "N")</f>
        <v>Sig</v>
      </c>
      <c r="E229" s="1" t="str">
        <f>IF(AND(H229&gt;2,J229&gt;2,L229&gt;2,N229&gt;2),"Y","N")</f>
        <v>Y</v>
      </c>
      <c r="F229" s="1" t="str">
        <f>IF(AND(P229&gt;2,R229&gt;2,T229&gt;2,V229&gt;2),"Y","N")</f>
        <v>N</v>
      </c>
      <c r="G229" s="1" t="str">
        <f>IF(OR(E229="Y", F229="Y"), "Expressed", "N")</f>
        <v>Expressed</v>
      </c>
      <c r="H229" s="8">
        <v>30.30365359408718</v>
      </c>
      <c r="I229" s="8">
        <v>1448</v>
      </c>
      <c r="J229" s="8">
        <v>8.5677971771593011</v>
      </c>
      <c r="K229" s="8">
        <v>917</v>
      </c>
      <c r="L229" s="8">
        <v>64.542013173548696</v>
      </c>
      <c r="M229" s="8">
        <v>5357</v>
      </c>
      <c r="N229" s="8">
        <v>14.67555424190844</v>
      </c>
      <c r="O229" s="8">
        <v>725</v>
      </c>
      <c r="P229" s="9">
        <v>7.1286324431090469</v>
      </c>
      <c r="Q229" s="9">
        <v>926</v>
      </c>
      <c r="R229" s="9">
        <v>19.59168890239151</v>
      </c>
      <c r="S229" s="9">
        <v>20</v>
      </c>
      <c r="T229" s="9">
        <v>0.71623326503312146</v>
      </c>
      <c r="U229" s="9">
        <v>90</v>
      </c>
      <c r="V229" s="9">
        <v>0.83450693010049115</v>
      </c>
      <c r="W229" s="9">
        <v>290</v>
      </c>
      <c r="X229">
        <v>1002.153764871337</v>
      </c>
      <c r="Y229">
        <v>-2.8194247879669492</v>
      </c>
      <c r="Z229">
        <v>0.89549280180889657</v>
      </c>
      <c r="AA229">
        <v>-3.148461698711265</v>
      </c>
      <c r="AB229">
        <v>1.6413223071718209E-3</v>
      </c>
      <c r="AC229">
        <v>4.1502619018144352E-2</v>
      </c>
      <c r="AD229" t="s">
        <v>2309</v>
      </c>
      <c r="AE229" t="s">
        <v>2310</v>
      </c>
      <c r="AF229" t="s">
        <v>2311</v>
      </c>
      <c r="AG229" t="s">
        <v>2312</v>
      </c>
      <c r="AH229" t="s">
        <v>43</v>
      </c>
      <c r="AI229" t="s">
        <v>43</v>
      </c>
      <c r="AJ229" t="s">
        <v>43</v>
      </c>
      <c r="AK229" t="s">
        <v>43</v>
      </c>
      <c r="AL229" t="s">
        <v>43</v>
      </c>
      <c r="AM229" t="s">
        <v>2313</v>
      </c>
      <c r="AN229" t="s">
        <v>43</v>
      </c>
    </row>
    <row r="230" spans="1:40" x14ac:dyDescent="0.3">
      <c r="A230" t="s">
        <v>280</v>
      </c>
      <c r="B230">
        <v>2739</v>
      </c>
      <c r="C230" t="str">
        <f>IF(Y230&lt;0, "Down", "Up")</f>
        <v>Down</v>
      </c>
      <c r="D230" s="7" t="str">
        <f>IF(AC230&lt;0.05, "Sig", "N")</f>
        <v>Sig</v>
      </c>
      <c r="E230" s="1" t="str">
        <f>IF(AND(H230&gt;2,J230&gt;2,L230&gt;2,N230&gt;2),"Y","N")</f>
        <v>Y</v>
      </c>
      <c r="F230" s="1" t="str">
        <f>IF(AND(P230&gt;2,R230&gt;2,T230&gt;2,V230&gt;2),"Y","N")</f>
        <v>N</v>
      </c>
      <c r="G230" s="1" t="str">
        <f>IF(OR(E230="Y", F230="Y"), "Expressed", "N")</f>
        <v>Expressed</v>
      </c>
      <c r="H230" s="8">
        <v>14.89413580678568</v>
      </c>
      <c r="I230" s="8">
        <v>1815</v>
      </c>
      <c r="J230" s="8">
        <v>8.5509219464315294</v>
      </c>
      <c r="K230" s="8">
        <v>2334</v>
      </c>
      <c r="L230" s="8">
        <v>31.151721618020758</v>
      </c>
      <c r="M230" s="8">
        <v>6594</v>
      </c>
      <c r="N230" s="8">
        <v>7.4371809015088077</v>
      </c>
      <c r="O230" s="8">
        <v>937</v>
      </c>
      <c r="P230" s="9">
        <v>3.6126014858347362</v>
      </c>
      <c r="Q230" s="9">
        <v>823</v>
      </c>
      <c r="R230" s="9">
        <v>6.8276770952656731</v>
      </c>
      <c r="S230" s="9">
        <v>483</v>
      </c>
      <c r="T230" s="9">
        <v>6.7824073817052124</v>
      </c>
      <c r="U230" s="9">
        <v>478</v>
      </c>
      <c r="V230" s="9">
        <v>1.73791120733256</v>
      </c>
      <c r="W230" s="9">
        <v>1097</v>
      </c>
      <c r="X230">
        <v>1563.2038185383531</v>
      </c>
      <c r="Y230">
        <v>-1.676424989089333</v>
      </c>
      <c r="Z230">
        <v>0.3445641940029624</v>
      </c>
      <c r="AA230">
        <v>-4.8653488036975761</v>
      </c>
      <c r="AB230">
        <v>1.1425512726422851E-6</v>
      </c>
      <c r="AC230">
        <v>2.4781832282393492E-4</v>
      </c>
      <c r="AD230" t="s">
        <v>281</v>
      </c>
      <c r="AE230" t="s">
        <v>282</v>
      </c>
      <c r="AF230" t="s">
        <v>283</v>
      </c>
      <c r="AG230" t="s">
        <v>284</v>
      </c>
      <c r="AH230" t="s">
        <v>43</v>
      </c>
      <c r="AI230" t="s">
        <v>43</v>
      </c>
      <c r="AJ230" t="s">
        <v>43</v>
      </c>
      <c r="AK230" t="s">
        <v>43</v>
      </c>
      <c r="AL230" t="s">
        <v>43</v>
      </c>
      <c r="AM230" t="s">
        <v>285</v>
      </c>
      <c r="AN230" t="s">
        <v>43</v>
      </c>
    </row>
    <row r="231" spans="1:40" x14ac:dyDescent="0.3">
      <c r="A231" t="s">
        <v>2314</v>
      </c>
      <c r="B231">
        <v>543</v>
      </c>
      <c r="C231" t="str">
        <f>IF(Y231&lt;0, "Down", "Up")</f>
        <v>Down</v>
      </c>
      <c r="D231" s="7" t="str">
        <f>IF(AC231&lt;0.05, "Sig", "N")</f>
        <v>Sig</v>
      </c>
      <c r="E231" s="1" t="str">
        <f>IF(AND(H231&gt;2,J231&gt;2,L231&gt;2,N231&gt;2),"Y","N")</f>
        <v>Y</v>
      </c>
      <c r="F231" s="1" t="str">
        <f>IF(AND(P231&gt;2,R231&gt;2,T231&gt;2,V231&gt;2),"Y","N")</f>
        <v>N</v>
      </c>
      <c r="G231" s="1" t="str">
        <f>IF(OR(E231="Y", F231="Y"), "Expressed", "N")</f>
        <v>Expressed</v>
      </c>
      <c r="H231" s="8">
        <v>14.818829779435109</v>
      </c>
      <c r="I231" s="8">
        <v>358</v>
      </c>
      <c r="J231" s="8">
        <v>8.5193256326118494</v>
      </c>
      <c r="K231" s="8">
        <v>461</v>
      </c>
      <c r="L231" s="8">
        <v>18.801925012687391</v>
      </c>
      <c r="M231" s="8">
        <v>789</v>
      </c>
      <c r="N231" s="8">
        <v>12.37141673727106</v>
      </c>
      <c r="O231" s="8">
        <v>309</v>
      </c>
      <c r="P231" s="9">
        <v>6.0094004810181678</v>
      </c>
      <c r="Q231" s="9">
        <v>542</v>
      </c>
      <c r="R231" s="9">
        <v>22.68112685622495</v>
      </c>
      <c r="S231" s="9">
        <v>145</v>
      </c>
      <c r="T231" s="9">
        <v>10.27062673698048</v>
      </c>
      <c r="U231" s="9">
        <v>106</v>
      </c>
      <c r="V231" s="9">
        <v>1.944006690205859</v>
      </c>
      <c r="W231" s="9">
        <v>403</v>
      </c>
      <c r="X231">
        <v>344.16258157533701</v>
      </c>
      <c r="Y231">
        <v>-0.71421791387521705</v>
      </c>
      <c r="Z231">
        <v>0.22726023958978789</v>
      </c>
      <c r="AA231">
        <v>-3.1427315009629639</v>
      </c>
      <c r="AB231">
        <v>1.673792974960822E-3</v>
      </c>
      <c r="AC231">
        <v>4.1965228584283747E-2</v>
      </c>
      <c r="AD231" t="s">
        <v>2315</v>
      </c>
      <c r="AE231" t="s">
        <v>2316</v>
      </c>
      <c r="AF231" t="s">
        <v>2317</v>
      </c>
      <c r="AG231" t="s">
        <v>43</v>
      </c>
      <c r="AH231" t="s">
        <v>43</v>
      </c>
      <c r="AI231" t="s">
        <v>43</v>
      </c>
      <c r="AJ231" t="s">
        <v>43</v>
      </c>
      <c r="AK231" t="s">
        <v>43</v>
      </c>
      <c r="AL231" t="s">
        <v>43</v>
      </c>
      <c r="AM231" t="s">
        <v>43</v>
      </c>
      <c r="AN231" t="s">
        <v>43</v>
      </c>
    </row>
    <row r="232" spans="1:40" x14ac:dyDescent="0.3">
      <c r="A232" t="s">
        <v>2321</v>
      </c>
      <c r="B232">
        <v>1315</v>
      </c>
      <c r="C232" t="str">
        <f>IF(Y232&lt;0, "Down", "Up")</f>
        <v>Down</v>
      </c>
      <c r="D232" s="7" t="str">
        <f>IF(AC232&lt;0.05, "Sig", "N")</f>
        <v>Sig</v>
      </c>
      <c r="E232" s="1" t="str">
        <f>IF(AND(H232&gt;2,J232&gt;2,L232&gt;2,N232&gt;2),"Y","N")</f>
        <v>Y</v>
      </c>
      <c r="F232" s="1" t="str">
        <f>IF(AND(P232&gt;2,R232&gt;2,T232&gt;2,V232&gt;2),"Y","N")</f>
        <v>N</v>
      </c>
      <c r="G232" s="1" t="str">
        <f>IF(OR(E232="Y", F232="Y"), "Expressed", "N")</f>
        <v>Expressed</v>
      </c>
      <c r="H232" s="8">
        <v>16.95573544123755</v>
      </c>
      <c r="I232" s="8">
        <v>992</v>
      </c>
      <c r="J232" s="8">
        <v>8.4245641820692168</v>
      </c>
      <c r="K232" s="8">
        <v>1104</v>
      </c>
      <c r="L232" s="8">
        <v>28.487081487438392</v>
      </c>
      <c r="M232" s="8">
        <v>2895</v>
      </c>
      <c r="N232" s="8">
        <v>8.464571832672922</v>
      </c>
      <c r="O232" s="8">
        <v>512</v>
      </c>
      <c r="P232" s="9">
        <v>4.1116553684293669</v>
      </c>
      <c r="Q232" s="9">
        <v>1179</v>
      </c>
      <c r="R232" s="9">
        <v>20.37291733191341</v>
      </c>
      <c r="S232" s="9">
        <v>326</v>
      </c>
      <c r="T232" s="9">
        <v>9.5349983150743967</v>
      </c>
      <c r="U232" s="9">
        <v>207</v>
      </c>
      <c r="V232" s="9">
        <v>1.567603816527934</v>
      </c>
      <c r="W232" s="9">
        <v>987</v>
      </c>
      <c r="X232">
        <v>864.88550594473372</v>
      </c>
      <c r="Y232">
        <v>-1.0161371775003749</v>
      </c>
      <c r="Z232">
        <v>0.30579884859415879</v>
      </c>
      <c r="AA232">
        <v>-3.3228940598430512</v>
      </c>
      <c r="AB232">
        <v>8.9088741641124862E-4</v>
      </c>
      <c r="AC232">
        <v>2.8734461526322981E-2</v>
      </c>
      <c r="AD232" t="s">
        <v>2322</v>
      </c>
      <c r="AE232" t="s">
        <v>2323</v>
      </c>
      <c r="AF232" t="s">
        <v>2324</v>
      </c>
      <c r="AG232" t="s">
        <v>2325</v>
      </c>
      <c r="AH232" t="s">
        <v>43</v>
      </c>
      <c r="AI232" t="s">
        <v>43</v>
      </c>
      <c r="AJ232" t="s">
        <v>43</v>
      </c>
      <c r="AK232" t="s">
        <v>43</v>
      </c>
      <c r="AL232" t="s">
        <v>43</v>
      </c>
      <c r="AM232" t="s">
        <v>2326</v>
      </c>
      <c r="AN232" t="s">
        <v>43</v>
      </c>
    </row>
    <row r="233" spans="1:40" x14ac:dyDescent="0.3">
      <c r="A233" t="s">
        <v>2327</v>
      </c>
      <c r="B233">
        <v>1887</v>
      </c>
      <c r="C233" t="str">
        <f>IF(Y233&lt;0, "Down", "Up")</f>
        <v>Down</v>
      </c>
      <c r="D233" s="7" t="str">
        <f>IF(AC233&lt;0.05, "Sig", "N")</f>
        <v>Sig</v>
      </c>
      <c r="E233" s="1" t="str">
        <f>IF(AND(H233&gt;2,J233&gt;2,L233&gt;2,N233&gt;2),"Y","N")</f>
        <v>Y</v>
      </c>
      <c r="F233" s="1" t="str">
        <f>IF(AND(P233&gt;2,R233&gt;2,T233&gt;2,V233&gt;2),"Y","N")</f>
        <v>N</v>
      </c>
      <c r="G233" s="1" t="str">
        <f>IF(OR(E233="Y", F233="Y"), "Expressed", "N")</f>
        <v>Expressed</v>
      </c>
      <c r="H233" s="8">
        <v>10.87500811583959</v>
      </c>
      <c r="I233" s="8">
        <v>913</v>
      </c>
      <c r="J233" s="8">
        <v>8.4021283116965488</v>
      </c>
      <c r="K233" s="8">
        <v>1580</v>
      </c>
      <c r="L233" s="8">
        <v>12.50771786828161</v>
      </c>
      <c r="M233" s="8">
        <v>1824</v>
      </c>
      <c r="N233" s="8">
        <v>7.6729632076963874</v>
      </c>
      <c r="O233" s="8">
        <v>666</v>
      </c>
      <c r="P233" s="9">
        <v>3.7271324513910509</v>
      </c>
      <c r="Q233" s="9">
        <v>974</v>
      </c>
      <c r="R233" s="9">
        <v>11.72876345042304</v>
      </c>
      <c r="S233" s="9">
        <v>373</v>
      </c>
      <c r="T233" s="9">
        <v>7.6026623857657274</v>
      </c>
      <c r="U233" s="9">
        <v>200</v>
      </c>
      <c r="V233" s="9">
        <v>1.0554795300334781</v>
      </c>
      <c r="W233" s="9">
        <v>1258</v>
      </c>
      <c r="X233">
        <v>839.15543174490801</v>
      </c>
      <c r="Y233">
        <v>-0.86432260969114816</v>
      </c>
      <c r="Z233">
        <v>0.18061095214753509</v>
      </c>
      <c r="AA233">
        <v>-4.7855492671624464</v>
      </c>
      <c r="AB233">
        <v>1.705203498457348E-6</v>
      </c>
      <c r="AC233">
        <v>3.2511629927845659E-4</v>
      </c>
      <c r="AD233" t="s">
        <v>2328</v>
      </c>
      <c r="AE233" t="s">
        <v>2329</v>
      </c>
      <c r="AF233" t="s">
        <v>2330</v>
      </c>
      <c r="AG233" t="s">
        <v>333</v>
      </c>
      <c r="AH233" t="s">
        <v>43</v>
      </c>
      <c r="AI233" t="s">
        <v>43</v>
      </c>
      <c r="AJ233" t="s">
        <v>43</v>
      </c>
      <c r="AK233" t="s">
        <v>43</v>
      </c>
      <c r="AL233" t="s">
        <v>43</v>
      </c>
      <c r="AM233" t="s">
        <v>334</v>
      </c>
      <c r="AN233" t="s">
        <v>43</v>
      </c>
    </row>
    <row r="234" spans="1:40" x14ac:dyDescent="0.3">
      <c r="A234" t="s">
        <v>2331</v>
      </c>
      <c r="B234">
        <v>1039</v>
      </c>
      <c r="C234" t="str">
        <f>IF(Y234&lt;0, "Down", "Up")</f>
        <v>Down</v>
      </c>
      <c r="D234" s="7" t="str">
        <f>IF(AC234&lt;0.05, "Sig", "N")</f>
        <v>Sig</v>
      </c>
      <c r="E234" s="1" t="str">
        <f>IF(AND(H234&gt;2,J234&gt;2,L234&gt;2,N234&gt;2),"Y","N")</f>
        <v>Y</v>
      </c>
      <c r="F234" s="1" t="str">
        <f>IF(AND(P234&gt;2,R234&gt;2,T234&gt;2,V234&gt;2),"Y","N")</f>
        <v>N</v>
      </c>
      <c r="G234" s="1" t="str">
        <f>IF(OR(E234="Y", F234="Y"), "Expressed", "N")</f>
        <v>Expressed</v>
      </c>
      <c r="H234" s="8">
        <v>10.53523253908625</v>
      </c>
      <c r="I234" s="8">
        <v>487</v>
      </c>
      <c r="J234" s="8">
        <v>8.3735124935469791</v>
      </c>
      <c r="K234" s="8">
        <v>867</v>
      </c>
      <c r="L234" s="8">
        <v>15.243721752821759</v>
      </c>
      <c r="M234" s="8">
        <v>1224</v>
      </c>
      <c r="N234" s="8">
        <v>7.8046614854030789</v>
      </c>
      <c r="O234" s="8">
        <v>373</v>
      </c>
      <c r="P234" s="9">
        <v>3.791104727986951</v>
      </c>
      <c r="Q234" s="9">
        <v>705</v>
      </c>
      <c r="R234" s="9">
        <v>15.418379824245131</v>
      </c>
      <c r="S234" s="9">
        <v>280</v>
      </c>
      <c r="T234" s="9">
        <v>10.36504655730319</v>
      </c>
      <c r="U234" s="9">
        <v>159</v>
      </c>
      <c r="V234" s="9">
        <v>1.5239590463644579</v>
      </c>
      <c r="W234" s="9">
        <v>767</v>
      </c>
      <c r="X234">
        <v>524.68068058585015</v>
      </c>
      <c r="Y234">
        <v>-0.58109638140216602</v>
      </c>
      <c r="Z234">
        <v>0.17725342460915011</v>
      </c>
      <c r="AA234">
        <v>-3.2783365550397878</v>
      </c>
      <c r="AB234">
        <v>1.044208157685506E-3</v>
      </c>
      <c r="AC234">
        <v>3.1731580030849277E-2</v>
      </c>
      <c r="AD234" t="s">
        <v>2332</v>
      </c>
      <c r="AE234" t="s">
        <v>2333</v>
      </c>
      <c r="AF234" t="s">
        <v>2334</v>
      </c>
      <c r="AG234" t="s">
        <v>1119</v>
      </c>
      <c r="AH234" t="s">
        <v>43</v>
      </c>
      <c r="AI234" t="s">
        <v>43</v>
      </c>
      <c r="AJ234" t="s">
        <v>43</v>
      </c>
      <c r="AK234" t="s">
        <v>43</v>
      </c>
      <c r="AL234" t="s">
        <v>43</v>
      </c>
      <c r="AM234" t="s">
        <v>1120</v>
      </c>
      <c r="AN234" t="s">
        <v>43</v>
      </c>
    </row>
    <row r="235" spans="1:40" x14ac:dyDescent="0.3">
      <c r="A235" t="s">
        <v>2335</v>
      </c>
      <c r="B235">
        <v>932</v>
      </c>
      <c r="C235" t="str">
        <f>IF(Y235&lt;0, "Down", "Up")</f>
        <v>Down</v>
      </c>
      <c r="D235" s="7" t="str">
        <f>IF(AC235&lt;0.05, "Sig", "N")</f>
        <v>Sig</v>
      </c>
      <c r="E235" s="1" t="str">
        <f>IF(AND(H235&gt;2,J235&gt;2,L235&gt;2,N235&gt;2),"Y","N")</f>
        <v>Y</v>
      </c>
      <c r="F235" s="1" t="str">
        <f>IF(AND(P235&gt;2,R235&gt;2,T235&gt;2,V235&gt;2),"Y","N")</f>
        <v>N</v>
      </c>
      <c r="G235" s="1" t="str">
        <f>IF(OR(E235="Y", F235="Y"), "Expressed", "N")</f>
        <v>Expressed</v>
      </c>
      <c r="H235" s="8">
        <v>4.9197718977857017</v>
      </c>
      <c r="I235" s="8">
        <v>204</v>
      </c>
      <c r="J235" s="8">
        <v>8.3227663823440015</v>
      </c>
      <c r="K235" s="8">
        <v>773</v>
      </c>
      <c r="L235" s="8">
        <v>6.9696817445731893</v>
      </c>
      <c r="M235" s="8">
        <v>502</v>
      </c>
      <c r="N235" s="8">
        <v>4.7818806829080671</v>
      </c>
      <c r="O235" s="8">
        <v>205</v>
      </c>
      <c r="P235" s="9">
        <v>2.322792666862985</v>
      </c>
      <c r="Q235" s="9">
        <v>279</v>
      </c>
      <c r="R235" s="9">
        <v>6.8022636621191408</v>
      </c>
      <c r="S235" s="9">
        <v>74</v>
      </c>
      <c r="T235" s="9">
        <v>3.053828056425556</v>
      </c>
      <c r="U235" s="9">
        <v>76</v>
      </c>
      <c r="V235" s="9">
        <v>0.81206239464142216</v>
      </c>
      <c r="W235" s="9">
        <v>323</v>
      </c>
      <c r="X235">
        <v>253.55547812887161</v>
      </c>
      <c r="Y235">
        <v>-1.0757021737828489</v>
      </c>
      <c r="Z235">
        <v>0.2549124123762071</v>
      </c>
      <c r="AA235">
        <v>-4.2198893484845161</v>
      </c>
      <c r="AB235">
        <v>2.4442225570400609E-5</v>
      </c>
      <c r="AC235">
        <v>2.4695004142538941E-3</v>
      </c>
      <c r="AD235" t="s">
        <v>2336</v>
      </c>
      <c r="AE235" t="s">
        <v>2337</v>
      </c>
      <c r="AF235" t="s">
        <v>2338</v>
      </c>
      <c r="AG235" t="s">
        <v>829</v>
      </c>
      <c r="AH235" t="s">
        <v>830</v>
      </c>
      <c r="AI235" t="s">
        <v>831</v>
      </c>
      <c r="AJ235" t="s">
        <v>832</v>
      </c>
      <c r="AK235" t="s">
        <v>833</v>
      </c>
      <c r="AL235" t="s">
        <v>834</v>
      </c>
      <c r="AM235" t="s">
        <v>1855</v>
      </c>
      <c r="AN235" t="s">
        <v>43</v>
      </c>
    </row>
    <row r="236" spans="1:40" x14ac:dyDescent="0.3">
      <c r="A236" t="s">
        <v>2339</v>
      </c>
      <c r="B236">
        <v>2247</v>
      </c>
      <c r="C236" t="str">
        <f>IF(Y236&lt;0, "Down", "Up")</f>
        <v>Down</v>
      </c>
      <c r="D236" s="7" t="str">
        <f>IF(AC236&lt;0.05, "Sig", "N")</f>
        <v>Sig</v>
      </c>
      <c r="E236" s="1" t="str">
        <f>IF(AND(H236&gt;2,J236&gt;2,L236&gt;2,N236&gt;2),"Y","N")</f>
        <v>Y</v>
      </c>
      <c r="F236" s="1" t="str">
        <f>IF(AND(P236&gt;2,R236&gt;2,T236&gt;2,V236&gt;2),"Y","N")</f>
        <v>Y</v>
      </c>
      <c r="G236" s="1" t="str">
        <f>IF(OR(E236="Y", F236="Y"), "Expressed", "N")</f>
        <v>Expressed</v>
      </c>
      <c r="H236" s="8">
        <v>17.955276313257791</v>
      </c>
      <c r="I236" s="8">
        <v>1795</v>
      </c>
      <c r="J236" s="8">
        <v>8.3108878806292932</v>
      </c>
      <c r="K236" s="8">
        <v>1861</v>
      </c>
      <c r="L236" s="8">
        <v>27.451572189911051</v>
      </c>
      <c r="M236" s="8">
        <v>4767</v>
      </c>
      <c r="N236" s="8">
        <v>201.16572224040911</v>
      </c>
      <c r="O236" s="8">
        <v>20792</v>
      </c>
      <c r="P236" s="9">
        <v>97.716002432761186</v>
      </c>
      <c r="Q236" s="9">
        <v>10578</v>
      </c>
      <c r="R236" s="9">
        <v>106.970902751545</v>
      </c>
      <c r="S236" s="9">
        <v>5878</v>
      </c>
      <c r="T236" s="9">
        <v>100.61327431292111</v>
      </c>
      <c r="U236" s="9">
        <v>2204</v>
      </c>
      <c r="V236" s="9">
        <v>9.7678782387042098</v>
      </c>
      <c r="W236" s="9">
        <v>10283</v>
      </c>
      <c r="X236">
        <v>7684.9287700560953</v>
      </c>
      <c r="Y236">
        <v>-0.40155870597911852</v>
      </c>
      <c r="Z236">
        <v>0.96809911118431147</v>
      </c>
      <c r="AA236">
        <v>-0.4147909045055076</v>
      </c>
      <c r="AD236" t="s">
        <v>2340</v>
      </c>
      <c r="AE236" t="s">
        <v>2341</v>
      </c>
      <c r="AF236" t="s">
        <v>2342</v>
      </c>
      <c r="AG236" t="s">
        <v>2343</v>
      </c>
      <c r="AH236" t="s">
        <v>43</v>
      </c>
      <c r="AI236" t="s">
        <v>43</v>
      </c>
      <c r="AJ236" t="s">
        <v>43</v>
      </c>
      <c r="AK236" t="s">
        <v>43</v>
      </c>
      <c r="AL236" t="s">
        <v>43</v>
      </c>
      <c r="AM236" t="s">
        <v>2344</v>
      </c>
      <c r="AN236" t="s">
        <v>43</v>
      </c>
    </row>
    <row r="237" spans="1:40" x14ac:dyDescent="0.3">
      <c r="A237" t="s">
        <v>2345</v>
      </c>
      <c r="B237">
        <v>2206</v>
      </c>
      <c r="C237" t="str">
        <f>IF(Y237&lt;0, "Down", "Up")</f>
        <v>Down</v>
      </c>
      <c r="D237" s="7" t="str">
        <f>IF(AC237&lt;0.05, "Sig", "N")</f>
        <v>Sig</v>
      </c>
      <c r="E237" s="1" t="str">
        <f>IF(AND(H237&gt;2,J237&gt;2,L237&gt;2,N237&gt;2),"Y","N")</f>
        <v>Y</v>
      </c>
      <c r="F237" s="1" t="str">
        <f>IF(AND(P237&gt;2,R237&gt;2,T237&gt;2,V237&gt;2),"Y","N")</f>
        <v>N</v>
      </c>
      <c r="G237" s="1" t="str">
        <f>IF(OR(E237="Y", F237="Y"), "Expressed", "N")</f>
        <v>Expressed</v>
      </c>
      <c r="H237" s="8">
        <v>10.23979509043952</v>
      </c>
      <c r="I237" s="8">
        <v>1005</v>
      </c>
      <c r="J237" s="8">
        <v>8.2970450584965665</v>
      </c>
      <c r="K237" s="8">
        <v>1824</v>
      </c>
      <c r="L237" s="8">
        <v>9.9658194174488077</v>
      </c>
      <c r="M237" s="8">
        <v>1699</v>
      </c>
      <c r="N237" s="8">
        <v>9.785984580622749</v>
      </c>
      <c r="O237" s="8">
        <v>993</v>
      </c>
      <c r="P237" s="9">
        <v>4.7535299873022314</v>
      </c>
      <c r="Q237" s="9">
        <v>1252</v>
      </c>
      <c r="R237" s="9">
        <v>12.89626626930624</v>
      </c>
      <c r="S237" s="9">
        <v>430</v>
      </c>
      <c r="T237" s="9">
        <v>7.497072675829469</v>
      </c>
      <c r="U237" s="9">
        <v>311</v>
      </c>
      <c r="V237" s="9">
        <v>1.4039337047979521</v>
      </c>
      <c r="W237" s="9">
        <v>1253</v>
      </c>
      <c r="X237">
        <v>983.76281867566775</v>
      </c>
      <c r="Y237">
        <v>-0.78429935523656302</v>
      </c>
      <c r="Z237">
        <v>0.13455643498252071</v>
      </c>
      <c r="AA237">
        <v>-5.8287762702575003</v>
      </c>
      <c r="AB237">
        <v>5.5835300330122013E-9</v>
      </c>
      <c r="AC237">
        <v>4.2582521625959498E-6</v>
      </c>
      <c r="AD237" t="s">
        <v>2346</v>
      </c>
      <c r="AE237" t="s">
        <v>2347</v>
      </c>
      <c r="AF237" t="s">
        <v>2348</v>
      </c>
      <c r="AG237" t="s">
        <v>2349</v>
      </c>
      <c r="AH237" t="s">
        <v>43</v>
      </c>
      <c r="AI237" t="s">
        <v>43</v>
      </c>
      <c r="AJ237" t="s">
        <v>43</v>
      </c>
      <c r="AK237" t="s">
        <v>43</v>
      </c>
      <c r="AL237" t="s">
        <v>43</v>
      </c>
      <c r="AM237" t="s">
        <v>2350</v>
      </c>
      <c r="AN237" t="s">
        <v>43</v>
      </c>
    </row>
    <row r="238" spans="1:40" x14ac:dyDescent="0.3">
      <c r="A238" t="s">
        <v>2362</v>
      </c>
      <c r="B238">
        <v>1818</v>
      </c>
      <c r="C238" t="str">
        <f>IF(Y238&lt;0, "Down", "Up")</f>
        <v>Down</v>
      </c>
      <c r="D238" s="7" t="str">
        <f>IF(AC238&lt;0.05, "Sig", "N")</f>
        <v>Sig</v>
      </c>
      <c r="E238" s="1" t="str">
        <f>IF(AND(H238&gt;2,J238&gt;2,L238&gt;2,N238&gt;2),"Y","N")</f>
        <v>Y</v>
      </c>
      <c r="F238" s="1" t="str">
        <f>IF(AND(P238&gt;2,R238&gt;2,T238&gt;2,V238&gt;2),"Y","N")</f>
        <v>N</v>
      </c>
      <c r="G238" s="1" t="str">
        <f>IF(OR(E238="Y", F238="Y"), "Expressed", "N")</f>
        <v>Expressed</v>
      </c>
      <c r="H238" s="8">
        <v>11.96774124672856</v>
      </c>
      <c r="I238" s="8">
        <v>968</v>
      </c>
      <c r="J238" s="8">
        <v>8.146979083732635</v>
      </c>
      <c r="K238" s="8">
        <v>1476</v>
      </c>
      <c r="L238" s="8">
        <v>17.010973369888859</v>
      </c>
      <c r="M238" s="8">
        <v>2390</v>
      </c>
      <c r="N238" s="8">
        <v>10.20037032222271</v>
      </c>
      <c r="O238" s="8">
        <v>853</v>
      </c>
      <c r="P238" s="9">
        <v>4.9548173521838672</v>
      </c>
      <c r="Q238" s="9">
        <v>1221</v>
      </c>
      <c r="R238" s="9">
        <v>15.261139272565149</v>
      </c>
      <c r="S238" s="9">
        <v>309</v>
      </c>
      <c r="T238" s="9">
        <v>6.5372241125820114</v>
      </c>
      <c r="U238" s="9">
        <v>265</v>
      </c>
      <c r="V238" s="9">
        <v>1.451589153990348</v>
      </c>
      <c r="W238" s="9">
        <v>968</v>
      </c>
      <c r="X238">
        <v>922.9783225354214</v>
      </c>
      <c r="Y238">
        <v>-1.0413981599706861</v>
      </c>
      <c r="Z238">
        <v>0.205142257369999</v>
      </c>
      <c r="AA238">
        <v>-5.0764682680292319</v>
      </c>
      <c r="AB238">
        <v>3.8451497886720758E-7</v>
      </c>
      <c r="AC238">
        <v>1.196145148734016E-4</v>
      </c>
      <c r="AD238" t="s">
        <v>2363</v>
      </c>
      <c r="AE238" t="s">
        <v>2364</v>
      </c>
      <c r="AF238" t="s">
        <v>43</v>
      </c>
      <c r="AG238" t="s">
        <v>2365</v>
      </c>
      <c r="AH238" t="s">
        <v>43</v>
      </c>
      <c r="AI238" t="s">
        <v>43</v>
      </c>
      <c r="AJ238" t="s">
        <v>43</v>
      </c>
      <c r="AK238" t="s">
        <v>43</v>
      </c>
      <c r="AL238" t="s">
        <v>43</v>
      </c>
      <c r="AM238" t="s">
        <v>1563</v>
      </c>
      <c r="AN238" t="s">
        <v>43</v>
      </c>
    </row>
    <row r="239" spans="1:40" x14ac:dyDescent="0.3">
      <c r="A239" t="s">
        <v>2371</v>
      </c>
      <c r="B239">
        <v>2995</v>
      </c>
      <c r="C239" t="str">
        <f>IF(Y239&lt;0, "Down", "Up")</f>
        <v>Down</v>
      </c>
      <c r="D239" s="7" t="str">
        <f>IF(AC239&lt;0.05, "Sig", "N")</f>
        <v>Sig</v>
      </c>
      <c r="E239" s="1" t="str">
        <f>IF(AND(H239&gt;2,J239&gt;2,L239&gt;2,N239&gt;2),"Y","N")</f>
        <v>Y</v>
      </c>
      <c r="F239" s="1" t="str">
        <f>IF(AND(P239&gt;2,R239&gt;2,T239&gt;2,V239&gt;2),"Y","N")</f>
        <v>N</v>
      </c>
      <c r="G239" s="1" t="str">
        <f>IF(OR(E239="Y", F239="Y"), "Expressed", "N")</f>
        <v>Expressed</v>
      </c>
      <c r="H239" s="8">
        <v>8.7504912739966869</v>
      </c>
      <c r="I239" s="8">
        <v>1166</v>
      </c>
      <c r="J239" s="8">
        <v>8.1048160868051369</v>
      </c>
      <c r="K239" s="8">
        <v>2419</v>
      </c>
      <c r="L239" s="8">
        <v>8.1051517416328611</v>
      </c>
      <c r="M239" s="8">
        <v>1876</v>
      </c>
      <c r="N239" s="8">
        <v>5.1900315965247401</v>
      </c>
      <c r="O239" s="8">
        <v>715</v>
      </c>
      <c r="P239" s="9">
        <v>2.521051471711643</v>
      </c>
      <c r="Q239" s="9">
        <v>1278</v>
      </c>
      <c r="R239" s="9">
        <v>9.6961471495448919</v>
      </c>
      <c r="S239" s="9">
        <v>488</v>
      </c>
      <c r="T239" s="9">
        <v>6.2668856260941466</v>
      </c>
      <c r="U239" s="9">
        <v>351</v>
      </c>
      <c r="V239" s="9">
        <v>1.167083715331859</v>
      </c>
      <c r="W239" s="9">
        <v>1549</v>
      </c>
      <c r="X239">
        <v>1072.039840059552</v>
      </c>
      <c r="Y239">
        <v>-0.70846366539512884</v>
      </c>
      <c r="Z239">
        <v>0.1802252052595831</v>
      </c>
      <c r="AA239">
        <v>-3.9309910307756888</v>
      </c>
      <c r="AB239">
        <v>8.4596428309316211E-5</v>
      </c>
      <c r="AC239">
        <v>5.9702350987726983E-3</v>
      </c>
      <c r="AD239" t="s">
        <v>2372</v>
      </c>
      <c r="AE239" t="s">
        <v>2373</v>
      </c>
      <c r="AF239" t="s">
        <v>2374</v>
      </c>
      <c r="AG239" t="s">
        <v>2375</v>
      </c>
      <c r="AH239" t="s">
        <v>43</v>
      </c>
      <c r="AI239" t="s">
        <v>43</v>
      </c>
      <c r="AJ239" t="s">
        <v>43</v>
      </c>
      <c r="AK239" t="s">
        <v>43</v>
      </c>
      <c r="AL239" t="s">
        <v>43</v>
      </c>
      <c r="AM239" t="s">
        <v>2376</v>
      </c>
      <c r="AN239" t="s">
        <v>43</v>
      </c>
    </row>
    <row r="240" spans="1:40" x14ac:dyDescent="0.3">
      <c r="A240" t="s">
        <v>2377</v>
      </c>
      <c r="B240">
        <v>1188</v>
      </c>
      <c r="C240" t="str">
        <f>IF(Y240&lt;0, "Down", "Up")</f>
        <v>Down</v>
      </c>
      <c r="D240" s="7" t="str">
        <f>IF(AC240&lt;0.05, "Sig", "N")</f>
        <v>Sig</v>
      </c>
      <c r="E240" s="1" t="str">
        <f>IF(AND(H240&gt;2,J240&gt;2,L240&gt;2,N240&gt;2),"Y","N")</f>
        <v>Y</v>
      </c>
      <c r="F240" s="1" t="str">
        <f>IF(AND(P240&gt;2,R240&gt;2,T240&gt;2,V240&gt;2),"Y","N")</f>
        <v>Y</v>
      </c>
      <c r="G240" s="1" t="str">
        <f>IF(OR(E240="Y", F240="Y"), "Expressed", "N")</f>
        <v>Expressed</v>
      </c>
      <c r="H240" s="8">
        <v>20.811671245171901</v>
      </c>
      <c r="I240" s="8">
        <v>1100</v>
      </c>
      <c r="J240" s="8">
        <v>8.1003967220093127</v>
      </c>
      <c r="K240" s="8">
        <v>959</v>
      </c>
      <c r="L240" s="8">
        <v>24.833821146304079</v>
      </c>
      <c r="M240" s="8">
        <v>2280</v>
      </c>
      <c r="N240" s="8">
        <v>14.84106954889311</v>
      </c>
      <c r="O240" s="8">
        <v>811</v>
      </c>
      <c r="P240" s="9">
        <v>7.2090313001302491</v>
      </c>
      <c r="Q240" s="9">
        <v>1211</v>
      </c>
      <c r="R240" s="9">
        <v>23.16289685015656</v>
      </c>
      <c r="S240" s="9">
        <v>322</v>
      </c>
      <c r="T240" s="9">
        <v>10.424811345954311</v>
      </c>
      <c r="U240" s="9">
        <v>268</v>
      </c>
      <c r="V240" s="9">
        <v>2.2465188805151941</v>
      </c>
      <c r="W240" s="9">
        <v>740</v>
      </c>
      <c r="X240">
        <v>873.56956990740878</v>
      </c>
      <c r="Y240">
        <v>-1.031122591512758</v>
      </c>
      <c r="Z240">
        <v>0.27833620058992509</v>
      </c>
      <c r="AA240">
        <v>-3.704593902364568</v>
      </c>
      <c r="AB240">
        <v>2.1172966398393591E-4</v>
      </c>
      <c r="AC240">
        <v>1.1299577236813119E-2</v>
      </c>
      <c r="AD240" t="s">
        <v>2378</v>
      </c>
      <c r="AE240" t="s">
        <v>2379</v>
      </c>
      <c r="AF240" t="s">
        <v>2380</v>
      </c>
      <c r="AG240" t="s">
        <v>2381</v>
      </c>
      <c r="AH240" t="s">
        <v>43</v>
      </c>
      <c r="AI240" t="s">
        <v>43</v>
      </c>
      <c r="AJ240" t="s">
        <v>43</v>
      </c>
      <c r="AK240" t="s">
        <v>43</v>
      </c>
      <c r="AL240" t="s">
        <v>43</v>
      </c>
      <c r="AM240" t="s">
        <v>2382</v>
      </c>
      <c r="AN240" t="s">
        <v>43</v>
      </c>
    </row>
    <row r="241" spans="1:40" x14ac:dyDescent="0.3">
      <c r="A241" t="s">
        <v>2383</v>
      </c>
      <c r="B241">
        <v>2272</v>
      </c>
      <c r="C241" t="str">
        <f>IF(Y241&lt;0, "Down", "Up")</f>
        <v>Down</v>
      </c>
      <c r="D241" s="7" t="str">
        <f>IF(AC241&lt;0.05, "Sig", "N")</f>
        <v>Sig</v>
      </c>
      <c r="E241" s="1" t="str">
        <f>IF(AND(H241&gt;2,J241&gt;2,L241&gt;2,N241&gt;2),"Y","N")</f>
        <v>Y</v>
      </c>
      <c r="F241" s="1" t="str">
        <f>IF(AND(P241&gt;2,R241&gt;2,T241&gt;2,V241&gt;2),"Y","N")</f>
        <v>N</v>
      </c>
      <c r="G241" s="1" t="str">
        <f>IF(OR(E241="Y", F241="Y"), "Expressed", "N")</f>
        <v>Expressed</v>
      </c>
      <c r="H241" s="8">
        <v>11.13937375344571</v>
      </c>
      <c r="I241" s="8">
        <v>1126</v>
      </c>
      <c r="J241" s="8">
        <v>8.0869384926451389</v>
      </c>
      <c r="K241" s="8">
        <v>1831</v>
      </c>
      <c r="L241" s="8">
        <v>11.555769290861861</v>
      </c>
      <c r="M241" s="8">
        <v>2029</v>
      </c>
      <c r="N241" s="8">
        <v>10.07582998686715</v>
      </c>
      <c r="O241" s="8">
        <v>1053</v>
      </c>
      <c r="P241" s="9">
        <v>4.8943220372910208</v>
      </c>
      <c r="Q241" s="9">
        <v>1623</v>
      </c>
      <c r="R241" s="9">
        <v>16.232124439669541</v>
      </c>
      <c r="S241" s="9">
        <v>515</v>
      </c>
      <c r="T241" s="9">
        <v>8.7182170163395654</v>
      </c>
      <c r="U241" s="9">
        <v>356</v>
      </c>
      <c r="V241" s="9">
        <v>1.5603908337360239</v>
      </c>
      <c r="W241" s="9">
        <v>1291</v>
      </c>
      <c r="X241">
        <v>1102.515335579601</v>
      </c>
      <c r="Y241">
        <v>-0.69030283643354939</v>
      </c>
      <c r="Z241">
        <v>0.15158385967838331</v>
      </c>
      <c r="AA241">
        <v>-4.5539336305208913</v>
      </c>
      <c r="AB241">
        <v>5.2651973582652771E-6</v>
      </c>
      <c r="AC241">
        <v>7.6958798460408692E-4</v>
      </c>
      <c r="AD241" t="s">
        <v>2384</v>
      </c>
      <c r="AE241" t="s">
        <v>2385</v>
      </c>
      <c r="AF241" t="s">
        <v>55</v>
      </c>
      <c r="AG241" t="s">
        <v>2386</v>
      </c>
      <c r="AH241" t="s">
        <v>43</v>
      </c>
      <c r="AI241" t="s">
        <v>43</v>
      </c>
      <c r="AJ241" t="s">
        <v>43</v>
      </c>
      <c r="AK241" t="s">
        <v>43</v>
      </c>
      <c r="AL241" t="s">
        <v>43</v>
      </c>
      <c r="AM241" t="s">
        <v>2387</v>
      </c>
      <c r="AN241" t="s">
        <v>43</v>
      </c>
    </row>
    <row r="242" spans="1:40" x14ac:dyDescent="0.3">
      <c r="A242" t="s">
        <v>2392</v>
      </c>
      <c r="B242">
        <v>1595</v>
      </c>
      <c r="C242" t="str">
        <f>IF(Y242&lt;0, "Down", "Up")</f>
        <v>Down</v>
      </c>
      <c r="D242" s="7" t="str">
        <f>IF(AC242&lt;0.05, "Sig", "N")</f>
        <v>Sig</v>
      </c>
      <c r="E242" s="1" t="str">
        <f>IF(AND(H242&gt;2,J242&gt;2,L242&gt;2,N242&gt;2),"Y","N")</f>
        <v>Y</v>
      </c>
      <c r="F242" s="1" t="str">
        <f>IF(AND(P242&gt;2,R242&gt;2,T242&gt;2,V242&gt;2),"Y","N")</f>
        <v>N</v>
      </c>
      <c r="G242" s="1" t="str">
        <f>IF(OR(E242="Y", F242="Y"), "Expressed", "N")</f>
        <v>Expressed</v>
      </c>
      <c r="H242" s="8">
        <v>13.95099617262558</v>
      </c>
      <c r="I242" s="8">
        <v>990</v>
      </c>
      <c r="J242" s="8">
        <v>7.9837155912755406</v>
      </c>
      <c r="K242" s="8">
        <v>1269</v>
      </c>
      <c r="L242" s="8">
        <v>23.14548187200181</v>
      </c>
      <c r="M242" s="8">
        <v>2853</v>
      </c>
      <c r="N242" s="8">
        <v>7.6601348470565602</v>
      </c>
      <c r="O242" s="8">
        <v>562</v>
      </c>
      <c r="P242" s="9">
        <v>3.7209010909707518</v>
      </c>
      <c r="Q242" s="9">
        <v>1123</v>
      </c>
      <c r="R242" s="9">
        <v>15.998683228875469</v>
      </c>
      <c r="S242" s="9">
        <v>218</v>
      </c>
      <c r="T242" s="9">
        <v>5.2568378309948214</v>
      </c>
      <c r="U242" s="9">
        <v>272</v>
      </c>
      <c r="V242" s="9">
        <v>1.6982434028310429</v>
      </c>
      <c r="W242" s="9">
        <v>1277</v>
      </c>
      <c r="X242">
        <v>899.07597524098765</v>
      </c>
      <c r="Y242">
        <v>-0.9809041515108079</v>
      </c>
      <c r="Z242">
        <v>0.31578224135051608</v>
      </c>
      <c r="AA242">
        <v>-3.1062676207368201</v>
      </c>
      <c r="AB242">
        <v>1.8946515859936961E-3</v>
      </c>
      <c r="AC242">
        <v>4.4919788492839167E-2</v>
      </c>
      <c r="AD242" t="s">
        <v>2393</v>
      </c>
      <c r="AE242" t="s">
        <v>2394</v>
      </c>
      <c r="AF242" t="s">
        <v>43</v>
      </c>
      <c r="AG242" t="s">
        <v>2395</v>
      </c>
      <c r="AH242" t="s">
        <v>43</v>
      </c>
      <c r="AI242" t="s">
        <v>43</v>
      </c>
      <c r="AJ242" t="s">
        <v>43</v>
      </c>
      <c r="AK242" t="s">
        <v>43</v>
      </c>
      <c r="AL242" t="s">
        <v>43</v>
      </c>
      <c r="AM242" t="s">
        <v>207</v>
      </c>
      <c r="AN242" t="s">
        <v>43</v>
      </c>
    </row>
    <row r="243" spans="1:40" x14ac:dyDescent="0.3">
      <c r="A243" t="s">
        <v>2396</v>
      </c>
      <c r="B243">
        <v>2715</v>
      </c>
      <c r="C243" t="str">
        <f>IF(Y243&lt;0, "Down", "Up")</f>
        <v>Down</v>
      </c>
      <c r="D243" s="7" t="str">
        <f>IF(AC243&lt;0.05, "Sig", "N")</f>
        <v>Sig</v>
      </c>
      <c r="E243" s="1" t="str">
        <f>IF(AND(H243&gt;2,J243&gt;2,L243&gt;2,N243&gt;2),"Y","N")</f>
        <v>Y</v>
      </c>
      <c r="F243" s="1" t="str">
        <f>IF(AND(P243&gt;2,R243&gt;2,T243&gt;2,V243&gt;2),"Y","N")</f>
        <v>N</v>
      </c>
      <c r="G243" s="1" t="str">
        <f>IF(OR(E243="Y", F243="Y"), "Expressed", "N")</f>
        <v>Expressed</v>
      </c>
      <c r="H243" s="8">
        <v>17.583907514815738</v>
      </c>
      <c r="I243" s="8">
        <v>2124</v>
      </c>
      <c r="J243" s="8">
        <v>7.9723147026220209</v>
      </c>
      <c r="K243" s="8">
        <v>2157</v>
      </c>
      <c r="L243" s="8">
        <v>28.07658814949086</v>
      </c>
      <c r="M243" s="8">
        <v>5891</v>
      </c>
      <c r="N243" s="8">
        <v>14.58145623208453</v>
      </c>
      <c r="O243" s="8">
        <v>1821</v>
      </c>
      <c r="P243" s="9">
        <v>7.0829244504427722</v>
      </c>
      <c r="Q243" s="9">
        <v>2665</v>
      </c>
      <c r="R243" s="9">
        <v>22.304502978538562</v>
      </c>
      <c r="S243" s="9">
        <v>957</v>
      </c>
      <c r="T243" s="9">
        <v>13.557227292814231</v>
      </c>
      <c r="U243" s="9">
        <v>507</v>
      </c>
      <c r="V243" s="9">
        <v>1.8596441357252269</v>
      </c>
      <c r="W243" s="9">
        <v>1692</v>
      </c>
      <c r="X243">
        <v>1978.9884855555299</v>
      </c>
      <c r="Y243">
        <v>-1.0064255856552879</v>
      </c>
      <c r="Z243">
        <v>0.2718472752368975</v>
      </c>
      <c r="AA243">
        <v>-3.7021727908740401</v>
      </c>
      <c r="AB243">
        <v>2.1376095112994061E-4</v>
      </c>
      <c r="AC243">
        <v>1.135162834419488E-2</v>
      </c>
      <c r="AD243" t="s">
        <v>2397</v>
      </c>
      <c r="AE243" t="s">
        <v>2398</v>
      </c>
      <c r="AF243" t="s">
        <v>2399</v>
      </c>
      <c r="AG243" t="s">
        <v>2400</v>
      </c>
      <c r="AH243" t="s">
        <v>43</v>
      </c>
      <c r="AI243" t="s">
        <v>43</v>
      </c>
      <c r="AJ243" t="s">
        <v>43</v>
      </c>
      <c r="AK243" t="s">
        <v>43</v>
      </c>
      <c r="AL243" t="s">
        <v>43</v>
      </c>
      <c r="AM243" t="s">
        <v>2401</v>
      </c>
      <c r="AN243" t="s">
        <v>43</v>
      </c>
    </row>
    <row r="244" spans="1:40" x14ac:dyDescent="0.3">
      <c r="A244" t="s">
        <v>2402</v>
      </c>
      <c r="B244">
        <v>2232</v>
      </c>
      <c r="C244" t="str">
        <f>IF(Y244&lt;0, "Down", "Up")</f>
        <v>Down</v>
      </c>
      <c r="D244" s="7" t="str">
        <f>IF(AC244&lt;0.05, "Sig", "N")</f>
        <v>Sig</v>
      </c>
      <c r="E244" s="1" t="str">
        <f>IF(AND(H244&gt;2,J244&gt;2,L244&gt;2,N244&gt;2),"Y","N")</f>
        <v>Y</v>
      </c>
      <c r="F244" s="1" t="str">
        <f>IF(AND(P244&gt;2,R244&gt;2,T244&gt;2,V244&gt;2),"Y","N")</f>
        <v>Y</v>
      </c>
      <c r="G244" s="1" t="str">
        <f>IF(OR(E244="Y", F244="Y"), "Expressed", "N")</f>
        <v>Expressed</v>
      </c>
      <c r="H244" s="8">
        <v>16.283454388762731</v>
      </c>
      <c r="I244" s="8">
        <v>1617</v>
      </c>
      <c r="J244" s="8">
        <v>7.9306450600693958</v>
      </c>
      <c r="K244" s="8">
        <v>1764</v>
      </c>
      <c r="L244" s="8">
        <v>15.565936068677649</v>
      </c>
      <c r="M244" s="8">
        <v>2685</v>
      </c>
      <c r="N244" s="8">
        <v>9.3700448251692592</v>
      </c>
      <c r="O244" s="8">
        <v>962</v>
      </c>
      <c r="P244" s="9">
        <v>4.551487762100451</v>
      </c>
      <c r="Q244" s="9">
        <v>1809</v>
      </c>
      <c r="R244" s="9">
        <v>18.416603889930961</v>
      </c>
      <c r="S244" s="9">
        <v>446</v>
      </c>
      <c r="T244" s="9">
        <v>7.6854524839589002</v>
      </c>
      <c r="U244" s="9">
        <v>456</v>
      </c>
      <c r="V244" s="9">
        <v>2.0345219134564658</v>
      </c>
      <c r="W244" s="9">
        <v>1445</v>
      </c>
      <c r="X244">
        <v>1260.9744244391391</v>
      </c>
      <c r="Y244">
        <v>-0.78157781010273775</v>
      </c>
      <c r="Z244">
        <v>0.2383827357331475</v>
      </c>
      <c r="AA244">
        <v>-3.278667843537372</v>
      </c>
      <c r="AB244">
        <v>1.042983195534681E-3</v>
      </c>
      <c r="AC244">
        <v>3.1731580030849277E-2</v>
      </c>
      <c r="AD244" t="s">
        <v>2403</v>
      </c>
      <c r="AE244" t="s">
        <v>2404</v>
      </c>
      <c r="AF244" t="s">
        <v>2405</v>
      </c>
      <c r="AG244" t="s">
        <v>1251</v>
      </c>
      <c r="AH244" t="s">
        <v>43</v>
      </c>
      <c r="AI244" t="s">
        <v>43</v>
      </c>
      <c r="AJ244" t="s">
        <v>43</v>
      </c>
      <c r="AK244" t="s">
        <v>43</v>
      </c>
      <c r="AL244" t="s">
        <v>43</v>
      </c>
      <c r="AM244" t="s">
        <v>1252</v>
      </c>
      <c r="AN244" t="s">
        <v>43</v>
      </c>
    </row>
    <row r="245" spans="1:40" x14ac:dyDescent="0.3">
      <c r="A245" t="s">
        <v>2411</v>
      </c>
      <c r="B245">
        <v>846</v>
      </c>
      <c r="C245" t="str">
        <f>IF(Y245&lt;0, "Down", "Up")</f>
        <v>Down</v>
      </c>
      <c r="D245" s="7" t="str">
        <f>IF(AC245&lt;0.05, "Sig", "N")</f>
        <v>Sig</v>
      </c>
      <c r="E245" s="1" t="str">
        <f>IF(AND(H245&gt;2,J245&gt;2,L245&gt;2,N245&gt;2),"Y","N")</f>
        <v>Y</v>
      </c>
      <c r="F245" s="1" t="str">
        <f>IF(AND(P245&gt;2,R245&gt;2,T245&gt;2,V245&gt;2),"Y","N")</f>
        <v>N</v>
      </c>
      <c r="G245" s="1" t="str">
        <f>IF(OR(E245="Y", F245="Y"), "Expressed", "N")</f>
        <v>Expressed</v>
      </c>
      <c r="H245" s="8">
        <v>16.339375935039222</v>
      </c>
      <c r="I245" s="8">
        <v>615</v>
      </c>
      <c r="J245" s="8">
        <v>7.8284844854064666</v>
      </c>
      <c r="K245" s="8">
        <v>660</v>
      </c>
      <c r="L245" s="8">
        <v>16.36584965800667</v>
      </c>
      <c r="M245" s="8">
        <v>1070</v>
      </c>
      <c r="N245" s="8">
        <v>9.893527225053754</v>
      </c>
      <c r="O245" s="8">
        <v>385</v>
      </c>
      <c r="P245" s="9">
        <v>4.8057686947112739</v>
      </c>
      <c r="Q245" s="9">
        <v>309</v>
      </c>
      <c r="R245" s="9">
        <v>8.2995259476446908</v>
      </c>
      <c r="S245" s="9">
        <v>145</v>
      </c>
      <c r="T245" s="9">
        <v>6.5921398560052014</v>
      </c>
      <c r="U245" s="9">
        <v>105</v>
      </c>
      <c r="V245" s="9">
        <v>1.235977758174841</v>
      </c>
      <c r="W245" s="9">
        <v>444</v>
      </c>
      <c r="X245">
        <v>423.90781481221131</v>
      </c>
      <c r="Y245">
        <v>-1.436971315915669</v>
      </c>
      <c r="Z245">
        <v>0.2302171858800133</v>
      </c>
      <c r="AA245">
        <v>-6.2418073195656349</v>
      </c>
      <c r="AB245">
        <v>4.325435826069568E-10</v>
      </c>
      <c r="AC245">
        <v>7.0771594720942927E-7</v>
      </c>
      <c r="AD245" t="s">
        <v>2412</v>
      </c>
      <c r="AE245" t="s">
        <v>2413</v>
      </c>
      <c r="AF245" t="s">
        <v>2414</v>
      </c>
      <c r="AG245" t="s">
        <v>2415</v>
      </c>
      <c r="AH245" t="s">
        <v>43</v>
      </c>
      <c r="AI245" t="s">
        <v>43</v>
      </c>
      <c r="AJ245" t="s">
        <v>43</v>
      </c>
      <c r="AK245" t="s">
        <v>43</v>
      </c>
      <c r="AL245" t="s">
        <v>43</v>
      </c>
      <c r="AM245" t="s">
        <v>2416</v>
      </c>
      <c r="AN245" t="s">
        <v>43</v>
      </c>
    </row>
    <row r="246" spans="1:40" x14ac:dyDescent="0.3">
      <c r="A246" t="s">
        <v>2422</v>
      </c>
      <c r="B246">
        <v>1048</v>
      </c>
      <c r="C246" t="str">
        <f>IF(Y246&lt;0, "Down", "Up")</f>
        <v>Down</v>
      </c>
      <c r="D246" s="7" t="str">
        <f>IF(AC246&lt;0.05, "Sig", "N")</f>
        <v>Sig</v>
      </c>
      <c r="E246" s="1" t="str">
        <f>IF(AND(H246&gt;2,J246&gt;2,L246&gt;2,N246&gt;2),"Y","N")</f>
        <v>Y</v>
      </c>
      <c r="F246" s="1" t="str">
        <f>IF(AND(P246&gt;2,R246&gt;2,T246&gt;2,V246&gt;2),"Y","N")</f>
        <v>N</v>
      </c>
      <c r="G246" s="1" t="str">
        <f>IF(OR(E246="Y", F246="Y"), "Expressed", "N")</f>
        <v>Expressed</v>
      </c>
      <c r="H246" s="8">
        <v>12.01039958881676</v>
      </c>
      <c r="I246" s="8">
        <v>560</v>
      </c>
      <c r="J246" s="8">
        <v>7.8132729957748648</v>
      </c>
      <c r="K246" s="8">
        <v>816</v>
      </c>
      <c r="L246" s="8">
        <v>19.249079899265361</v>
      </c>
      <c r="M246" s="8">
        <v>1559</v>
      </c>
      <c r="N246" s="8">
        <v>9.0030411174274718</v>
      </c>
      <c r="O246" s="8">
        <v>434</v>
      </c>
      <c r="P246" s="9">
        <v>4.3732161619534304</v>
      </c>
      <c r="Q246" s="9">
        <v>810</v>
      </c>
      <c r="R246" s="9">
        <v>17.562603914631669</v>
      </c>
      <c r="S246" s="9">
        <v>218</v>
      </c>
      <c r="T246" s="9">
        <v>8.0006262790426899</v>
      </c>
      <c r="U246" s="9">
        <v>143</v>
      </c>
      <c r="V246" s="9">
        <v>1.3588342169072689</v>
      </c>
      <c r="W246" s="9">
        <v>751</v>
      </c>
      <c r="X246">
        <v>561.72142880821764</v>
      </c>
      <c r="Y246">
        <v>-0.83775254293159318</v>
      </c>
      <c r="Z246">
        <v>0.24229495126555339</v>
      </c>
      <c r="AA246">
        <v>-3.457573253408087</v>
      </c>
      <c r="AB246">
        <v>5.4506403533311919E-4</v>
      </c>
      <c r="AC246">
        <v>2.0325558238715461E-2</v>
      </c>
      <c r="AD246" t="s">
        <v>2423</v>
      </c>
      <c r="AE246" t="s">
        <v>2424</v>
      </c>
      <c r="AF246" t="s">
        <v>2425</v>
      </c>
      <c r="AG246" t="s">
        <v>625</v>
      </c>
      <c r="AH246" t="s">
        <v>43</v>
      </c>
      <c r="AI246" t="s">
        <v>43</v>
      </c>
      <c r="AJ246" t="s">
        <v>43</v>
      </c>
      <c r="AK246" t="s">
        <v>43</v>
      </c>
      <c r="AL246" t="s">
        <v>43</v>
      </c>
      <c r="AM246" t="s">
        <v>626</v>
      </c>
      <c r="AN246" t="s">
        <v>43</v>
      </c>
    </row>
    <row r="247" spans="1:40" x14ac:dyDescent="0.3">
      <c r="A247" t="s">
        <v>2426</v>
      </c>
      <c r="B247">
        <v>2995</v>
      </c>
      <c r="C247" t="str">
        <f>IF(Y247&lt;0, "Down", "Up")</f>
        <v>Down</v>
      </c>
      <c r="D247" s="7" t="str">
        <f>IF(AC247&lt;0.05, "Sig", "N")</f>
        <v>Sig</v>
      </c>
      <c r="E247" s="1" t="str">
        <f>IF(AND(H247&gt;2,J247&gt;2,L247&gt;2,N247&gt;2),"Y","N")</f>
        <v>Y</v>
      </c>
      <c r="F247" s="1" t="str">
        <f>IF(AND(P247&gt;2,R247&gt;2,T247&gt;2,V247&gt;2),"Y","N")</f>
        <v>N</v>
      </c>
      <c r="G247" s="1" t="str">
        <f>IF(OR(E247="Y", F247="Y"), "Expressed", "N")</f>
        <v>Expressed</v>
      </c>
      <c r="H247" s="8">
        <v>7.2420446650144106</v>
      </c>
      <c r="I247" s="8">
        <v>965</v>
      </c>
      <c r="J247" s="8">
        <v>7.7965717379063877</v>
      </c>
      <c r="K247" s="8">
        <v>2327</v>
      </c>
      <c r="L247" s="8">
        <v>10.658533766848761</v>
      </c>
      <c r="M247" s="8">
        <v>2467</v>
      </c>
      <c r="N247" s="8">
        <v>6.3732136248233866</v>
      </c>
      <c r="O247" s="8">
        <v>878</v>
      </c>
      <c r="P247" s="9">
        <v>3.095780688339612</v>
      </c>
      <c r="Q247" s="9">
        <v>1724</v>
      </c>
      <c r="R247" s="9">
        <v>13.079935591404849</v>
      </c>
      <c r="S247" s="9">
        <v>632</v>
      </c>
      <c r="T247" s="9">
        <v>8.1161305649415993</v>
      </c>
      <c r="U247" s="9">
        <v>472</v>
      </c>
      <c r="V247" s="9">
        <v>1.5694117197624999</v>
      </c>
      <c r="W247" s="9">
        <v>1805</v>
      </c>
      <c r="X247">
        <v>1221.8033578268969</v>
      </c>
      <c r="Y247">
        <v>-0.42293490773551778</v>
      </c>
      <c r="Z247">
        <v>0.13659631574688211</v>
      </c>
      <c r="AA247">
        <v>-3.0962394953552881</v>
      </c>
      <c r="AB247">
        <v>1.9599199144901499E-3</v>
      </c>
      <c r="AC247">
        <v>4.5902752625545322E-2</v>
      </c>
      <c r="AD247" t="s">
        <v>2427</v>
      </c>
      <c r="AE247" t="s">
        <v>2428</v>
      </c>
      <c r="AF247" t="s">
        <v>2429</v>
      </c>
      <c r="AG247" t="s">
        <v>2430</v>
      </c>
      <c r="AH247" t="s">
        <v>43</v>
      </c>
      <c r="AI247" t="s">
        <v>43</v>
      </c>
      <c r="AJ247" t="s">
        <v>43</v>
      </c>
      <c r="AK247" t="s">
        <v>43</v>
      </c>
      <c r="AL247" t="s">
        <v>43</v>
      </c>
      <c r="AM247" t="s">
        <v>2431</v>
      </c>
      <c r="AN247" t="s">
        <v>43</v>
      </c>
    </row>
    <row r="248" spans="1:40" x14ac:dyDescent="0.3">
      <c r="A248" t="s">
        <v>2432</v>
      </c>
      <c r="B248">
        <v>1749</v>
      </c>
      <c r="C248" t="str">
        <f>IF(Y248&lt;0, "Down", "Up")</f>
        <v>Down</v>
      </c>
      <c r="D248" s="7" t="str">
        <f>IF(AC248&lt;0.05, "Sig", "N")</f>
        <v>Sig</v>
      </c>
      <c r="E248" s="1" t="str">
        <f>IF(AND(H248&gt;2,J248&gt;2,L248&gt;2,N248&gt;2),"Y","N")</f>
        <v>Y</v>
      </c>
      <c r="F248" s="1" t="str">
        <f>IF(AND(P248&gt;2,R248&gt;2,T248&gt;2,V248&gt;2),"Y","N")</f>
        <v>N</v>
      </c>
      <c r="G248" s="1" t="str">
        <f>IF(OR(E248="Y", F248="Y"), "Expressed", "N")</f>
        <v>Expressed</v>
      </c>
      <c r="H248" s="8">
        <v>7.0809658802612336</v>
      </c>
      <c r="I248" s="8">
        <v>551</v>
      </c>
      <c r="J248" s="8">
        <v>7.7856371744072828</v>
      </c>
      <c r="K248" s="8">
        <v>1357</v>
      </c>
      <c r="L248" s="8">
        <v>8.6264852402951036</v>
      </c>
      <c r="M248" s="8">
        <v>1166</v>
      </c>
      <c r="N248" s="8">
        <v>5.9912579115555742</v>
      </c>
      <c r="O248" s="8">
        <v>482</v>
      </c>
      <c r="P248" s="9">
        <v>2.910246169877861</v>
      </c>
      <c r="Q248" s="9">
        <v>744</v>
      </c>
      <c r="R248" s="9">
        <v>9.6660335172022709</v>
      </c>
      <c r="S248" s="9">
        <v>399</v>
      </c>
      <c r="T248" s="9">
        <v>8.7742874823208528</v>
      </c>
      <c r="U248" s="9">
        <v>154</v>
      </c>
      <c r="V248" s="9">
        <v>0.87684459825233996</v>
      </c>
      <c r="W248" s="9">
        <v>890</v>
      </c>
      <c r="X248">
        <v>620.99342551594941</v>
      </c>
      <c r="Y248">
        <v>-0.63891253481129784</v>
      </c>
      <c r="Z248">
        <v>0.17508226169885899</v>
      </c>
      <c r="AA248">
        <v>-3.6492133961019171</v>
      </c>
      <c r="AB248">
        <v>2.6304453018460291E-4</v>
      </c>
      <c r="AC248">
        <v>1.2716349677261001E-2</v>
      </c>
      <c r="AD248" t="s">
        <v>2433</v>
      </c>
      <c r="AE248" t="s">
        <v>2434</v>
      </c>
      <c r="AF248" t="s">
        <v>2435</v>
      </c>
      <c r="AG248" t="s">
        <v>2436</v>
      </c>
      <c r="AH248" t="s">
        <v>43</v>
      </c>
      <c r="AI248" t="s">
        <v>43</v>
      </c>
      <c r="AJ248" t="s">
        <v>43</v>
      </c>
      <c r="AK248" t="s">
        <v>43</v>
      </c>
      <c r="AL248" t="s">
        <v>43</v>
      </c>
      <c r="AM248" t="s">
        <v>334</v>
      </c>
      <c r="AN248" t="s">
        <v>43</v>
      </c>
    </row>
    <row r="249" spans="1:40" x14ac:dyDescent="0.3">
      <c r="A249" t="s">
        <v>2437</v>
      </c>
      <c r="B249">
        <v>1277</v>
      </c>
      <c r="C249" t="str">
        <f>IF(Y249&lt;0, "Down", "Up")</f>
        <v>Down</v>
      </c>
      <c r="D249" s="7" t="str">
        <f>IF(AC249&lt;0.05, "Sig", "N")</f>
        <v>Sig</v>
      </c>
      <c r="E249" s="1" t="str">
        <f>IF(AND(H249&gt;2,J249&gt;2,L249&gt;2,N249&gt;2),"Y","N")</f>
        <v>Y</v>
      </c>
      <c r="F249" s="1" t="str">
        <f>IF(AND(P249&gt;2,R249&gt;2,T249&gt;2,V249&gt;2),"Y","N")</f>
        <v>N</v>
      </c>
      <c r="G249" s="1" t="str">
        <f>IF(OR(E249="Y", F249="Y"), "Expressed", "N")</f>
        <v>Expressed</v>
      </c>
      <c r="H249" s="8">
        <v>11.915944829772821</v>
      </c>
      <c r="I249" s="8">
        <v>677</v>
      </c>
      <c r="J249" s="8">
        <v>7.763725469445462</v>
      </c>
      <c r="K249" s="8">
        <v>988</v>
      </c>
      <c r="L249" s="8">
        <v>15.928936724053131</v>
      </c>
      <c r="M249" s="8">
        <v>1572</v>
      </c>
      <c r="N249" s="8">
        <v>10.316740663754659</v>
      </c>
      <c r="O249" s="8">
        <v>606</v>
      </c>
      <c r="P249" s="9">
        <v>5.0113441026142791</v>
      </c>
      <c r="Q249" s="9">
        <v>992</v>
      </c>
      <c r="R249" s="9">
        <v>17.651675929612921</v>
      </c>
      <c r="S249" s="9">
        <v>370</v>
      </c>
      <c r="T249" s="9">
        <v>11.14396142752004</v>
      </c>
      <c r="U249" s="9">
        <v>234</v>
      </c>
      <c r="V249" s="9">
        <v>1.824805913557253</v>
      </c>
      <c r="W249" s="9">
        <v>856</v>
      </c>
      <c r="X249">
        <v>701.91016206249003</v>
      </c>
      <c r="Y249">
        <v>-0.61343498815288333</v>
      </c>
      <c r="Z249">
        <v>0.17426297276648339</v>
      </c>
      <c r="AA249">
        <v>-3.5201682745014402</v>
      </c>
      <c r="AB249">
        <v>4.3127308990200639E-4</v>
      </c>
      <c r="AC249">
        <v>1.745917532784801E-2</v>
      </c>
      <c r="AD249" t="s">
        <v>2438</v>
      </c>
      <c r="AE249" t="s">
        <v>2439</v>
      </c>
      <c r="AF249" t="s">
        <v>2440</v>
      </c>
      <c r="AG249" t="s">
        <v>2441</v>
      </c>
      <c r="AH249" t="s">
        <v>43</v>
      </c>
      <c r="AI249" t="s">
        <v>43</v>
      </c>
      <c r="AJ249" t="s">
        <v>43</v>
      </c>
      <c r="AK249" t="s">
        <v>43</v>
      </c>
      <c r="AL249" t="s">
        <v>43</v>
      </c>
      <c r="AM249" t="s">
        <v>2442</v>
      </c>
      <c r="AN249" t="s">
        <v>43</v>
      </c>
    </row>
    <row r="250" spans="1:40" x14ac:dyDescent="0.3">
      <c r="A250" t="s">
        <v>2443</v>
      </c>
      <c r="B250">
        <v>2677</v>
      </c>
      <c r="C250" t="str">
        <f>IF(Y250&lt;0, "Down", "Up")</f>
        <v>Down</v>
      </c>
      <c r="D250" s="7" t="str">
        <f>IF(AC250&lt;0.05, "Sig", "N")</f>
        <v>Sig</v>
      </c>
      <c r="E250" s="1" t="str">
        <f>IF(AND(H250&gt;2,J250&gt;2,L250&gt;2,N250&gt;2),"Y","N")</f>
        <v>Y</v>
      </c>
      <c r="F250" s="1" t="str">
        <f>IF(AND(P250&gt;2,R250&gt;2,T250&gt;2,V250&gt;2),"Y","N")</f>
        <v>N</v>
      </c>
      <c r="G250" s="1" t="str">
        <f>IF(OR(E250="Y", F250="Y"), "Expressed", "N")</f>
        <v>Expressed</v>
      </c>
      <c r="H250" s="8">
        <v>11.87221493908365</v>
      </c>
      <c r="I250" s="8">
        <v>1414</v>
      </c>
      <c r="J250" s="8">
        <v>7.7106331874005347</v>
      </c>
      <c r="K250" s="8">
        <v>2057</v>
      </c>
      <c r="L250" s="8">
        <v>16.840497521771461</v>
      </c>
      <c r="M250" s="8">
        <v>3484</v>
      </c>
      <c r="N250" s="8">
        <v>8.4052912239707336</v>
      </c>
      <c r="O250" s="8">
        <v>1035</v>
      </c>
      <c r="P250" s="9">
        <v>4.0828598855824643</v>
      </c>
      <c r="Q250" s="9">
        <v>1403</v>
      </c>
      <c r="R250" s="9">
        <v>11.908977384051241</v>
      </c>
      <c r="S250" s="9">
        <v>582</v>
      </c>
      <c r="T250" s="9">
        <v>8.3618695276003585</v>
      </c>
      <c r="U250" s="9">
        <v>432</v>
      </c>
      <c r="V250" s="9">
        <v>1.6070415114135419</v>
      </c>
      <c r="W250" s="9">
        <v>1650</v>
      </c>
      <c r="X250">
        <v>1328.388763388524</v>
      </c>
      <c r="Y250">
        <v>-0.89454210377267429</v>
      </c>
      <c r="Z250">
        <v>0.189325856300363</v>
      </c>
      <c r="AA250">
        <v>-4.7248808020891504</v>
      </c>
      <c r="AB250">
        <v>2.3025037165611461E-6</v>
      </c>
      <c r="AC250">
        <v>4.092916756912678E-4</v>
      </c>
      <c r="AD250" t="s">
        <v>2444</v>
      </c>
      <c r="AE250" t="s">
        <v>2445</v>
      </c>
      <c r="AF250" t="s">
        <v>43</v>
      </c>
      <c r="AG250" t="s">
        <v>2446</v>
      </c>
      <c r="AH250" t="s">
        <v>43</v>
      </c>
      <c r="AI250" t="s">
        <v>43</v>
      </c>
      <c r="AJ250" t="s">
        <v>43</v>
      </c>
      <c r="AK250" t="s">
        <v>43</v>
      </c>
      <c r="AL250" t="s">
        <v>43</v>
      </c>
      <c r="AM250" t="s">
        <v>2447</v>
      </c>
      <c r="AN250" t="s">
        <v>43</v>
      </c>
    </row>
    <row r="251" spans="1:40" x14ac:dyDescent="0.3">
      <c r="A251" t="s">
        <v>2448</v>
      </c>
      <c r="B251">
        <v>1735</v>
      </c>
      <c r="C251" t="str">
        <f>IF(Y251&lt;0, "Down", "Up")</f>
        <v>Down</v>
      </c>
      <c r="D251" s="7" t="str">
        <f>IF(AC251&lt;0.05, "Sig", "N")</f>
        <v>Sig</v>
      </c>
      <c r="E251" s="1" t="str">
        <f>IF(AND(H251&gt;2,J251&gt;2,L251&gt;2,N251&gt;2),"Y","N")</f>
        <v>Y</v>
      </c>
      <c r="F251" s="1" t="str">
        <f>IF(AND(P251&gt;2,R251&gt;2,T251&gt;2,V251&gt;2),"Y","N")</f>
        <v>N</v>
      </c>
      <c r="G251" s="1" t="str">
        <f>IF(OR(E251="Y", F251="Y"), "Expressed", "N")</f>
        <v>Expressed</v>
      </c>
      <c r="H251" s="8">
        <v>12.397758462339979</v>
      </c>
      <c r="I251" s="8">
        <v>957</v>
      </c>
      <c r="J251" s="8">
        <v>7.7096523158794952</v>
      </c>
      <c r="K251" s="8">
        <v>1333</v>
      </c>
      <c r="L251" s="8">
        <v>25.021779234458268</v>
      </c>
      <c r="M251" s="8">
        <v>3355</v>
      </c>
      <c r="N251" s="8">
        <v>12.94379509033201</v>
      </c>
      <c r="O251" s="8">
        <v>1033</v>
      </c>
      <c r="P251" s="9">
        <v>6.2874325628125112</v>
      </c>
      <c r="Q251" s="9">
        <v>1485</v>
      </c>
      <c r="R251" s="9">
        <v>19.44877021401286</v>
      </c>
      <c r="S251" s="9">
        <v>594</v>
      </c>
      <c r="T251" s="9">
        <v>13.167876335085589</v>
      </c>
      <c r="U251" s="9">
        <v>329</v>
      </c>
      <c r="V251" s="9">
        <v>1.8883745483399821</v>
      </c>
      <c r="W251" s="9">
        <v>1164</v>
      </c>
      <c r="X251">
        <v>1124.714208626076</v>
      </c>
      <c r="Y251">
        <v>-0.81591271420452494</v>
      </c>
      <c r="Z251">
        <v>0.24937116925624109</v>
      </c>
      <c r="AA251">
        <v>-3.27188069349803</v>
      </c>
      <c r="AB251">
        <v>1.0683464881035571E-3</v>
      </c>
      <c r="AC251">
        <v>3.2056201113151571E-2</v>
      </c>
      <c r="AD251" t="s">
        <v>2449</v>
      </c>
      <c r="AE251" t="s">
        <v>2450</v>
      </c>
      <c r="AF251" t="s">
        <v>2451</v>
      </c>
      <c r="AG251" t="s">
        <v>2452</v>
      </c>
      <c r="AH251" t="s">
        <v>43</v>
      </c>
      <c r="AI251" t="s">
        <v>43</v>
      </c>
      <c r="AJ251" t="s">
        <v>43</v>
      </c>
      <c r="AK251" t="s">
        <v>43</v>
      </c>
      <c r="AL251" t="s">
        <v>43</v>
      </c>
      <c r="AM251" t="s">
        <v>2453</v>
      </c>
      <c r="AN251" t="s">
        <v>43</v>
      </c>
    </row>
    <row r="252" spans="1:40" x14ac:dyDescent="0.3">
      <c r="A252" t="s">
        <v>2454</v>
      </c>
      <c r="B252">
        <v>1441</v>
      </c>
      <c r="C252" t="str">
        <f>IF(Y252&lt;0, "Down", "Up")</f>
        <v>Down</v>
      </c>
      <c r="D252" s="7" t="str">
        <f>IF(AC252&lt;0.05, "Sig", "N")</f>
        <v>Sig</v>
      </c>
      <c r="E252" s="1" t="str">
        <f>IF(AND(H252&gt;2,J252&gt;2,L252&gt;2,N252&gt;2),"Y","N")</f>
        <v>Y</v>
      </c>
      <c r="F252" s="1" t="str">
        <f>IF(AND(P252&gt;2,R252&gt;2,T252&gt;2,V252&gt;2),"Y","N")</f>
        <v>N</v>
      </c>
      <c r="G252" s="1" t="str">
        <f>IF(OR(E252="Y", F252="Y"), "Expressed", "N")</f>
        <v>Expressed</v>
      </c>
      <c r="H252" s="8">
        <v>11.18370974698912</v>
      </c>
      <c r="I252" s="8">
        <v>717</v>
      </c>
      <c r="J252" s="8">
        <v>7.7088174744409761</v>
      </c>
      <c r="K252" s="8">
        <v>1107</v>
      </c>
      <c r="L252" s="8">
        <v>14.699746361932419</v>
      </c>
      <c r="M252" s="8">
        <v>1637</v>
      </c>
      <c r="N252" s="8">
        <v>6.6080134217565698</v>
      </c>
      <c r="O252" s="8">
        <v>438</v>
      </c>
      <c r="P252" s="9">
        <v>3.209834401232682</v>
      </c>
      <c r="Q252" s="9">
        <v>973</v>
      </c>
      <c r="R252" s="9">
        <v>15.34313230880953</v>
      </c>
      <c r="S252" s="9">
        <v>340</v>
      </c>
      <c r="T252" s="9">
        <v>9.0749388986639357</v>
      </c>
      <c r="U252" s="9">
        <v>249</v>
      </c>
      <c r="V252" s="9">
        <v>1.72078687862637</v>
      </c>
      <c r="W252" s="9">
        <v>791</v>
      </c>
      <c r="X252">
        <v>687.47514760744264</v>
      </c>
      <c r="Y252">
        <v>-0.63253024636436062</v>
      </c>
      <c r="Z252">
        <v>0.20550498633717909</v>
      </c>
      <c r="AA252">
        <v>-3.0779313808305671</v>
      </c>
      <c r="AB252">
        <v>2.0844290612274949E-3</v>
      </c>
      <c r="AC252">
        <v>4.7521766504860598E-2</v>
      </c>
      <c r="AD252" t="s">
        <v>2455</v>
      </c>
      <c r="AE252" t="s">
        <v>2456</v>
      </c>
      <c r="AF252" t="s">
        <v>2457</v>
      </c>
      <c r="AG252" t="s">
        <v>43</v>
      </c>
      <c r="AH252" t="s">
        <v>43</v>
      </c>
      <c r="AI252" t="s">
        <v>43</v>
      </c>
      <c r="AJ252" t="s">
        <v>43</v>
      </c>
      <c r="AK252" t="s">
        <v>43</v>
      </c>
      <c r="AL252" t="s">
        <v>43</v>
      </c>
      <c r="AM252" t="s">
        <v>43</v>
      </c>
      <c r="AN252" t="s">
        <v>43</v>
      </c>
    </row>
    <row r="253" spans="1:40" x14ac:dyDescent="0.3">
      <c r="A253" t="s">
        <v>2458</v>
      </c>
      <c r="B253">
        <v>2215</v>
      </c>
      <c r="C253" t="str">
        <f>IF(Y253&lt;0, "Down", "Up")</f>
        <v>Down</v>
      </c>
      <c r="D253" s="7" t="str">
        <f>IF(AC253&lt;0.05, "Sig", "N")</f>
        <v>Sig</v>
      </c>
      <c r="E253" s="1" t="str">
        <f>IF(AND(H253&gt;2,J253&gt;2,L253&gt;2,N253&gt;2),"Y","N")</f>
        <v>Y</v>
      </c>
      <c r="F253" s="1" t="str">
        <f>IF(AND(P253&gt;2,R253&gt;2,T253&gt;2,V253&gt;2),"Y","N")</f>
        <v>N</v>
      </c>
      <c r="G253" s="1" t="str">
        <f>IF(OR(E253="Y", F253="Y"), "Expressed", "N")</f>
        <v>Expressed</v>
      </c>
      <c r="H253" s="8">
        <v>11.19263894090229</v>
      </c>
      <c r="I253" s="8">
        <v>1103</v>
      </c>
      <c r="J253" s="8">
        <v>7.5701910859474779</v>
      </c>
      <c r="K253" s="8">
        <v>1671</v>
      </c>
      <c r="L253" s="8">
        <v>13.33697458482645</v>
      </c>
      <c r="M253" s="8">
        <v>2283</v>
      </c>
      <c r="N253" s="8">
        <v>7.891200987418677</v>
      </c>
      <c r="O253" s="8">
        <v>804</v>
      </c>
      <c r="P253" s="9">
        <v>3.833141184771474</v>
      </c>
      <c r="Q253" s="9">
        <v>1493</v>
      </c>
      <c r="R253" s="9">
        <v>15.3162077259333</v>
      </c>
      <c r="S253" s="9">
        <v>509</v>
      </c>
      <c r="T253" s="9">
        <v>8.8383831616838915</v>
      </c>
      <c r="U253" s="9">
        <v>329</v>
      </c>
      <c r="V253" s="9">
        <v>1.4791556845913629</v>
      </c>
      <c r="W253" s="9">
        <v>1738</v>
      </c>
      <c r="X253">
        <v>1078.296848379262</v>
      </c>
      <c r="Y253">
        <v>-0.55841118539628865</v>
      </c>
      <c r="Z253">
        <v>0.1790380169400467</v>
      </c>
      <c r="AA253">
        <v>-3.1189531415737259</v>
      </c>
      <c r="AB253">
        <v>1.814948226198244E-3</v>
      </c>
      <c r="AC253">
        <v>4.3829423864942672E-2</v>
      </c>
      <c r="AD253" t="s">
        <v>2459</v>
      </c>
      <c r="AE253" t="s">
        <v>2460</v>
      </c>
      <c r="AF253" t="s">
        <v>43</v>
      </c>
      <c r="AG253" t="s">
        <v>2461</v>
      </c>
      <c r="AH253" t="s">
        <v>43</v>
      </c>
      <c r="AI253" t="s">
        <v>43</v>
      </c>
      <c r="AJ253" t="s">
        <v>43</v>
      </c>
      <c r="AK253" t="s">
        <v>43</v>
      </c>
      <c r="AL253" t="s">
        <v>43</v>
      </c>
      <c r="AM253" t="s">
        <v>2462</v>
      </c>
      <c r="AN253" t="s">
        <v>43</v>
      </c>
    </row>
    <row r="254" spans="1:40" x14ac:dyDescent="0.3">
      <c r="A254" t="s">
        <v>2463</v>
      </c>
      <c r="B254">
        <v>2435</v>
      </c>
      <c r="C254" t="str">
        <f>IF(Y254&lt;0, "Down", "Up")</f>
        <v>Down</v>
      </c>
      <c r="D254" s="7" t="str">
        <f>IF(AC254&lt;0.05, "Sig", "N")</f>
        <v>Sig</v>
      </c>
      <c r="E254" s="1" t="str">
        <f>IF(AND(H254&gt;2,J254&gt;2,L254&gt;2,N254&gt;2),"Y","N")</f>
        <v>Y</v>
      </c>
      <c r="F254" s="1" t="str">
        <f>IF(AND(P254&gt;2,R254&gt;2,T254&gt;2,V254&gt;2),"Y","N")</f>
        <v>N</v>
      </c>
      <c r="G254" s="1" t="str">
        <f>IF(OR(E254="Y", F254="Y"), "Expressed", "N")</f>
        <v>Expressed</v>
      </c>
      <c r="H254" s="8">
        <v>10.44908287371555</v>
      </c>
      <c r="I254" s="8">
        <v>1132</v>
      </c>
      <c r="J254" s="8">
        <v>7.5662002973458442</v>
      </c>
      <c r="K254" s="8">
        <v>1836</v>
      </c>
      <c r="L254" s="8">
        <v>16.075021263999599</v>
      </c>
      <c r="M254" s="8">
        <v>3025</v>
      </c>
      <c r="N254" s="8">
        <v>11.401256555501771</v>
      </c>
      <c r="O254" s="8">
        <v>1277</v>
      </c>
      <c r="P254" s="9">
        <v>5.5381463646302764</v>
      </c>
      <c r="Q254" s="9">
        <v>1700</v>
      </c>
      <c r="R254" s="9">
        <v>15.864088591937421</v>
      </c>
      <c r="S254" s="9">
        <v>765</v>
      </c>
      <c r="T254" s="9">
        <v>12.083458170099849</v>
      </c>
      <c r="U254" s="9">
        <v>426</v>
      </c>
      <c r="V254" s="9">
        <v>1.74221742499337</v>
      </c>
      <c r="W254" s="9">
        <v>1901</v>
      </c>
      <c r="X254">
        <v>1340.390301577399</v>
      </c>
      <c r="Y254">
        <v>-0.57248786292140696</v>
      </c>
      <c r="Z254">
        <v>0.16941031129166631</v>
      </c>
      <c r="AA254">
        <v>-3.379297626906427</v>
      </c>
      <c r="AB254">
        <v>7.2671288231361271E-4</v>
      </c>
      <c r="AC254">
        <v>2.493606090516463E-2</v>
      </c>
      <c r="AD254" t="s">
        <v>2464</v>
      </c>
      <c r="AE254" t="s">
        <v>2465</v>
      </c>
      <c r="AF254" t="s">
        <v>43</v>
      </c>
      <c r="AG254" t="s">
        <v>2466</v>
      </c>
      <c r="AH254" t="s">
        <v>43</v>
      </c>
      <c r="AI254" t="s">
        <v>43</v>
      </c>
      <c r="AJ254" t="s">
        <v>43</v>
      </c>
      <c r="AK254" t="s">
        <v>43</v>
      </c>
      <c r="AL254" t="s">
        <v>43</v>
      </c>
      <c r="AM254" t="s">
        <v>2467</v>
      </c>
      <c r="AN254" t="s">
        <v>43</v>
      </c>
    </row>
    <row r="255" spans="1:40" x14ac:dyDescent="0.3">
      <c r="A255" t="s">
        <v>2468</v>
      </c>
      <c r="B255">
        <v>2052</v>
      </c>
      <c r="C255" t="str">
        <f>IF(Y255&lt;0, "Down", "Up")</f>
        <v>Down</v>
      </c>
      <c r="D255" s="7" t="str">
        <f>IF(AC255&lt;0.05, "Sig", "N")</f>
        <v>Sig</v>
      </c>
      <c r="E255" s="1" t="str">
        <f>IF(AND(H255&gt;2,J255&gt;2,L255&gt;2,N255&gt;2),"Y","N")</f>
        <v>Y</v>
      </c>
      <c r="F255" s="1" t="str">
        <f>IF(AND(P255&gt;2,R255&gt;2,T255&gt;2,V255&gt;2),"Y","N")</f>
        <v>N</v>
      </c>
      <c r="G255" s="1" t="str">
        <f>IF(OR(E255="Y", F255="Y"), "Expressed", "N")</f>
        <v>Expressed</v>
      </c>
      <c r="H255" s="8">
        <v>11.063046293486121</v>
      </c>
      <c r="I255" s="8">
        <v>1010</v>
      </c>
      <c r="J255" s="8">
        <v>7.511349707209777</v>
      </c>
      <c r="K255" s="8">
        <v>1536</v>
      </c>
      <c r="L255" s="8">
        <v>18.570905725635289</v>
      </c>
      <c r="M255" s="8">
        <v>2945</v>
      </c>
      <c r="N255" s="8">
        <v>15.15023843235049</v>
      </c>
      <c r="O255" s="8">
        <v>1430</v>
      </c>
      <c r="P255" s="9">
        <v>7.3592097054350587</v>
      </c>
      <c r="Q255" s="9">
        <v>1668</v>
      </c>
      <c r="R255" s="9">
        <v>18.470721517956999</v>
      </c>
      <c r="S255" s="9">
        <v>520</v>
      </c>
      <c r="T255" s="9">
        <v>9.7466363025267473</v>
      </c>
      <c r="U255" s="9">
        <v>391</v>
      </c>
      <c r="V255" s="9">
        <v>1.8975407904744399</v>
      </c>
      <c r="W255" s="9">
        <v>1278</v>
      </c>
      <c r="X255">
        <v>1211.390777901112</v>
      </c>
      <c r="Y255">
        <v>-0.83618290606714663</v>
      </c>
      <c r="Z255">
        <v>0.22525847545581221</v>
      </c>
      <c r="AA255">
        <v>-3.7121040812121469</v>
      </c>
      <c r="AB255">
        <v>2.0554342657446429E-4</v>
      </c>
      <c r="AC255">
        <v>1.0994248169849509E-2</v>
      </c>
      <c r="AD255" t="s">
        <v>2469</v>
      </c>
      <c r="AE255" t="s">
        <v>2470</v>
      </c>
      <c r="AF255" t="s">
        <v>2471</v>
      </c>
      <c r="AG255" t="s">
        <v>2472</v>
      </c>
      <c r="AH255" t="s">
        <v>43</v>
      </c>
      <c r="AI255" t="s">
        <v>43</v>
      </c>
      <c r="AJ255" t="s">
        <v>43</v>
      </c>
      <c r="AK255" t="s">
        <v>43</v>
      </c>
      <c r="AL255" t="s">
        <v>43</v>
      </c>
      <c r="AM255" t="s">
        <v>2473</v>
      </c>
      <c r="AN255" t="s">
        <v>43</v>
      </c>
    </row>
    <row r="256" spans="1:40" x14ac:dyDescent="0.3">
      <c r="A256" t="s">
        <v>2474</v>
      </c>
      <c r="B256">
        <v>3138</v>
      </c>
      <c r="C256" t="str">
        <f>IF(Y256&lt;0, "Down", "Up")</f>
        <v>Down</v>
      </c>
      <c r="D256" s="7" t="str">
        <f>IF(AC256&lt;0.05, "Sig", "N")</f>
        <v>Sig</v>
      </c>
      <c r="E256" s="1" t="str">
        <f>IF(AND(H256&gt;2,J256&gt;2,L256&gt;2,N256&gt;2),"Y","N")</f>
        <v>Y</v>
      </c>
      <c r="F256" s="1" t="str">
        <f>IF(AND(P256&gt;2,R256&gt;2,T256&gt;2,V256&gt;2),"Y","N")</f>
        <v>N</v>
      </c>
      <c r="G256" s="1" t="str">
        <f>IF(OR(E256="Y", F256="Y"), "Expressed", "N")</f>
        <v>Expressed</v>
      </c>
      <c r="H256" s="8">
        <v>9.2399045184109294</v>
      </c>
      <c r="I256" s="8">
        <v>1290</v>
      </c>
      <c r="J256" s="8">
        <v>7.4029050446258529</v>
      </c>
      <c r="K256" s="8">
        <v>2315</v>
      </c>
      <c r="L256" s="8">
        <v>12.461395026850759</v>
      </c>
      <c r="M256" s="8">
        <v>3022</v>
      </c>
      <c r="N256" s="8">
        <v>5.6740315881005312</v>
      </c>
      <c r="O256" s="8">
        <v>819</v>
      </c>
      <c r="P256" s="9">
        <v>2.756153872993286</v>
      </c>
      <c r="Q256" s="9">
        <v>1671</v>
      </c>
      <c r="R256" s="9">
        <v>12.100092248791899</v>
      </c>
      <c r="S256" s="9">
        <v>483</v>
      </c>
      <c r="T256" s="9">
        <v>5.9200171505706098</v>
      </c>
      <c r="U256" s="9">
        <v>302</v>
      </c>
      <c r="V256" s="9">
        <v>0.95839761264865841</v>
      </c>
      <c r="W256" s="9">
        <v>1672</v>
      </c>
      <c r="X256">
        <v>1220.615463955816</v>
      </c>
      <c r="Y256">
        <v>-0.86554286091281529</v>
      </c>
      <c r="Z256">
        <v>0.21238482210444129</v>
      </c>
      <c r="AA256">
        <v>-4.0753517710751481</v>
      </c>
      <c r="AB256">
        <v>4.5944840898051013E-5</v>
      </c>
      <c r="AC256">
        <v>3.827476075148242E-3</v>
      </c>
      <c r="AD256" t="s">
        <v>2475</v>
      </c>
      <c r="AE256" t="s">
        <v>2476</v>
      </c>
      <c r="AF256" t="s">
        <v>2477</v>
      </c>
      <c r="AG256" t="s">
        <v>2478</v>
      </c>
      <c r="AH256" t="s">
        <v>43</v>
      </c>
      <c r="AI256" t="s">
        <v>43</v>
      </c>
      <c r="AJ256" t="s">
        <v>43</v>
      </c>
      <c r="AK256" t="s">
        <v>43</v>
      </c>
      <c r="AL256" t="s">
        <v>43</v>
      </c>
      <c r="AM256" t="s">
        <v>2479</v>
      </c>
      <c r="AN256" t="s">
        <v>43</v>
      </c>
    </row>
    <row r="257" spans="1:40" x14ac:dyDescent="0.3">
      <c r="A257" t="s">
        <v>2480</v>
      </c>
      <c r="B257">
        <v>1838</v>
      </c>
      <c r="C257" t="str">
        <f>IF(Y257&lt;0, "Down", "Up")</f>
        <v>Down</v>
      </c>
      <c r="D257" s="7" t="str">
        <f>IF(AC257&lt;0.05, "Sig", "N")</f>
        <v>Sig</v>
      </c>
      <c r="E257" s="1" t="str">
        <f>IF(AND(H257&gt;2,J257&gt;2,L257&gt;2,N257&gt;2),"Y","N")</f>
        <v>Y</v>
      </c>
      <c r="F257" s="1" t="str">
        <f>IF(AND(P257&gt;2,R257&gt;2,T257&gt;2,V257&gt;2),"Y","N")</f>
        <v>N</v>
      </c>
      <c r="G257" s="1" t="str">
        <f>IF(OR(E257="Y", F257="Y"), "Expressed", "N")</f>
        <v>Expressed</v>
      </c>
      <c r="H257" s="8">
        <v>10.198851209984349</v>
      </c>
      <c r="I257" s="8">
        <v>834</v>
      </c>
      <c r="J257" s="8">
        <v>7.3322054981206088</v>
      </c>
      <c r="K257" s="8">
        <v>1343</v>
      </c>
      <c r="L257" s="8">
        <v>14.62935500217619</v>
      </c>
      <c r="M257" s="8">
        <v>2078</v>
      </c>
      <c r="N257" s="8">
        <v>8.1495663811885919</v>
      </c>
      <c r="O257" s="8">
        <v>689</v>
      </c>
      <c r="P257" s="9">
        <v>3.9586418573760769</v>
      </c>
      <c r="Q257" s="9">
        <v>1214</v>
      </c>
      <c r="R257" s="9">
        <v>15.008536659329289</v>
      </c>
      <c r="S257" s="9">
        <v>414</v>
      </c>
      <c r="T257" s="9">
        <v>8.6633050606982316</v>
      </c>
      <c r="U257" s="9">
        <v>250</v>
      </c>
      <c r="V257" s="9">
        <v>1.3545224926368149</v>
      </c>
      <c r="W257" s="9">
        <v>1050</v>
      </c>
      <c r="X257">
        <v>856.75449060979895</v>
      </c>
      <c r="Y257">
        <v>-0.72967012304766954</v>
      </c>
      <c r="Z257">
        <v>0.1790106764788168</v>
      </c>
      <c r="AA257">
        <v>-4.0761262814065438</v>
      </c>
      <c r="AB257">
        <v>4.5792156808789103E-5</v>
      </c>
      <c r="AC257">
        <v>3.827476075148242E-3</v>
      </c>
      <c r="AD257" t="s">
        <v>2481</v>
      </c>
      <c r="AE257" t="s">
        <v>2482</v>
      </c>
      <c r="AF257" t="s">
        <v>2483</v>
      </c>
      <c r="AG257" t="s">
        <v>2484</v>
      </c>
      <c r="AH257" t="s">
        <v>1490</v>
      </c>
      <c r="AI257" t="s">
        <v>2485</v>
      </c>
      <c r="AK257" t="s">
        <v>2486</v>
      </c>
      <c r="AL257" t="s">
        <v>2487</v>
      </c>
      <c r="AM257" t="s">
        <v>2210</v>
      </c>
      <c r="AN257" t="s">
        <v>43</v>
      </c>
    </row>
    <row r="258" spans="1:40" x14ac:dyDescent="0.3">
      <c r="A258" t="s">
        <v>2488</v>
      </c>
      <c r="B258">
        <v>1597</v>
      </c>
      <c r="C258" t="str">
        <f>IF(Y258&lt;0, "Down", "Up")</f>
        <v>Down</v>
      </c>
      <c r="D258" s="7" t="str">
        <f>IF(AC258&lt;0.05, "Sig", "N")</f>
        <v>Sig</v>
      </c>
      <c r="E258" s="1" t="str">
        <f>IF(AND(H258&gt;2,J258&gt;2,L258&gt;2,N258&gt;2),"Y","N")</f>
        <v>Y</v>
      </c>
      <c r="F258" s="1" t="str">
        <f>IF(AND(P258&gt;2,R258&gt;2,T258&gt;2,V258&gt;2),"Y","N")</f>
        <v>Y</v>
      </c>
      <c r="G258" s="1" t="str">
        <f>IF(OR(E258="Y", F258="Y"), "Expressed", "N")</f>
        <v>Expressed</v>
      </c>
      <c r="H258" s="8">
        <v>17.550611375170771</v>
      </c>
      <c r="I258" s="8">
        <v>1247</v>
      </c>
      <c r="J258" s="8">
        <v>7.3265202954843476</v>
      </c>
      <c r="K258" s="8">
        <v>1166</v>
      </c>
      <c r="L258" s="8">
        <v>19.810666636682711</v>
      </c>
      <c r="M258" s="8">
        <v>2445</v>
      </c>
      <c r="N258" s="8">
        <v>7.5416371832691063</v>
      </c>
      <c r="O258" s="8">
        <v>554</v>
      </c>
      <c r="P258" s="9">
        <v>3.6633409963682859</v>
      </c>
      <c r="Q258" s="9">
        <v>897</v>
      </c>
      <c r="R258" s="9">
        <v>12.76299789386967</v>
      </c>
      <c r="S258" s="9">
        <v>265</v>
      </c>
      <c r="T258" s="9">
        <v>6.382190030090066</v>
      </c>
      <c r="U258" s="9">
        <v>388</v>
      </c>
      <c r="V258" s="9">
        <v>2.419460459584192</v>
      </c>
      <c r="W258" s="9">
        <v>665</v>
      </c>
      <c r="X258">
        <v>878.88174484318313</v>
      </c>
      <c r="Y258">
        <v>-1.0939257298682961</v>
      </c>
      <c r="Z258">
        <v>0.33058918216993571</v>
      </c>
      <c r="AA258">
        <v>-3.309018530757537</v>
      </c>
      <c r="AB258">
        <v>9.3623640276375292E-4</v>
      </c>
      <c r="AC258">
        <v>2.9434176907101921E-2</v>
      </c>
      <c r="AD258" t="s">
        <v>2489</v>
      </c>
      <c r="AE258" t="s">
        <v>2490</v>
      </c>
      <c r="AF258" t="s">
        <v>2491</v>
      </c>
      <c r="AG258" t="s">
        <v>2492</v>
      </c>
      <c r="AH258" t="s">
        <v>43</v>
      </c>
      <c r="AI258" t="s">
        <v>43</v>
      </c>
      <c r="AJ258" t="s">
        <v>43</v>
      </c>
      <c r="AK258" t="s">
        <v>43</v>
      </c>
      <c r="AL258" t="s">
        <v>43</v>
      </c>
      <c r="AM258" t="s">
        <v>2493</v>
      </c>
      <c r="AN258" t="s">
        <v>43</v>
      </c>
    </row>
    <row r="259" spans="1:40" x14ac:dyDescent="0.3">
      <c r="A259" t="s">
        <v>2494</v>
      </c>
      <c r="B259">
        <v>2541</v>
      </c>
      <c r="C259" t="str">
        <f>IF(Y259&lt;0, "Down", "Up")</f>
        <v>Down</v>
      </c>
      <c r="D259" s="7" t="str">
        <f>IF(AC259&lt;0.05, "Sig", "N")</f>
        <v>Sig</v>
      </c>
      <c r="E259" s="1" t="str">
        <f>IF(AND(H259&gt;2,J259&gt;2,L259&gt;2,N259&gt;2),"Y","N")</f>
        <v>Y</v>
      </c>
      <c r="F259" s="1" t="str">
        <f>IF(AND(P259&gt;2,R259&gt;2,T259&gt;2,V259&gt;2),"Y","N")</f>
        <v>N</v>
      </c>
      <c r="G259" s="1" t="str">
        <f>IF(OR(E259="Y", F259="Y"), "Expressed", "N")</f>
        <v>Expressed</v>
      </c>
      <c r="H259" s="8">
        <v>16.328930628915511</v>
      </c>
      <c r="I259" s="8">
        <v>1846</v>
      </c>
      <c r="J259" s="8">
        <v>7.2742644181558376</v>
      </c>
      <c r="K259" s="8">
        <v>1842</v>
      </c>
      <c r="L259" s="8">
        <v>20.27274955231098</v>
      </c>
      <c r="M259" s="8">
        <v>3981</v>
      </c>
      <c r="N259" s="8">
        <v>11.421874589969139</v>
      </c>
      <c r="O259" s="8">
        <v>1335</v>
      </c>
      <c r="P259" s="9">
        <v>5.5481615495421686</v>
      </c>
      <c r="Q259" s="9">
        <v>1456</v>
      </c>
      <c r="R259" s="9">
        <v>13.02032667322065</v>
      </c>
      <c r="S259" s="9">
        <v>304</v>
      </c>
      <c r="T259" s="9">
        <v>4.6014816233816216</v>
      </c>
      <c r="U259" s="9">
        <v>474</v>
      </c>
      <c r="V259" s="9">
        <v>1.857656434246524</v>
      </c>
      <c r="W259" s="9">
        <v>1222</v>
      </c>
      <c r="X259">
        <v>1409.721027855494</v>
      </c>
      <c r="Y259">
        <v>-1.344691992458769</v>
      </c>
      <c r="Z259">
        <v>0.29147136074222069</v>
      </c>
      <c r="AA259">
        <v>-4.6134618133135339</v>
      </c>
      <c r="AB259">
        <v>3.9601704929035333E-6</v>
      </c>
      <c r="AC259">
        <v>6.0404097285951834E-4</v>
      </c>
      <c r="AD259" t="s">
        <v>2495</v>
      </c>
      <c r="AE259" t="s">
        <v>2496</v>
      </c>
      <c r="AF259" t="s">
        <v>2497</v>
      </c>
      <c r="AG259" t="s">
        <v>1079</v>
      </c>
      <c r="AH259" t="s">
        <v>1080</v>
      </c>
      <c r="AJ259" t="s">
        <v>1081</v>
      </c>
      <c r="AK259" t="s">
        <v>1082</v>
      </c>
      <c r="AL259" t="s">
        <v>1083</v>
      </c>
      <c r="AM259" t="s">
        <v>1084</v>
      </c>
      <c r="AN259" t="s">
        <v>43</v>
      </c>
    </row>
    <row r="260" spans="1:40" x14ac:dyDescent="0.3">
      <c r="A260" t="s">
        <v>2498</v>
      </c>
      <c r="B260">
        <v>1878</v>
      </c>
      <c r="C260" t="str">
        <f>IF(Y260&lt;0, "Down", "Up")</f>
        <v>Down</v>
      </c>
      <c r="D260" s="7" t="str">
        <f>IF(AC260&lt;0.05, "Sig", "N")</f>
        <v>Sig</v>
      </c>
      <c r="E260" s="1" t="str">
        <f>IF(AND(H260&gt;2,J260&gt;2,L260&gt;2,N260&gt;2),"Y","N")</f>
        <v>Y</v>
      </c>
      <c r="F260" s="1" t="str">
        <f>IF(AND(P260&gt;2,R260&gt;2,T260&gt;2,V260&gt;2),"Y","N")</f>
        <v>N</v>
      </c>
      <c r="G260" s="1" t="str">
        <f>IF(OR(E260="Y", F260="Y"), "Expressed", "N")</f>
        <v>Expressed</v>
      </c>
      <c r="H260" s="8">
        <v>16.576196937448419</v>
      </c>
      <c r="I260" s="8">
        <v>1385</v>
      </c>
      <c r="J260" s="8">
        <v>7.2722141602961869</v>
      </c>
      <c r="K260" s="8">
        <v>1361</v>
      </c>
      <c r="L260" s="8">
        <v>18.789477036968641</v>
      </c>
      <c r="M260" s="8">
        <v>2727</v>
      </c>
      <c r="N260" s="8">
        <v>8.2538149663194815</v>
      </c>
      <c r="O260" s="8">
        <v>713</v>
      </c>
      <c r="P260" s="9">
        <v>4.0092804795270611</v>
      </c>
      <c r="Q260" s="9">
        <v>1050</v>
      </c>
      <c r="R260" s="9">
        <v>12.704538153052679</v>
      </c>
      <c r="S260" s="9">
        <v>298</v>
      </c>
      <c r="T260" s="9">
        <v>6.1030854350474071</v>
      </c>
      <c r="U260" s="9">
        <v>197</v>
      </c>
      <c r="V260" s="9">
        <v>1.0446296725642039</v>
      </c>
      <c r="W260" s="9">
        <v>1159</v>
      </c>
      <c r="X260">
        <v>967.33893104371498</v>
      </c>
      <c r="Y260">
        <v>-1.287425768920081</v>
      </c>
      <c r="Z260">
        <v>0.27356096409193509</v>
      </c>
      <c r="AA260">
        <v>-4.7061749953747727</v>
      </c>
      <c r="AB260">
        <v>2.5240787107537739E-6</v>
      </c>
      <c r="AC260">
        <v>4.3557860496088119E-4</v>
      </c>
      <c r="AD260" t="s">
        <v>2499</v>
      </c>
      <c r="AE260" t="s">
        <v>2500</v>
      </c>
      <c r="AF260" t="s">
        <v>43</v>
      </c>
      <c r="AG260" t="s">
        <v>2501</v>
      </c>
      <c r="AH260" t="s">
        <v>43</v>
      </c>
      <c r="AI260" t="s">
        <v>43</v>
      </c>
      <c r="AJ260" t="s">
        <v>43</v>
      </c>
      <c r="AK260" t="s">
        <v>43</v>
      </c>
      <c r="AL260" t="s">
        <v>43</v>
      </c>
      <c r="AM260" t="s">
        <v>2502</v>
      </c>
      <c r="AN260" t="s">
        <v>43</v>
      </c>
    </row>
    <row r="261" spans="1:40" x14ac:dyDescent="0.3">
      <c r="A261" t="s">
        <v>2503</v>
      </c>
      <c r="B261">
        <v>1988</v>
      </c>
      <c r="C261" t="str">
        <f>IF(Y261&lt;0, "Down", "Up")</f>
        <v>Down</v>
      </c>
      <c r="D261" s="7" t="str">
        <f>IF(AC261&lt;0.05, "Sig", "N")</f>
        <v>Sig</v>
      </c>
      <c r="E261" s="1" t="str">
        <f>IF(AND(H261&gt;2,J261&gt;2,L261&gt;2,N261&gt;2),"Y","N")</f>
        <v>Y</v>
      </c>
      <c r="F261" s="1" t="str">
        <f>IF(AND(P261&gt;2,R261&gt;2,T261&gt;2,V261&gt;2),"Y","N")</f>
        <v>N</v>
      </c>
      <c r="G261" s="1" t="str">
        <f>IF(OR(E261="Y", F261="Y"), "Expressed", "N")</f>
        <v>Expressed</v>
      </c>
      <c r="H261" s="8">
        <v>9.8702596160955132</v>
      </c>
      <c r="I261" s="8">
        <v>873</v>
      </c>
      <c r="J261" s="8">
        <v>7.2534481478855044</v>
      </c>
      <c r="K261" s="8">
        <v>1437</v>
      </c>
      <c r="L261" s="8">
        <v>8.8065652893254072</v>
      </c>
      <c r="M261" s="8">
        <v>1353</v>
      </c>
      <c r="N261" s="8">
        <v>8.8031942905202101</v>
      </c>
      <c r="O261" s="8">
        <v>805</v>
      </c>
      <c r="P261" s="9">
        <v>4.2761408113083954</v>
      </c>
      <c r="Q261" s="9">
        <v>1084</v>
      </c>
      <c r="R261" s="9">
        <v>12.390193041177209</v>
      </c>
      <c r="S261" s="9">
        <v>431</v>
      </c>
      <c r="T261" s="9">
        <v>8.3385332239497423</v>
      </c>
      <c r="U261" s="9">
        <v>286</v>
      </c>
      <c r="V261" s="9">
        <v>1.43265418442537</v>
      </c>
      <c r="W261" s="9">
        <v>1353</v>
      </c>
      <c r="X261">
        <v>857.53172631162727</v>
      </c>
      <c r="Y261">
        <v>-0.54572467555071158</v>
      </c>
      <c r="Z261">
        <v>0.15189577765140469</v>
      </c>
      <c r="AA261">
        <v>-3.5927573760682781</v>
      </c>
      <c r="AB261">
        <v>3.2719721493847749E-4</v>
      </c>
      <c r="AC261">
        <v>1.4507105150128079E-2</v>
      </c>
      <c r="AD261" t="s">
        <v>2504</v>
      </c>
      <c r="AE261" t="s">
        <v>2505</v>
      </c>
      <c r="AF261" t="s">
        <v>43</v>
      </c>
      <c r="AG261" t="s">
        <v>2506</v>
      </c>
      <c r="AH261" t="s">
        <v>43</v>
      </c>
      <c r="AI261" t="s">
        <v>43</v>
      </c>
      <c r="AJ261" t="s">
        <v>43</v>
      </c>
      <c r="AK261" t="s">
        <v>43</v>
      </c>
      <c r="AL261" t="s">
        <v>43</v>
      </c>
      <c r="AM261" t="s">
        <v>597</v>
      </c>
      <c r="AN261" t="s">
        <v>43</v>
      </c>
    </row>
    <row r="262" spans="1:40" x14ac:dyDescent="0.3">
      <c r="A262" t="s">
        <v>2511</v>
      </c>
      <c r="B262">
        <v>2012</v>
      </c>
      <c r="C262" t="str">
        <f>IF(Y262&lt;0, "Down", "Up")</f>
        <v>Down</v>
      </c>
      <c r="D262" s="7" t="str">
        <f>IF(AC262&lt;0.05, "Sig", "N")</f>
        <v>Sig</v>
      </c>
      <c r="E262" s="1" t="str">
        <f>IF(AND(H262&gt;2,J262&gt;2,L262&gt;2,N262&gt;2),"Y","N")</f>
        <v>Y</v>
      </c>
      <c r="F262" s="1" t="str">
        <f>IF(AND(P262&gt;2,R262&gt;2,T262&gt;2,V262&gt;2),"Y","N")</f>
        <v>N</v>
      </c>
      <c r="G262" s="1" t="str">
        <f>IF(OR(E262="Y", F262="Y"), "Expressed", "N")</f>
        <v>Expressed</v>
      </c>
      <c r="H262" s="8">
        <v>8.2108869952373063</v>
      </c>
      <c r="I262" s="8">
        <v>735</v>
      </c>
      <c r="J262" s="8">
        <v>7.2118127046429734</v>
      </c>
      <c r="K262" s="8">
        <v>1446</v>
      </c>
      <c r="L262" s="8">
        <v>8.3799529831793134</v>
      </c>
      <c r="M262" s="8">
        <v>1303</v>
      </c>
      <c r="N262" s="8">
        <v>6.785665606806381</v>
      </c>
      <c r="O262" s="8">
        <v>628</v>
      </c>
      <c r="P262" s="9">
        <v>3.2961287318630599</v>
      </c>
      <c r="Q262" s="9">
        <v>1060</v>
      </c>
      <c r="R262" s="9">
        <v>11.971348106844131</v>
      </c>
      <c r="S262" s="9">
        <v>413</v>
      </c>
      <c r="T262" s="9">
        <v>7.894976627848445</v>
      </c>
      <c r="U262" s="9">
        <v>285</v>
      </c>
      <c r="V262" s="9">
        <v>1.4106153425804031</v>
      </c>
      <c r="W262" s="9">
        <v>1178</v>
      </c>
      <c r="X262">
        <v>782.15508596345603</v>
      </c>
      <c r="Y262">
        <v>-0.45678769430611932</v>
      </c>
      <c r="Z262">
        <v>0.11954169518084549</v>
      </c>
      <c r="AA262">
        <v>-3.821157911597957</v>
      </c>
      <c r="AB262">
        <v>1.328265649421078E-4</v>
      </c>
      <c r="AC262">
        <v>8.1565860996397743E-3</v>
      </c>
      <c r="AD262" t="s">
        <v>2512</v>
      </c>
      <c r="AE262" t="s">
        <v>2513</v>
      </c>
      <c r="AF262" t="s">
        <v>2514</v>
      </c>
      <c r="AG262" t="s">
        <v>2515</v>
      </c>
      <c r="AH262" t="s">
        <v>43</v>
      </c>
      <c r="AI262" t="s">
        <v>43</v>
      </c>
      <c r="AJ262" t="s">
        <v>43</v>
      </c>
      <c r="AK262" t="s">
        <v>43</v>
      </c>
      <c r="AL262" t="s">
        <v>43</v>
      </c>
      <c r="AM262" t="s">
        <v>362</v>
      </c>
      <c r="AN262" t="s">
        <v>43</v>
      </c>
    </row>
    <row r="263" spans="1:40" x14ac:dyDescent="0.3">
      <c r="A263" t="s">
        <v>2516</v>
      </c>
      <c r="B263">
        <v>1280</v>
      </c>
      <c r="C263" t="str">
        <f>IF(Y263&lt;0, "Down", "Up")</f>
        <v>Down</v>
      </c>
      <c r="D263" s="7" t="str">
        <f>IF(AC263&lt;0.05, "Sig", "N")</f>
        <v>Sig</v>
      </c>
      <c r="E263" s="1" t="str">
        <f>IF(AND(H263&gt;2,J263&gt;2,L263&gt;2,N263&gt;2),"Y","N")</f>
        <v>Y</v>
      </c>
      <c r="F263" s="1" t="str">
        <f>IF(AND(P263&gt;2,R263&gt;2,T263&gt;2,V263&gt;2),"Y","N")</f>
        <v>N</v>
      </c>
      <c r="G263" s="1" t="str">
        <f>IF(OR(E263="Y", F263="Y"), "Expressed", "N")</f>
        <v>Expressed</v>
      </c>
      <c r="H263" s="8">
        <v>19.069994507841582</v>
      </c>
      <c r="I263" s="8">
        <v>1086</v>
      </c>
      <c r="J263" s="8">
        <v>7.1732381099766709</v>
      </c>
      <c r="K263" s="8">
        <v>915</v>
      </c>
      <c r="L263" s="8">
        <v>49.272057493591802</v>
      </c>
      <c r="M263" s="8">
        <v>4874</v>
      </c>
      <c r="N263" s="8">
        <v>11.770205670556139</v>
      </c>
      <c r="O263" s="8">
        <v>693</v>
      </c>
      <c r="P263" s="9">
        <v>5.7173629439893192</v>
      </c>
      <c r="Q263" s="9">
        <v>871</v>
      </c>
      <c r="R263" s="9">
        <v>15.46227368258787</v>
      </c>
      <c r="S263" s="9">
        <v>145</v>
      </c>
      <c r="T263" s="9">
        <v>4.3569924360784373</v>
      </c>
      <c r="U263" s="9">
        <v>243</v>
      </c>
      <c r="V263" s="9">
        <v>1.8905493718010971</v>
      </c>
      <c r="W263" s="9">
        <v>560</v>
      </c>
      <c r="X263">
        <v>978.70962800546545</v>
      </c>
      <c r="Y263">
        <v>-1.897611155471657</v>
      </c>
      <c r="Z263">
        <v>0.61205633720814068</v>
      </c>
      <c r="AA263">
        <v>-3.1003864188834309</v>
      </c>
      <c r="AB263">
        <v>1.932683216931603E-3</v>
      </c>
      <c r="AC263">
        <v>4.5555829127315012E-2</v>
      </c>
      <c r="AD263" t="s">
        <v>2517</v>
      </c>
      <c r="AE263" t="s">
        <v>2518</v>
      </c>
      <c r="AF263" t="s">
        <v>2519</v>
      </c>
      <c r="AG263" t="s">
        <v>2520</v>
      </c>
      <c r="AH263" t="s">
        <v>43</v>
      </c>
      <c r="AI263" t="s">
        <v>43</v>
      </c>
      <c r="AJ263" t="s">
        <v>43</v>
      </c>
      <c r="AK263" t="s">
        <v>43</v>
      </c>
      <c r="AL263" t="s">
        <v>43</v>
      </c>
      <c r="AM263" t="s">
        <v>2521</v>
      </c>
      <c r="AN263" t="s">
        <v>43</v>
      </c>
    </row>
    <row r="264" spans="1:40" x14ac:dyDescent="0.3">
      <c r="A264" t="s">
        <v>2527</v>
      </c>
      <c r="B264">
        <v>2068</v>
      </c>
      <c r="C264" t="str">
        <f>IF(Y264&lt;0, "Down", "Up")</f>
        <v>Down</v>
      </c>
      <c r="D264" s="7" t="str">
        <f>IF(AC264&lt;0.05, "Sig", "N")</f>
        <v>Sig</v>
      </c>
      <c r="E264" s="1" t="str">
        <f>IF(AND(H264&gt;2,J264&gt;2,L264&gt;2,N264&gt;2),"Y","N")</f>
        <v>Y</v>
      </c>
      <c r="F264" s="1" t="str">
        <f>IF(AND(P264&gt;2,R264&gt;2,T264&gt;2,V264&gt;2),"Y","N")</f>
        <v>N</v>
      </c>
      <c r="G264" s="1" t="str">
        <f>IF(OR(E264="Y", F264="Y"), "Expressed", "N")</f>
        <v>Expressed</v>
      </c>
      <c r="H264" s="8">
        <v>10.064475908545219</v>
      </c>
      <c r="I264" s="8">
        <v>926</v>
      </c>
      <c r="J264" s="8">
        <v>7.0650455025321168</v>
      </c>
      <c r="K264" s="8">
        <v>1456</v>
      </c>
      <c r="L264" s="8">
        <v>10.13028017700999</v>
      </c>
      <c r="M264" s="8">
        <v>1619</v>
      </c>
      <c r="N264" s="8">
        <v>6.8647295751642163</v>
      </c>
      <c r="O264" s="8">
        <v>653</v>
      </c>
      <c r="P264" s="9">
        <v>3.334533957357515</v>
      </c>
      <c r="Q264" s="9">
        <v>1238</v>
      </c>
      <c r="R264" s="9">
        <v>13.603018256642709</v>
      </c>
      <c r="S264" s="9">
        <v>365</v>
      </c>
      <c r="T264" s="9">
        <v>6.788457500619776</v>
      </c>
      <c r="U264" s="9">
        <v>214</v>
      </c>
      <c r="V264" s="9">
        <v>1.0305165204522699</v>
      </c>
      <c r="W264" s="9">
        <v>1052</v>
      </c>
      <c r="X264">
        <v>820.64046390086605</v>
      </c>
      <c r="Y264">
        <v>-0.75355102355938297</v>
      </c>
      <c r="Z264">
        <v>0.18491206794905549</v>
      </c>
      <c r="AA264">
        <v>-4.0751857459459657</v>
      </c>
      <c r="AB264">
        <v>4.5977633251928797E-5</v>
      </c>
      <c r="AC264">
        <v>3.827476075148242E-3</v>
      </c>
      <c r="AD264" t="s">
        <v>2528</v>
      </c>
      <c r="AE264" t="s">
        <v>2529</v>
      </c>
      <c r="AF264" t="s">
        <v>2530</v>
      </c>
      <c r="AG264" t="s">
        <v>1329</v>
      </c>
      <c r="AH264" t="s">
        <v>1080</v>
      </c>
      <c r="AJ264" t="s">
        <v>1330</v>
      </c>
      <c r="AK264" t="s">
        <v>1082</v>
      </c>
      <c r="AL264" t="s">
        <v>1331</v>
      </c>
      <c r="AM264" t="s">
        <v>1332</v>
      </c>
      <c r="AN264" t="s">
        <v>43</v>
      </c>
    </row>
    <row r="265" spans="1:40" x14ac:dyDescent="0.3">
      <c r="A265" t="s">
        <v>2531</v>
      </c>
      <c r="B265">
        <v>2371</v>
      </c>
      <c r="C265" t="str">
        <f>IF(Y265&lt;0, "Down", "Up")</f>
        <v>Down</v>
      </c>
      <c r="D265" s="7" t="str">
        <f>IF(AC265&lt;0.05, "Sig", "N")</f>
        <v>Sig</v>
      </c>
      <c r="E265" s="1" t="str">
        <f>IF(AND(H265&gt;2,J265&gt;2,L265&gt;2,N265&gt;2),"Y","N")</f>
        <v>Y</v>
      </c>
      <c r="F265" s="1" t="str">
        <f>IF(AND(P265&gt;2,R265&gt;2,T265&gt;2,V265&gt;2),"Y","N")</f>
        <v>N</v>
      </c>
      <c r="G265" s="1" t="str">
        <f>IF(OR(E265="Y", F265="Y"), "Expressed", "N")</f>
        <v>Expressed</v>
      </c>
      <c r="H265" s="8">
        <v>12.636572919189909</v>
      </c>
      <c r="I265" s="8">
        <v>1333</v>
      </c>
      <c r="J265" s="8">
        <v>6.9959294676858299</v>
      </c>
      <c r="K265" s="8">
        <v>1653</v>
      </c>
      <c r="L265" s="8">
        <v>18.604610829291019</v>
      </c>
      <c r="M265" s="8">
        <v>3409</v>
      </c>
      <c r="N265" s="8">
        <v>9.5817651753638629</v>
      </c>
      <c r="O265" s="8">
        <v>1045</v>
      </c>
      <c r="P265" s="9">
        <v>4.6543306620948979</v>
      </c>
      <c r="Q265" s="9">
        <v>1589</v>
      </c>
      <c r="R265" s="9">
        <v>15.22851354386413</v>
      </c>
      <c r="S265" s="9">
        <v>472</v>
      </c>
      <c r="T265" s="9">
        <v>7.6566574562781566</v>
      </c>
      <c r="U265" s="9">
        <v>345</v>
      </c>
      <c r="V265" s="9">
        <v>1.4490362847843621</v>
      </c>
      <c r="W265" s="9">
        <v>1331</v>
      </c>
      <c r="X265">
        <v>1223.5619223872</v>
      </c>
      <c r="Y265">
        <v>-0.98495799545743612</v>
      </c>
      <c r="Z265">
        <v>0.2252442603726576</v>
      </c>
      <c r="AA265">
        <v>-4.3728439243151529</v>
      </c>
      <c r="AB265">
        <v>1.2263840167714079E-5</v>
      </c>
      <c r="AC265">
        <v>1.435354996262853E-3</v>
      </c>
      <c r="AD265" t="s">
        <v>2532</v>
      </c>
      <c r="AE265" t="s">
        <v>2533</v>
      </c>
      <c r="AF265" t="s">
        <v>2534</v>
      </c>
      <c r="AG265" t="s">
        <v>2535</v>
      </c>
      <c r="AH265" t="s">
        <v>43</v>
      </c>
      <c r="AI265" t="s">
        <v>43</v>
      </c>
      <c r="AJ265" t="s">
        <v>43</v>
      </c>
      <c r="AK265" t="s">
        <v>43</v>
      </c>
      <c r="AL265" t="s">
        <v>43</v>
      </c>
      <c r="AM265" t="s">
        <v>2536</v>
      </c>
      <c r="AN265" t="s">
        <v>43</v>
      </c>
    </row>
    <row r="266" spans="1:40" x14ac:dyDescent="0.3">
      <c r="A266" t="s">
        <v>2543</v>
      </c>
      <c r="B266">
        <v>1049</v>
      </c>
      <c r="C266" t="str">
        <f>IF(Y266&lt;0, "Down", "Up")</f>
        <v>Down</v>
      </c>
      <c r="D266" s="7" t="str">
        <f>IF(AC266&lt;0.05, "Sig", "N")</f>
        <v>Sig</v>
      </c>
      <c r="E266" s="1" t="str">
        <f>IF(AND(H266&gt;2,J266&gt;2,L266&gt;2,N266&gt;2),"Y","N")</f>
        <v>Y</v>
      </c>
      <c r="F266" s="1" t="str">
        <f>IF(AND(P266&gt;2,R266&gt;2,T266&gt;2,V266&gt;2),"Y","N")</f>
        <v>N</v>
      </c>
      <c r="G266" s="1" t="str">
        <f>IF(OR(E266="Y", F266="Y"), "Expressed", "N")</f>
        <v>Expressed</v>
      </c>
      <c r="H266" s="8">
        <v>8.356411752589521</v>
      </c>
      <c r="I266" s="8">
        <v>390</v>
      </c>
      <c r="J266" s="8">
        <v>6.8874923733292706</v>
      </c>
      <c r="K266" s="8">
        <v>720</v>
      </c>
      <c r="L266" s="8">
        <v>10.534344702400411</v>
      </c>
      <c r="M266" s="8">
        <v>854</v>
      </c>
      <c r="N266" s="8">
        <v>6.5489606532801066</v>
      </c>
      <c r="O266" s="8">
        <v>316</v>
      </c>
      <c r="P266" s="9">
        <v>3.1811495914955081</v>
      </c>
      <c r="Q266" s="9">
        <v>543</v>
      </c>
      <c r="R266" s="9">
        <v>11.762225793025641</v>
      </c>
      <c r="S266" s="9">
        <v>220</v>
      </c>
      <c r="T266" s="9">
        <v>8.0663296407066696</v>
      </c>
      <c r="U266" s="9">
        <v>138</v>
      </c>
      <c r="V266" s="9">
        <v>1.3100724618584261</v>
      </c>
      <c r="W266" s="9">
        <v>670</v>
      </c>
      <c r="X266">
        <v>419.67814912914002</v>
      </c>
      <c r="Y266">
        <v>-0.50763872238540808</v>
      </c>
      <c r="Z266">
        <v>0.15447534305071631</v>
      </c>
      <c r="AA266">
        <v>-3.286211976358866</v>
      </c>
      <c r="AB266">
        <v>1.015445622190674E-3</v>
      </c>
      <c r="AC266">
        <v>3.1097364507554289E-2</v>
      </c>
      <c r="AD266" t="s">
        <v>2544</v>
      </c>
      <c r="AE266" t="s">
        <v>2545</v>
      </c>
      <c r="AF266" t="s">
        <v>2546</v>
      </c>
      <c r="AG266" t="s">
        <v>2547</v>
      </c>
      <c r="AH266" t="s">
        <v>43</v>
      </c>
      <c r="AI266" t="s">
        <v>43</v>
      </c>
      <c r="AJ266" t="s">
        <v>43</v>
      </c>
      <c r="AK266" t="s">
        <v>43</v>
      </c>
      <c r="AL266" t="s">
        <v>43</v>
      </c>
      <c r="AM266" t="s">
        <v>2548</v>
      </c>
      <c r="AN266" t="s">
        <v>43</v>
      </c>
    </row>
    <row r="267" spans="1:40" x14ac:dyDescent="0.3">
      <c r="A267" t="s">
        <v>2554</v>
      </c>
      <c r="B267">
        <v>1478</v>
      </c>
      <c r="C267" t="str">
        <f>IF(Y267&lt;0, "Down", "Up")</f>
        <v>Down</v>
      </c>
      <c r="D267" s="7" t="str">
        <f>IF(AC267&lt;0.05, "Sig", "N")</f>
        <v>Sig</v>
      </c>
      <c r="E267" s="1" t="str">
        <f>IF(AND(H267&gt;2,J267&gt;2,L267&gt;2,N267&gt;2),"Y","N")</f>
        <v>Y</v>
      </c>
      <c r="F267" s="1" t="str">
        <f>IF(AND(P267&gt;2,R267&gt;2,T267&gt;2,V267&gt;2),"Y","N")</f>
        <v>N</v>
      </c>
      <c r="G267" s="1" t="str">
        <f>IF(OR(E267="Y", F267="Y"), "Expressed", "N")</f>
        <v>Expressed</v>
      </c>
      <c r="H267" s="8">
        <v>8.8355260303927388</v>
      </c>
      <c r="I267" s="8">
        <v>581</v>
      </c>
      <c r="J267" s="8">
        <v>6.8029520547865454</v>
      </c>
      <c r="K267" s="8">
        <v>1002</v>
      </c>
      <c r="L267" s="8">
        <v>13.13233544699863</v>
      </c>
      <c r="M267" s="8">
        <v>1500</v>
      </c>
      <c r="N267" s="8">
        <v>7.6487364406896781</v>
      </c>
      <c r="O267" s="8">
        <v>520</v>
      </c>
      <c r="P267" s="9">
        <v>3.715364329081742</v>
      </c>
      <c r="Q267" s="9">
        <v>833</v>
      </c>
      <c r="R267" s="9">
        <v>12.80665582102174</v>
      </c>
      <c r="S267" s="9">
        <v>278</v>
      </c>
      <c r="T267" s="9">
        <v>7.2343436538386046</v>
      </c>
      <c r="U267" s="9">
        <v>218</v>
      </c>
      <c r="V267" s="9">
        <v>1.468837592529606</v>
      </c>
      <c r="W267" s="9">
        <v>1061</v>
      </c>
      <c r="X267">
        <v>647.53883775577935</v>
      </c>
      <c r="Y267">
        <v>-0.58560539843498061</v>
      </c>
      <c r="Z267">
        <v>0.1889215233402774</v>
      </c>
      <c r="AA267">
        <v>-3.0997283320662889</v>
      </c>
      <c r="AB267">
        <v>1.9369821540083029E-3</v>
      </c>
      <c r="AC267">
        <v>4.5566300582153531E-2</v>
      </c>
      <c r="AD267" t="s">
        <v>2555</v>
      </c>
      <c r="AE267" t="s">
        <v>2556</v>
      </c>
      <c r="AF267" t="s">
        <v>2557</v>
      </c>
      <c r="AG267" t="s">
        <v>2558</v>
      </c>
      <c r="AH267" t="s">
        <v>43</v>
      </c>
      <c r="AI267" t="s">
        <v>43</v>
      </c>
      <c r="AJ267" t="s">
        <v>43</v>
      </c>
      <c r="AK267" t="s">
        <v>43</v>
      </c>
      <c r="AL267" t="s">
        <v>43</v>
      </c>
      <c r="AM267" t="s">
        <v>2559</v>
      </c>
      <c r="AN267" t="s">
        <v>43</v>
      </c>
    </row>
    <row r="268" spans="1:40" x14ac:dyDescent="0.3">
      <c r="A268" t="s">
        <v>2560</v>
      </c>
      <c r="B268">
        <v>1304</v>
      </c>
      <c r="C268" t="str">
        <f>IF(Y268&lt;0, "Down", "Up")</f>
        <v>Down</v>
      </c>
      <c r="D268" s="7" t="str">
        <f>IF(AC268&lt;0.05, "Sig", "N")</f>
        <v>Sig</v>
      </c>
      <c r="E268" s="1" t="str">
        <f>IF(AND(H268&gt;2,J268&gt;2,L268&gt;2,N268&gt;2),"Y","N")</f>
        <v>Y</v>
      </c>
      <c r="F268" s="1" t="str">
        <f>IF(AND(P268&gt;2,R268&gt;2,T268&gt;2,V268&gt;2),"Y","N")</f>
        <v>N</v>
      </c>
      <c r="G268" s="1" t="str">
        <f>IF(OR(E268="Y", F268="Y"), "Expressed", "N")</f>
        <v>Expressed</v>
      </c>
      <c r="H268" s="8">
        <v>6.9808473946611898</v>
      </c>
      <c r="I268" s="8">
        <v>405</v>
      </c>
      <c r="J268" s="8">
        <v>6.8026604866076674</v>
      </c>
      <c r="K268" s="8">
        <v>884</v>
      </c>
      <c r="L268" s="8">
        <v>12.06649469194652</v>
      </c>
      <c r="M268" s="8">
        <v>1216</v>
      </c>
      <c r="N268" s="8">
        <v>5.4516874324621956</v>
      </c>
      <c r="O268" s="8">
        <v>327</v>
      </c>
      <c r="P268" s="9">
        <v>2.6481504725566021</v>
      </c>
      <c r="Q268" s="9">
        <v>217</v>
      </c>
      <c r="R268" s="9">
        <v>3.781353794450006</v>
      </c>
      <c r="S268" s="9">
        <v>199</v>
      </c>
      <c r="T268" s="9">
        <v>5.869542592119207</v>
      </c>
      <c r="U268" s="9">
        <v>154</v>
      </c>
      <c r="V268" s="9">
        <v>1.176074541674343</v>
      </c>
      <c r="W268" s="9">
        <v>577</v>
      </c>
      <c r="X268">
        <v>434.8209490617412</v>
      </c>
      <c r="Y268">
        <v>-1.06770524911451</v>
      </c>
      <c r="Z268">
        <v>0.28902463638285902</v>
      </c>
      <c r="AA268">
        <v>-3.694166914200923</v>
      </c>
      <c r="AB268">
        <v>2.2060886120100611E-4</v>
      </c>
      <c r="AC268">
        <v>1.1513542376410999E-2</v>
      </c>
      <c r="AD268" t="s">
        <v>2561</v>
      </c>
      <c r="AE268" t="s">
        <v>2562</v>
      </c>
      <c r="AF268" t="s">
        <v>2563</v>
      </c>
      <c r="AG268" t="s">
        <v>2564</v>
      </c>
      <c r="AH268" t="s">
        <v>43</v>
      </c>
      <c r="AI268" t="s">
        <v>43</v>
      </c>
      <c r="AJ268" t="s">
        <v>43</v>
      </c>
      <c r="AK268" t="s">
        <v>43</v>
      </c>
      <c r="AL268" t="s">
        <v>43</v>
      </c>
      <c r="AM268" t="s">
        <v>2565</v>
      </c>
      <c r="AN268" t="s">
        <v>43</v>
      </c>
    </row>
    <row r="269" spans="1:40" x14ac:dyDescent="0.3">
      <c r="A269" t="s">
        <v>2566</v>
      </c>
      <c r="B269">
        <v>366</v>
      </c>
      <c r="C269" t="str">
        <f>IF(Y269&lt;0, "Down", "Up")</f>
        <v>Down</v>
      </c>
      <c r="D269" s="7" t="str">
        <f>IF(AC269&lt;0.05, "Sig", "N")</f>
        <v>Sig</v>
      </c>
      <c r="E269" s="1" t="str">
        <f>IF(AND(H269&gt;2,J269&gt;2,L269&gt;2,N269&gt;2),"Y","N")</f>
        <v>Y</v>
      </c>
      <c r="F269" s="1" t="str">
        <f>IF(AND(P269&gt;2,R269&gt;2,T269&gt;2,V269&gt;2),"Y","N")</f>
        <v>N</v>
      </c>
      <c r="G269" s="1" t="str">
        <f>IF(OR(E269="Y", F269="Y"), "Expressed", "N")</f>
        <v>Expressed</v>
      </c>
      <c r="H269" s="8">
        <v>14.554522874082521</v>
      </c>
      <c r="I269" s="8">
        <v>237</v>
      </c>
      <c r="J269" s="8">
        <v>6.7720474210941637</v>
      </c>
      <c r="K269" s="8">
        <v>247</v>
      </c>
      <c r="L269" s="8">
        <v>23.758188858517659</v>
      </c>
      <c r="M269" s="8">
        <v>672</v>
      </c>
      <c r="N269" s="8">
        <v>8.2564717940740273</v>
      </c>
      <c r="O269" s="8">
        <v>139</v>
      </c>
      <c r="P269" s="9">
        <v>4.0105710303447406</v>
      </c>
      <c r="Q269" s="9">
        <v>199</v>
      </c>
      <c r="R269" s="9">
        <v>12.35484102949559</v>
      </c>
      <c r="S269" s="9">
        <v>43</v>
      </c>
      <c r="T269" s="9">
        <v>4.5187274106228994</v>
      </c>
      <c r="U269" s="9">
        <v>25</v>
      </c>
      <c r="V269" s="9">
        <v>0.68022195122034568</v>
      </c>
      <c r="W269" s="9">
        <v>99</v>
      </c>
      <c r="X269">
        <v>176.37595529500601</v>
      </c>
      <c r="Y269">
        <v>-1.84100338897494</v>
      </c>
      <c r="Z269">
        <v>0.36975532717340281</v>
      </c>
      <c r="AA269">
        <v>-4.9789773227839724</v>
      </c>
      <c r="AB269">
        <v>6.3921130966744418E-7</v>
      </c>
      <c r="AC269">
        <v>1.71729929354065E-4</v>
      </c>
      <c r="AD269" t="s">
        <v>2567</v>
      </c>
      <c r="AE269" t="s">
        <v>2568</v>
      </c>
      <c r="AF269" t="s">
        <v>43</v>
      </c>
      <c r="AG269" t="s">
        <v>43</v>
      </c>
      <c r="AH269" t="s">
        <v>43</v>
      </c>
      <c r="AI269" t="s">
        <v>43</v>
      </c>
      <c r="AJ269" t="s">
        <v>43</v>
      </c>
      <c r="AK269" t="s">
        <v>43</v>
      </c>
      <c r="AL269" t="s">
        <v>43</v>
      </c>
      <c r="AM269" t="s">
        <v>43</v>
      </c>
      <c r="AN269" t="s">
        <v>43</v>
      </c>
    </row>
    <row r="270" spans="1:40" x14ac:dyDescent="0.3">
      <c r="A270" t="s">
        <v>2569</v>
      </c>
      <c r="B270">
        <v>1564</v>
      </c>
      <c r="C270" t="str">
        <f>IF(Y270&lt;0, "Down", "Up")</f>
        <v>Down</v>
      </c>
      <c r="D270" s="7" t="str">
        <f>IF(AC270&lt;0.05, "Sig", "N")</f>
        <v>Sig</v>
      </c>
      <c r="E270" s="1" t="str">
        <f>IF(AND(H270&gt;2,J270&gt;2,L270&gt;2,N270&gt;2),"Y","N")</f>
        <v>Y</v>
      </c>
      <c r="F270" s="1" t="str">
        <f>IF(AND(P270&gt;2,R270&gt;2,T270&gt;2,V270&gt;2),"Y","N")</f>
        <v>N</v>
      </c>
      <c r="G270" s="1" t="str">
        <f>IF(OR(E270="Y", F270="Y"), "Expressed", "N")</f>
        <v>Expressed</v>
      </c>
      <c r="H270" s="8">
        <v>12.45985708895727</v>
      </c>
      <c r="I270" s="8">
        <v>867</v>
      </c>
      <c r="J270" s="8">
        <v>6.7689270496782079</v>
      </c>
      <c r="K270" s="8">
        <v>1055</v>
      </c>
      <c r="L270" s="8">
        <v>17.109563436953589</v>
      </c>
      <c r="M270" s="8">
        <v>2068</v>
      </c>
      <c r="N270" s="8">
        <v>9.1324942526386348</v>
      </c>
      <c r="O270" s="8">
        <v>657</v>
      </c>
      <c r="P270" s="9">
        <v>4.4360978633404358</v>
      </c>
      <c r="Q270" s="9">
        <v>882</v>
      </c>
      <c r="R270" s="9">
        <v>12.81436254936296</v>
      </c>
      <c r="S270" s="9">
        <v>180</v>
      </c>
      <c r="T270" s="9">
        <v>4.4265413937405063</v>
      </c>
      <c r="U270" s="9">
        <v>297</v>
      </c>
      <c r="V270" s="9">
        <v>1.89108661231596</v>
      </c>
      <c r="W270" s="9">
        <v>585</v>
      </c>
      <c r="X270">
        <v>743.23993593367243</v>
      </c>
      <c r="Y270">
        <v>-1.144396723552501</v>
      </c>
      <c r="Z270">
        <v>0.29875742698391061</v>
      </c>
      <c r="AA270">
        <v>-3.8305214203566291</v>
      </c>
      <c r="AB270">
        <v>1.2787200052401081E-4</v>
      </c>
      <c r="AC270">
        <v>8.0271692018527262E-3</v>
      </c>
      <c r="AD270" t="s">
        <v>2570</v>
      </c>
      <c r="AE270" t="s">
        <v>2571</v>
      </c>
      <c r="AF270" t="s">
        <v>2572</v>
      </c>
      <c r="AG270" t="s">
        <v>2573</v>
      </c>
      <c r="AH270" t="s">
        <v>43</v>
      </c>
      <c r="AI270" t="s">
        <v>43</v>
      </c>
      <c r="AJ270" t="s">
        <v>43</v>
      </c>
      <c r="AK270" t="s">
        <v>43</v>
      </c>
      <c r="AL270" t="s">
        <v>43</v>
      </c>
      <c r="AM270" t="s">
        <v>2574</v>
      </c>
      <c r="AN270" t="s">
        <v>43</v>
      </c>
    </row>
    <row r="271" spans="1:40" x14ac:dyDescent="0.3">
      <c r="A271" t="s">
        <v>2575</v>
      </c>
      <c r="B271">
        <v>694</v>
      </c>
      <c r="C271" t="str">
        <f>IF(Y271&lt;0, "Down", "Up")</f>
        <v>Down</v>
      </c>
      <c r="D271" s="7" t="str">
        <f>IF(AC271&lt;0.05, "Sig", "N")</f>
        <v>Sig</v>
      </c>
      <c r="E271" s="1" t="str">
        <f>IF(AND(H271&gt;2,J271&gt;2,L271&gt;2,N271&gt;2),"Y","N")</f>
        <v>Y</v>
      </c>
      <c r="F271" s="1" t="str">
        <f>IF(AND(P271&gt;2,R271&gt;2,T271&gt;2,V271&gt;2),"Y","N")</f>
        <v>N</v>
      </c>
      <c r="G271" s="1" t="str">
        <f>IF(OR(E271="Y", F271="Y"), "Expressed", "N")</f>
        <v>Expressed</v>
      </c>
      <c r="H271" s="8">
        <v>9.8456598029032278</v>
      </c>
      <c r="I271" s="8">
        <v>304</v>
      </c>
      <c r="J271" s="8">
        <v>6.7669116350930301</v>
      </c>
      <c r="K271" s="8">
        <v>468</v>
      </c>
      <c r="L271" s="8">
        <v>23.47423253068775</v>
      </c>
      <c r="M271" s="8">
        <v>1259</v>
      </c>
      <c r="N271" s="8">
        <v>9.8049561066648607</v>
      </c>
      <c r="O271" s="8">
        <v>313</v>
      </c>
      <c r="P271" s="9">
        <v>4.7627453827694</v>
      </c>
      <c r="Q271" s="9">
        <v>338</v>
      </c>
      <c r="R271" s="9">
        <v>11.06680864029688</v>
      </c>
      <c r="S271" s="9">
        <v>184</v>
      </c>
      <c r="T271" s="9">
        <v>10.197345309998941</v>
      </c>
      <c r="U271" s="9">
        <v>73</v>
      </c>
      <c r="V271" s="9">
        <v>1.047502599003181</v>
      </c>
      <c r="W271" s="9">
        <v>257</v>
      </c>
      <c r="X271">
        <v>345.05736125136889</v>
      </c>
      <c r="Y271">
        <v>-1.284946833026045</v>
      </c>
      <c r="Z271">
        <v>0.3058394645005123</v>
      </c>
      <c r="AA271">
        <v>-4.2013768076810534</v>
      </c>
      <c r="AB271">
        <v>2.6529659919028372E-5</v>
      </c>
      <c r="AC271">
        <v>2.5936383462703992E-3</v>
      </c>
      <c r="AD271" t="s">
        <v>2576</v>
      </c>
      <c r="AE271" t="s">
        <v>2577</v>
      </c>
      <c r="AF271" t="s">
        <v>43</v>
      </c>
      <c r="AG271" t="s">
        <v>43</v>
      </c>
      <c r="AH271" t="s">
        <v>43</v>
      </c>
      <c r="AI271" t="s">
        <v>43</v>
      </c>
      <c r="AJ271" t="s">
        <v>43</v>
      </c>
      <c r="AK271" t="s">
        <v>43</v>
      </c>
      <c r="AL271" t="s">
        <v>43</v>
      </c>
      <c r="AM271" t="s">
        <v>43</v>
      </c>
      <c r="AN271" t="s">
        <v>43</v>
      </c>
    </row>
    <row r="272" spans="1:40" x14ac:dyDescent="0.3">
      <c r="A272" t="s">
        <v>2578</v>
      </c>
      <c r="B272">
        <v>1123</v>
      </c>
      <c r="C272" t="str">
        <f>IF(Y272&lt;0, "Down", "Up")</f>
        <v>Down</v>
      </c>
      <c r="D272" s="7" t="str">
        <f>IF(AC272&lt;0.05, "Sig", "N")</f>
        <v>Sig</v>
      </c>
      <c r="E272" s="1" t="str">
        <f>IF(AND(H272&gt;2,J272&gt;2,L272&gt;2,N272&gt;2),"Y","N")</f>
        <v>Y</v>
      </c>
      <c r="F272" s="1" t="str">
        <f>IF(AND(P272&gt;2,R272&gt;2,T272&gt;2,V272&gt;2),"Y","N")</f>
        <v>N</v>
      </c>
      <c r="G272" s="1" t="str">
        <f>IF(OR(E272="Y", F272="Y"), "Expressed", "N")</f>
        <v>Expressed</v>
      </c>
      <c r="H272" s="8">
        <v>8.7464615858159682</v>
      </c>
      <c r="I272" s="8">
        <v>437</v>
      </c>
      <c r="J272" s="8">
        <v>6.7553236639390244</v>
      </c>
      <c r="K272" s="8">
        <v>756</v>
      </c>
      <c r="L272" s="8">
        <v>8.3192195149061412</v>
      </c>
      <c r="M272" s="8">
        <v>722</v>
      </c>
      <c r="N272" s="8">
        <v>5.5172909975198863</v>
      </c>
      <c r="O272" s="8">
        <v>285</v>
      </c>
      <c r="P272" s="9">
        <v>2.680017323685016</v>
      </c>
      <c r="Q272" s="9">
        <v>543</v>
      </c>
      <c r="R272" s="9">
        <v>10.987154814678441</v>
      </c>
      <c r="S272" s="9">
        <v>235</v>
      </c>
      <c r="T272" s="9">
        <v>8.0485357863628462</v>
      </c>
      <c r="U272" s="9">
        <v>131</v>
      </c>
      <c r="V272" s="9">
        <v>1.1616712973538981</v>
      </c>
      <c r="W272" s="9">
        <v>581</v>
      </c>
      <c r="X272">
        <v>408.63232836976778</v>
      </c>
      <c r="Y272">
        <v>-0.52884347408562038</v>
      </c>
      <c r="Z272">
        <v>0.16394077292479159</v>
      </c>
      <c r="AA272">
        <v>-3.225820304801351</v>
      </c>
      <c r="AB272">
        <v>1.256121948285798E-3</v>
      </c>
      <c r="AC272">
        <v>3.5565551019608177E-2</v>
      </c>
      <c r="AD272" t="s">
        <v>2579</v>
      </c>
      <c r="AE272" t="s">
        <v>2580</v>
      </c>
      <c r="AF272" t="s">
        <v>2581</v>
      </c>
      <c r="AG272" t="s">
        <v>2582</v>
      </c>
      <c r="AH272" t="s">
        <v>43</v>
      </c>
      <c r="AI272" t="s">
        <v>43</v>
      </c>
      <c r="AJ272" t="s">
        <v>43</v>
      </c>
      <c r="AK272" t="s">
        <v>43</v>
      </c>
      <c r="AL272" t="s">
        <v>43</v>
      </c>
      <c r="AM272" t="s">
        <v>207</v>
      </c>
      <c r="AN272" t="s">
        <v>43</v>
      </c>
    </row>
    <row r="273" spans="1:40" x14ac:dyDescent="0.3">
      <c r="A273" t="s">
        <v>2583</v>
      </c>
      <c r="B273">
        <v>1741</v>
      </c>
      <c r="C273" t="str">
        <f>IF(Y273&lt;0, "Down", "Up")</f>
        <v>Down</v>
      </c>
      <c r="D273" s="7" t="str">
        <f>IF(AC273&lt;0.05, "Sig", "N")</f>
        <v>Sig</v>
      </c>
      <c r="E273" s="1" t="str">
        <f>IF(AND(H273&gt;2,J273&gt;2,L273&gt;2,N273&gt;2),"Y","N")</f>
        <v>Y</v>
      </c>
      <c r="F273" s="1" t="str">
        <f>IF(AND(P273&gt;2,R273&gt;2,T273&gt;2,V273&gt;2),"Y","N")</f>
        <v>N</v>
      </c>
      <c r="G273" s="1" t="str">
        <f>IF(OR(E273="Y", F273="Y"), "Expressed", "N")</f>
        <v>Expressed</v>
      </c>
      <c r="H273" s="8">
        <v>11.348038912387469</v>
      </c>
      <c r="I273" s="8">
        <v>879</v>
      </c>
      <c r="J273" s="8">
        <v>6.7435908597854146</v>
      </c>
      <c r="K273" s="8">
        <v>1170</v>
      </c>
      <c r="L273" s="8">
        <v>16.514690009134739</v>
      </c>
      <c r="M273" s="8">
        <v>2222</v>
      </c>
      <c r="N273" s="8">
        <v>6.5182725928678673</v>
      </c>
      <c r="O273" s="8">
        <v>522</v>
      </c>
      <c r="P273" s="9">
        <v>3.1662429038525932</v>
      </c>
      <c r="Q273" s="9">
        <v>955</v>
      </c>
      <c r="R273" s="9">
        <v>12.464353891916771</v>
      </c>
      <c r="S273" s="9">
        <v>142</v>
      </c>
      <c r="T273" s="9">
        <v>3.1370276503064698</v>
      </c>
      <c r="U273" s="9">
        <v>169</v>
      </c>
      <c r="V273" s="9">
        <v>0.96667314349875388</v>
      </c>
      <c r="W273" s="9">
        <v>405</v>
      </c>
      <c r="X273">
        <v>692.34458713749859</v>
      </c>
      <c r="Y273">
        <v>-1.5048704646837461</v>
      </c>
      <c r="Z273">
        <v>0.33244839816566668</v>
      </c>
      <c r="AA273">
        <v>-4.5266287128681988</v>
      </c>
      <c r="AB273">
        <v>5.9932101950657512E-6</v>
      </c>
      <c r="AC273">
        <v>8.3841109722925737E-4</v>
      </c>
      <c r="AD273" t="s">
        <v>2584</v>
      </c>
      <c r="AE273" t="s">
        <v>2585</v>
      </c>
      <c r="AF273" t="s">
        <v>43</v>
      </c>
      <c r="AG273" t="s">
        <v>2586</v>
      </c>
      <c r="AH273" t="s">
        <v>43</v>
      </c>
      <c r="AI273" t="s">
        <v>43</v>
      </c>
      <c r="AJ273" t="s">
        <v>43</v>
      </c>
      <c r="AK273" t="s">
        <v>43</v>
      </c>
      <c r="AL273" t="s">
        <v>43</v>
      </c>
      <c r="AM273" t="s">
        <v>2587</v>
      </c>
      <c r="AN273" t="s">
        <v>43</v>
      </c>
    </row>
    <row r="274" spans="1:40" x14ac:dyDescent="0.3">
      <c r="A274" t="s">
        <v>2588</v>
      </c>
      <c r="B274">
        <v>1422</v>
      </c>
      <c r="C274" t="str">
        <f>IF(Y274&lt;0, "Down", "Up")</f>
        <v>Down</v>
      </c>
      <c r="D274" s="7" t="str">
        <f>IF(AC274&lt;0.05, "Sig", "N")</f>
        <v>Sig</v>
      </c>
      <c r="E274" s="1" t="str">
        <f>IF(AND(H274&gt;2,J274&gt;2,L274&gt;2,N274&gt;2),"Y","N")</f>
        <v>Y</v>
      </c>
      <c r="F274" s="1" t="str">
        <f>IF(AND(P274&gt;2,R274&gt;2,T274&gt;2,V274&gt;2),"Y","N")</f>
        <v>N</v>
      </c>
      <c r="G274" s="1" t="str">
        <f>IF(OR(E274="Y", F274="Y"), "Expressed", "N")</f>
        <v>Expressed</v>
      </c>
      <c r="H274" s="8">
        <v>12.265714090825369</v>
      </c>
      <c r="I274" s="8">
        <v>776</v>
      </c>
      <c r="J274" s="8">
        <v>6.675682339665177</v>
      </c>
      <c r="K274" s="8">
        <v>946</v>
      </c>
      <c r="L274" s="8">
        <v>13.40381092716739</v>
      </c>
      <c r="M274" s="8">
        <v>1473</v>
      </c>
      <c r="N274" s="8">
        <v>10.31964988376888</v>
      </c>
      <c r="O274" s="8">
        <v>675</v>
      </c>
      <c r="P274" s="9">
        <v>5.0127572526620154</v>
      </c>
      <c r="Q274" s="9">
        <v>1098</v>
      </c>
      <c r="R274" s="9">
        <v>17.545587483271969</v>
      </c>
      <c r="S274" s="9">
        <v>356</v>
      </c>
      <c r="T274" s="9">
        <v>9.6289553968292481</v>
      </c>
      <c r="U274" s="9">
        <v>215</v>
      </c>
      <c r="V274" s="9">
        <v>1.5056727240936429</v>
      </c>
      <c r="W274" s="9">
        <v>969</v>
      </c>
      <c r="X274">
        <v>727.75822054608045</v>
      </c>
      <c r="Y274">
        <v>-0.62120138376179213</v>
      </c>
      <c r="Z274">
        <v>0.19786631436423549</v>
      </c>
      <c r="AA274">
        <v>-3.1395004539189761</v>
      </c>
      <c r="AB274">
        <v>1.692361524011237E-3</v>
      </c>
      <c r="AC274">
        <v>4.2145355938827532E-2</v>
      </c>
      <c r="AD274" t="s">
        <v>2589</v>
      </c>
      <c r="AE274" t="s">
        <v>2590</v>
      </c>
      <c r="AF274" t="s">
        <v>2591</v>
      </c>
      <c r="AG274" t="s">
        <v>43</v>
      </c>
      <c r="AH274" t="s">
        <v>43</v>
      </c>
      <c r="AI274" t="s">
        <v>43</v>
      </c>
      <c r="AJ274" t="s">
        <v>43</v>
      </c>
      <c r="AK274" t="s">
        <v>43</v>
      </c>
      <c r="AL274" t="s">
        <v>43</v>
      </c>
      <c r="AM274" t="s">
        <v>43</v>
      </c>
      <c r="AN274" t="s">
        <v>43</v>
      </c>
    </row>
    <row r="275" spans="1:40" x14ac:dyDescent="0.3">
      <c r="A275" t="s">
        <v>2592</v>
      </c>
      <c r="B275">
        <v>2788</v>
      </c>
      <c r="C275" t="str">
        <f>IF(Y275&lt;0, "Down", "Up")</f>
        <v>Down</v>
      </c>
      <c r="D275" s="7" t="str">
        <f>IF(AC275&lt;0.05, "Sig", "N")</f>
        <v>Sig</v>
      </c>
      <c r="E275" s="1" t="str">
        <f>IF(AND(H275&gt;2,J275&gt;2,L275&gt;2,N275&gt;2),"Y","N")</f>
        <v>Y</v>
      </c>
      <c r="F275" s="1" t="str">
        <f>IF(AND(P275&gt;2,R275&gt;2,T275&gt;2,V275&gt;2),"Y","N")</f>
        <v>N</v>
      </c>
      <c r="G275" s="1" t="str">
        <f>IF(OR(E275="Y", F275="Y"), "Expressed", "N")</f>
        <v>Expressed</v>
      </c>
      <c r="H275" s="8">
        <v>8.8681009466514436</v>
      </c>
      <c r="I275" s="8">
        <v>1100</v>
      </c>
      <c r="J275" s="8">
        <v>6.658602380390886</v>
      </c>
      <c r="K275" s="8">
        <v>1850</v>
      </c>
      <c r="L275" s="8">
        <v>10.572704471337291</v>
      </c>
      <c r="M275" s="8">
        <v>2278</v>
      </c>
      <c r="N275" s="8">
        <v>6.2771701038573076</v>
      </c>
      <c r="O275" s="8">
        <v>805</v>
      </c>
      <c r="P275" s="9">
        <v>3.049127666026215</v>
      </c>
      <c r="Q275" s="9">
        <v>1369</v>
      </c>
      <c r="R275" s="9">
        <v>11.157730036828481</v>
      </c>
      <c r="S275" s="9">
        <v>393</v>
      </c>
      <c r="T275" s="9">
        <v>5.4216135037968076</v>
      </c>
      <c r="U275" s="9">
        <v>491</v>
      </c>
      <c r="V275" s="9">
        <v>1.753801520315688</v>
      </c>
      <c r="W275" s="9">
        <v>1318</v>
      </c>
      <c r="X275">
        <v>1076.5557058205541</v>
      </c>
      <c r="Y275">
        <v>-0.64804723538928288</v>
      </c>
      <c r="Z275">
        <v>0.2091202652533769</v>
      </c>
      <c r="AA275">
        <v>-3.098921257603072</v>
      </c>
      <c r="AB275">
        <v>1.942266335453301E-3</v>
      </c>
      <c r="AC275">
        <v>4.5645189565394581E-2</v>
      </c>
      <c r="AD275" t="s">
        <v>2593</v>
      </c>
      <c r="AE275" t="s">
        <v>2594</v>
      </c>
      <c r="AF275" t="s">
        <v>43</v>
      </c>
      <c r="AG275" t="s">
        <v>2595</v>
      </c>
      <c r="AH275" t="s">
        <v>43</v>
      </c>
      <c r="AI275" t="s">
        <v>43</v>
      </c>
      <c r="AJ275" t="s">
        <v>43</v>
      </c>
      <c r="AK275" t="s">
        <v>43</v>
      </c>
      <c r="AL275" t="s">
        <v>43</v>
      </c>
      <c r="AM275" t="s">
        <v>2596</v>
      </c>
      <c r="AN275" t="s">
        <v>43</v>
      </c>
    </row>
    <row r="276" spans="1:40" x14ac:dyDescent="0.3">
      <c r="A276" t="s">
        <v>2603</v>
      </c>
      <c r="B276">
        <v>291</v>
      </c>
      <c r="C276" t="str">
        <f>IF(Y276&lt;0, "Down", "Up")</f>
        <v>Down</v>
      </c>
      <c r="D276" s="7" t="str">
        <f>IF(AC276&lt;0.05, "Sig", "N")</f>
        <v>Sig</v>
      </c>
      <c r="E276" s="1" t="str">
        <f>IF(AND(H276&gt;2,J276&gt;2,L276&gt;2,N276&gt;2),"Y","N")</f>
        <v>Y</v>
      </c>
      <c r="F276" s="1" t="str">
        <f>IF(AND(P276&gt;2,R276&gt;2,T276&gt;2,V276&gt;2),"Y","N")</f>
        <v>N</v>
      </c>
      <c r="G276" s="1" t="str">
        <f>IF(OR(E276="Y", F276="Y"), "Expressed", "N")</f>
        <v>Expressed</v>
      </c>
      <c r="H276" s="8">
        <v>7.5694408405120086</v>
      </c>
      <c r="I276" s="8">
        <v>98</v>
      </c>
      <c r="J276" s="8">
        <v>6.5863453819581874</v>
      </c>
      <c r="K276" s="8">
        <v>191</v>
      </c>
      <c r="L276" s="8">
        <v>9.7381457094052966</v>
      </c>
      <c r="M276" s="8">
        <v>219</v>
      </c>
      <c r="N276" s="8">
        <v>5.6778169898875896</v>
      </c>
      <c r="O276" s="8">
        <v>76</v>
      </c>
      <c r="P276" s="9">
        <v>2.757992627260732</v>
      </c>
      <c r="Q276" s="9">
        <v>98</v>
      </c>
      <c r="R276" s="9">
        <v>7.6524104723954451</v>
      </c>
      <c r="S276" s="9">
        <v>51</v>
      </c>
      <c r="T276" s="9">
        <v>6.7407149242137789</v>
      </c>
      <c r="U276" s="9">
        <v>41</v>
      </c>
      <c r="V276" s="9">
        <v>1.4030804948470801</v>
      </c>
      <c r="W276" s="9">
        <v>131</v>
      </c>
      <c r="X276">
        <v>101.2835153101954</v>
      </c>
      <c r="Y276">
        <v>-0.72756309701850541</v>
      </c>
      <c r="Z276">
        <v>0.22999604522601139</v>
      </c>
      <c r="AA276">
        <v>-3.1633722062635781</v>
      </c>
      <c r="AB276">
        <v>1.559528037627637E-3</v>
      </c>
      <c r="AC276">
        <v>4.0120089081167119E-2</v>
      </c>
      <c r="AD276" t="s">
        <v>2604</v>
      </c>
      <c r="AE276" t="s">
        <v>2605</v>
      </c>
      <c r="AF276" t="s">
        <v>43</v>
      </c>
      <c r="AG276" t="s">
        <v>43</v>
      </c>
      <c r="AH276" t="s">
        <v>43</v>
      </c>
      <c r="AI276" t="s">
        <v>43</v>
      </c>
      <c r="AJ276" t="s">
        <v>43</v>
      </c>
      <c r="AK276" t="s">
        <v>43</v>
      </c>
      <c r="AL276" t="s">
        <v>43</v>
      </c>
      <c r="AM276" t="s">
        <v>43</v>
      </c>
      <c r="AN276" t="s">
        <v>43</v>
      </c>
    </row>
    <row r="277" spans="1:40" x14ac:dyDescent="0.3">
      <c r="A277" t="s">
        <v>2606</v>
      </c>
      <c r="B277">
        <v>2087</v>
      </c>
      <c r="C277" t="str">
        <f>IF(Y277&lt;0, "Down", "Up")</f>
        <v>Down</v>
      </c>
      <c r="D277" s="7" t="str">
        <f>IF(AC277&lt;0.05, "Sig", "N")</f>
        <v>Sig</v>
      </c>
      <c r="E277" s="1" t="str">
        <f>IF(AND(H277&gt;2,J277&gt;2,L277&gt;2,N277&gt;2),"Y","N")</f>
        <v>Y</v>
      </c>
      <c r="F277" s="1" t="str">
        <f>IF(AND(P277&gt;2,R277&gt;2,T277&gt;2,V277&gt;2),"Y","N")</f>
        <v>N</v>
      </c>
      <c r="G277" s="1" t="str">
        <f>IF(OR(E277="Y", F277="Y"), "Expressed", "N")</f>
        <v>Expressed</v>
      </c>
      <c r="H277" s="8">
        <v>8.798939262045943</v>
      </c>
      <c r="I277" s="8">
        <v>817</v>
      </c>
      <c r="J277" s="8">
        <v>6.5535637664279784</v>
      </c>
      <c r="K277" s="8">
        <v>1363</v>
      </c>
      <c r="L277" s="8">
        <v>9.6846453847682916</v>
      </c>
      <c r="M277" s="8">
        <v>1562</v>
      </c>
      <c r="N277" s="8">
        <v>8.6356069706169283</v>
      </c>
      <c r="O277" s="8">
        <v>829</v>
      </c>
      <c r="P277" s="9">
        <v>4.1947354765575851</v>
      </c>
      <c r="Q277" s="9">
        <v>833</v>
      </c>
      <c r="R277" s="9">
        <v>9.0695914247580909</v>
      </c>
      <c r="S277" s="9">
        <v>153</v>
      </c>
      <c r="T277" s="9">
        <v>2.819666568681662</v>
      </c>
      <c r="U277" s="9">
        <v>219</v>
      </c>
      <c r="V277" s="9">
        <v>1.0449930096428479</v>
      </c>
      <c r="W277" s="9">
        <v>603</v>
      </c>
      <c r="X277">
        <v>717.36100868506821</v>
      </c>
      <c r="Y277">
        <v>-1.3524021468970431</v>
      </c>
      <c r="Z277">
        <v>0.24308026513948749</v>
      </c>
      <c r="AA277">
        <v>-5.5636032243135398</v>
      </c>
      <c r="AB277">
        <v>2.6426042599397209E-8</v>
      </c>
      <c r="AC277">
        <v>1.452940695662672E-5</v>
      </c>
      <c r="AD277" t="s">
        <v>2607</v>
      </c>
      <c r="AE277" t="s">
        <v>2608</v>
      </c>
      <c r="AF277" t="s">
        <v>2609</v>
      </c>
      <c r="AG277" t="s">
        <v>2610</v>
      </c>
      <c r="AH277" t="s">
        <v>43</v>
      </c>
      <c r="AI277" t="s">
        <v>43</v>
      </c>
      <c r="AJ277" t="s">
        <v>43</v>
      </c>
      <c r="AK277" t="s">
        <v>43</v>
      </c>
      <c r="AL277" t="s">
        <v>43</v>
      </c>
      <c r="AM277" t="s">
        <v>2611</v>
      </c>
      <c r="AN277" t="s">
        <v>43</v>
      </c>
    </row>
    <row r="278" spans="1:40" x14ac:dyDescent="0.3">
      <c r="A278" t="s">
        <v>2612</v>
      </c>
      <c r="B278">
        <v>996</v>
      </c>
      <c r="C278" t="str">
        <f>IF(Y278&lt;0, "Down", "Up")</f>
        <v>Down</v>
      </c>
      <c r="D278" s="7" t="str">
        <f>IF(AC278&lt;0.05, "Sig", "N")</f>
        <v>Sig</v>
      </c>
      <c r="E278" s="1" t="str">
        <f>IF(AND(H278&gt;2,J278&gt;2,L278&gt;2,N278&gt;2),"Y","N")</f>
        <v>Y</v>
      </c>
      <c r="F278" s="1" t="str">
        <f>IF(AND(P278&gt;2,R278&gt;2,T278&gt;2,V278&gt;2),"Y","N")</f>
        <v>N</v>
      </c>
      <c r="G278" s="1" t="str">
        <f>IF(OR(E278="Y", F278="Y"), "Expressed", "N")</f>
        <v>Expressed</v>
      </c>
      <c r="H278" s="8">
        <v>10.990066875613071</v>
      </c>
      <c r="I278" s="8">
        <v>487</v>
      </c>
      <c r="J278" s="8">
        <v>6.5386709271181118</v>
      </c>
      <c r="K278" s="8">
        <v>649</v>
      </c>
      <c r="L278" s="8">
        <v>11.21183247345583</v>
      </c>
      <c r="M278" s="8">
        <v>863</v>
      </c>
      <c r="N278" s="8">
        <v>7.6177527963960294</v>
      </c>
      <c r="O278" s="8">
        <v>349</v>
      </c>
      <c r="P278" s="9">
        <v>3.7003140619315769</v>
      </c>
      <c r="Q278" s="9">
        <v>678</v>
      </c>
      <c r="R278" s="9">
        <v>15.468048534778671</v>
      </c>
      <c r="S278" s="9">
        <v>101</v>
      </c>
      <c r="T278" s="9">
        <v>3.9002353007631938</v>
      </c>
      <c r="U278" s="9">
        <v>117</v>
      </c>
      <c r="V278" s="9">
        <v>1.169817847195086</v>
      </c>
      <c r="W278" s="9">
        <v>471</v>
      </c>
      <c r="X278">
        <v>404.82189136724838</v>
      </c>
      <c r="Y278">
        <v>-0.89853295972405089</v>
      </c>
      <c r="Z278">
        <v>0.28316670379032077</v>
      </c>
      <c r="AA278">
        <v>-3.1731589473506618</v>
      </c>
      <c r="AB278">
        <v>1.5078994712374989E-3</v>
      </c>
      <c r="AC278">
        <v>3.9481017139851513E-2</v>
      </c>
      <c r="AD278" t="s">
        <v>2613</v>
      </c>
      <c r="AE278" t="s">
        <v>2614</v>
      </c>
      <c r="AF278" t="s">
        <v>2615</v>
      </c>
      <c r="AG278" t="s">
        <v>2616</v>
      </c>
      <c r="AH278" t="s">
        <v>43</v>
      </c>
      <c r="AI278" t="s">
        <v>43</v>
      </c>
      <c r="AJ278" t="s">
        <v>43</v>
      </c>
      <c r="AK278" t="s">
        <v>43</v>
      </c>
      <c r="AL278" t="s">
        <v>43</v>
      </c>
      <c r="AM278" t="s">
        <v>2617</v>
      </c>
      <c r="AN278" t="s">
        <v>43</v>
      </c>
    </row>
    <row r="279" spans="1:40" x14ac:dyDescent="0.3">
      <c r="A279" t="s">
        <v>2618</v>
      </c>
      <c r="B279">
        <v>1741</v>
      </c>
      <c r="C279" t="str">
        <f>IF(Y279&lt;0, "Down", "Up")</f>
        <v>Down</v>
      </c>
      <c r="D279" s="7" t="str">
        <f>IF(AC279&lt;0.05, "Sig", "N")</f>
        <v>Sig</v>
      </c>
      <c r="E279" s="1" t="str">
        <f>IF(AND(H279&gt;2,J279&gt;2,L279&gt;2,N279&gt;2),"Y","N")</f>
        <v>Y</v>
      </c>
      <c r="F279" s="1" t="str">
        <f>IF(AND(P279&gt;2,R279&gt;2,T279&gt;2,V279&gt;2),"Y","N")</f>
        <v>N</v>
      </c>
      <c r="G279" s="1" t="str">
        <f>IF(OR(E279="Y", F279="Y"), "Expressed", "N")</f>
        <v>Expressed</v>
      </c>
      <c r="H279" s="8">
        <v>6.8811202961348394</v>
      </c>
      <c r="I279" s="8">
        <v>533</v>
      </c>
      <c r="J279" s="8">
        <v>6.5130407449209562</v>
      </c>
      <c r="K279" s="8">
        <v>1130</v>
      </c>
      <c r="L279" s="8">
        <v>36.143536235113523</v>
      </c>
      <c r="M279" s="8">
        <v>4863</v>
      </c>
      <c r="N279" s="8">
        <v>3.5088785413713999</v>
      </c>
      <c r="O279" s="8">
        <v>281</v>
      </c>
      <c r="P279" s="9">
        <v>1.704433440579652</v>
      </c>
      <c r="Q279" s="9">
        <v>679</v>
      </c>
      <c r="R279" s="9">
        <v>8.8620903587554878</v>
      </c>
      <c r="S279" s="9">
        <v>88</v>
      </c>
      <c r="T279" s="9">
        <v>1.9440734734293621</v>
      </c>
      <c r="U279" s="9">
        <v>68</v>
      </c>
      <c r="V279" s="9">
        <v>0.38895724117109631</v>
      </c>
      <c r="W279" s="9">
        <v>270</v>
      </c>
      <c r="X279">
        <v>733.12382268698548</v>
      </c>
      <c r="Y279">
        <v>-2.5102954425127</v>
      </c>
      <c r="Z279">
        <v>0.75775360051516405</v>
      </c>
      <c r="AA279">
        <v>-3.3128122925526959</v>
      </c>
      <c r="AB279">
        <v>9.2362946152901198E-4</v>
      </c>
      <c r="AC279">
        <v>2.9154135820385719E-2</v>
      </c>
    </row>
    <row r="280" spans="1:40" x14ac:dyDescent="0.3">
      <c r="A280" t="s">
        <v>2625</v>
      </c>
      <c r="B280">
        <v>1190</v>
      </c>
      <c r="C280" t="str">
        <f>IF(Y280&lt;0, "Down", "Up")</f>
        <v>Down</v>
      </c>
      <c r="D280" s="7" t="str">
        <f>IF(AC280&lt;0.05, "Sig", "N")</f>
        <v>Sig</v>
      </c>
      <c r="E280" s="1" t="str">
        <f>IF(AND(H280&gt;2,J280&gt;2,L280&gt;2,N280&gt;2),"Y","N")</f>
        <v>Y</v>
      </c>
      <c r="F280" s="1" t="str">
        <f>IF(AND(P280&gt;2,R280&gt;2,T280&gt;2,V280&gt;2),"Y","N")</f>
        <v>N</v>
      </c>
      <c r="G280" s="1" t="str">
        <f>IF(OR(E280="Y", F280="Y"), "Expressed", "N")</f>
        <v>Expressed</v>
      </c>
      <c r="H280" s="8">
        <v>11.786051668526261</v>
      </c>
      <c r="I280" s="8">
        <v>624</v>
      </c>
      <c r="J280" s="8">
        <v>6.4846046162577373</v>
      </c>
      <c r="K280" s="8">
        <v>769</v>
      </c>
      <c r="L280" s="8">
        <v>16.049612035305341</v>
      </c>
      <c r="M280" s="8">
        <v>1476</v>
      </c>
      <c r="N280" s="8">
        <v>12.1123204921493</v>
      </c>
      <c r="O280" s="8">
        <v>663</v>
      </c>
      <c r="P280" s="9">
        <v>5.8835447982673017</v>
      </c>
      <c r="Q280" s="9">
        <v>738</v>
      </c>
      <c r="R280" s="9">
        <v>14.09206283854143</v>
      </c>
      <c r="S280" s="9">
        <v>230</v>
      </c>
      <c r="T280" s="9">
        <v>7.433779039011835</v>
      </c>
      <c r="U280" s="9">
        <v>142</v>
      </c>
      <c r="V280" s="9">
        <v>1.188319168027691</v>
      </c>
      <c r="W280" s="9">
        <v>582</v>
      </c>
      <c r="X280">
        <v>584.66853022671489</v>
      </c>
      <c r="Y280">
        <v>-1.1096703662402641</v>
      </c>
      <c r="Z280">
        <v>0.22649445844035751</v>
      </c>
      <c r="AA280">
        <v>-4.8993267821273063</v>
      </c>
      <c r="AB280">
        <v>9.6165587924048936E-7</v>
      </c>
      <c r="AC280">
        <v>2.2289674800983971E-4</v>
      </c>
      <c r="AD280" t="s">
        <v>2626</v>
      </c>
      <c r="AE280" t="s">
        <v>2627</v>
      </c>
      <c r="AF280" t="s">
        <v>2628</v>
      </c>
      <c r="AG280" t="s">
        <v>2629</v>
      </c>
      <c r="AH280" t="s">
        <v>830</v>
      </c>
      <c r="AI280" t="s">
        <v>2630</v>
      </c>
      <c r="AJ280" t="s">
        <v>2631</v>
      </c>
      <c r="AK280" t="s">
        <v>1017</v>
      </c>
      <c r="AL280" t="s">
        <v>2632</v>
      </c>
      <c r="AM280" t="s">
        <v>2633</v>
      </c>
      <c r="AN280" t="s">
        <v>43</v>
      </c>
    </row>
    <row r="281" spans="1:40" x14ac:dyDescent="0.3">
      <c r="A281" t="s">
        <v>2634</v>
      </c>
      <c r="B281">
        <v>2002</v>
      </c>
      <c r="C281" t="str">
        <f>IF(Y281&lt;0, "Down", "Up")</f>
        <v>Down</v>
      </c>
      <c r="D281" s="7" t="str">
        <f>IF(AC281&lt;0.05, "Sig", "N")</f>
        <v>Sig</v>
      </c>
      <c r="E281" s="1" t="str">
        <f>IF(AND(H281&gt;2,J281&gt;2,L281&gt;2,N281&gt;2),"Y","N")</f>
        <v>Y</v>
      </c>
      <c r="F281" s="1" t="str">
        <f>IF(AND(P281&gt;2,R281&gt;2,T281&gt;2,V281&gt;2),"Y","N")</f>
        <v>N</v>
      </c>
      <c r="G281" s="1" t="str">
        <f>IF(OR(E281="Y", F281="Y"), "Expressed", "N")</f>
        <v>Expressed</v>
      </c>
      <c r="H281" s="8">
        <v>10.44118011920613</v>
      </c>
      <c r="I281" s="8">
        <v>930</v>
      </c>
      <c r="J281" s="8">
        <v>6.4458622186940921</v>
      </c>
      <c r="K281" s="8">
        <v>1286</v>
      </c>
      <c r="L281" s="8">
        <v>8.7320541156133995</v>
      </c>
      <c r="M281" s="8">
        <v>1351</v>
      </c>
      <c r="N281" s="8">
        <v>6.3851931588522381</v>
      </c>
      <c r="O281" s="8">
        <v>588</v>
      </c>
      <c r="P281" s="9">
        <v>3.101599732276469</v>
      </c>
      <c r="Q281" s="9">
        <v>1032</v>
      </c>
      <c r="R281" s="9">
        <v>11.71334121891385</v>
      </c>
      <c r="S281" s="9">
        <v>379</v>
      </c>
      <c r="T281" s="9">
        <v>7.2812159240427574</v>
      </c>
      <c r="U281" s="9">
        <v>216</v>
      </c>
      <c r="V281" s="9">
        <v>1.074438093420093</v>
      </c>
      <c r="W281" s="9">
        <v>945</v>
      </c>
      <c r="X281">
        <v>753.88419671357065</v>
      </c>
      <c r="Y281">
        <v>-0.72509364948202626</v>
      </c>
      <c r="Z281">
        <v>0.18144829049566791</v>
      </c>
      <c r="AA281">
        <v>-3.9961448382967162</v>
      </c>
      <c r="AB281">
        <v>6.4382352541601361E-5</v>
      </c>
      <c r="AC281">
        <v>4.8475400598361126E-3</v>
      </c>
      <c r="AD281" t="s">
        <v>2635</v>
      </c>
      <c r="AE281" t="s">
        <v>2636</v>
      </c>
      <c r="AF281" t="s">
        <v>43</v>
      </c>
      <c r="AG281" t="s">
        <v>2637</v>
      </c>
      <c r="AH281" t="s">
        <v>43</v>
      </c>
      <c r="AI281" t="s">
        <v>43</v>
      </c>
      <c r="AJ281" t="s">
        <v>43</v>
      </c>
      <c r="AK281" t="s">
        <v>43</v>
      </c>
      <c r="AL281" t="s">
        <v>43</v>
      </c>
      <c r="AM281" t="s">
        <v>2638</v>
      </c>
      <c r="AN281" t="s">
        <v>43</v>
      </c>
    </row>
    <row r="282" spans="1:40" x14ac:dyDescent="0.3">
      <c r="A282" t="s">
        <v>2639</v>
      </c>
      <c r="B282">
        <v>3575</v>
      </c>
      <c r="C282" t="str">
        <f>IF(Y282&lt;0, "Down", "Up")</f>
        <v>Down</v>
      </c>
      <c r="D282" s="7" t="str">
        <f>IF(AC282&lt;0.05, "Sig", "N")</f>
        <v>Sig</v>
      </c>
      <c r="E282" s="1" t="str">
        <f>IF(AND(H282&gt;2,J282&gt;2,L282&gt;2,N282&gt;2),"Y","N")</f>
        <v>Y</v>
      </c>
      <c r="F282" s="1" t="str">
        <f>IF(AND(P282&gt;2,R282&gt;2,T282&gt;2,V282&gt;2),"Y","N")</f>
        <v>N</v>
      </c>
      <c r="G282" s="1" t="str">
        <f>IF(OR(E282="Y", F282="Y"), "Expressed", "N")</f>
        <v>Expressed</v>
      </c>
      <c r="H282" s="8">
        <v>8.5568277845743435</v>
      </c>
      <c r="I282" s="8">
        <v>1361</v>
      </c>
      <c r="J282" s="8">
        <v>6.4165901849793379</v>
      </c>
      <c r="K282" s="8">
        <v>2286</v>
      </c>
      <c r="L282" s="8">
        <v>9.9753538415048819</v>
      </c>
      <c r="M282" s="8">
        <v>2756</v>
      </c>
      <c r="N282" s="8">
        <v>5.4851849802711614</v>
      </c>
      <c r="O282" s="8">
        <v>902</v>
      </c>
      <c r="P282" s="9">
        <v>2.6644218652508331</v>
      </c>
      <c r="Q282" s="9">
        <v>1701</v>
      </c>
      <c r="R282" s="9">
        <v>10.81168634834164</v>
      </c>
      <c r="S282" s="9">
        <v>440</v>
      </c>
      <c r="T282" s="9">
        <v>4.733750933203523</v>
      </c>
      <c r="U282" s="9">
        <v>356</v>
      </c>
      <c r="V282" s="9">
        <v>0.99166656622328575</v>
      </c>
      <c r="W282" s="9">
        <v>1845</v>
      </c>
      <c r="X282">
        <v>1245.8857873214729</v>
      </c>
      <c r="Y282">
        <v>-0.79477415765066017</v>
      </c>
      <c r="Z282">
        <v>0.20574933219284289</v>
      </c>
      <c r="AA282">
        <v>-3.862827398660722</v>
      </c>
      <c r="AB282">
        <v>1.120822015863933E-4</v>
      </c>
      <c r="AC282">
        <v>7.3200204693522394E-3</v>
      </c>
      <c r="AD282" t="s">
        <v>2640</v>
      </c>
      <c r="AE282" t="s">
        <v>2641</v>
      </c>
      <c r="AF282" t="s">
        <v>2642</v>
      </c>
      <c r="AG282" t="s">
        <v>2643</v>
      </c>
      <c r="AH282" t="s">
        <v>43</v>
      </c>
      <c r="AI282" t="s">
        <v>43</v>
      </c>
      <c r="AJ282" t="s">
        <v>43</v>
      </c>
      <c r="AK282" t="s">
        <v>43</v>
      </c>
      <c r="AL282" t="s">
        <v>43</v>
      </c>
      <c r="AM282" t="s">
        <v>597</v>
      </c>
      <c r="AN282" t="s">
        <v>43</v>
      </c>
    </row>
    <row r="283" spans="1:40" x14ac:dyDescent="0.3">
      <c r="A283" s="13" t="s">
        <v>2655</v>
      </c>
      <c r="B283" s="13">
        <v>1836</v>
      </c>
      <c r="C283" s="13" t="str">
        <f>IF(Y283&lt;0, "Down", "Up")</f>
        <v>Down</v>
      </c>
      <c r="D283" s="14" t="str">
        <f>IF(AC283&lt;0.05, "Sig", "N")</f>
        <v>Sig</v>
      </c>
      <c r="E283" s="15" t="str">
        <f>IF(AND(H283&gt;2,J283&gt;2,L283&gt;2,N283&gt;2),"Y","N")</f>
        <v>Y</v>
      </c>
      <c r="F283" s="15" t="str">
        <f>IF(AND(P283&gt;2,R283&gt;2,T283&gt;2,V283&gt;2),"Y","N")</f>
        <v>N</v>
      </c>
      <c r="G283" s="15" t="str">
        <f>IF(OR(E283="Y", F283="Y"), "Expressed", "N")</f>
        <v>Expressed</v>
      </c>
      <c r="H283" s="13">
        <v>13.12359504401428</v>
      </c>
      <c r="I283" s="13">
        <v>1072</v>
      </c>
      <c r="J283" s="13">
        <v>6.3400025868146246</v>
      </c>
      <c r="K283" s="13">
        <v>1160</v>
      </c>
      <c r="L283" s="13">
        <v>22.285086870762349</v>
      </c>
      <c r="M283" s="13">
        <v>3162</v>
      </c>
      <c r="N283" s="13">
        <v>7.8861010745768434</v>
      </c>
      <c r="O283" s="13">
        <v>666</v>
      </c>
      <c r="P283" s="13">
        <v>3.830663908374135</v>
      </c>
      <c r="Q283" s="13">
        <v>1217</v>
      </c>
      <c r="R283" s="13">
        <v>15.062014870211581</v>
      </c>
      <c r="S283" s="13">
        <v>255</v>
      </c>
      <c r="T283" s="13">
        <v>5.3419064350386973</v>
      </c>
      <c r="U283" s="13">
        <v>225</v>
      </c>
      <c r="V283" s="13">
        <v>1.220398206601208</v>
      </c>
      <c r="W283" s="13">
        <v>1019</v>
      </c>
      <c r="X283" s="13">
        <v>928.43729565478122</v>
      </c>
      <c r="Y283" s="13">
        <v>-1.1835433771026771</v>
      </c>
      <c r="Z283" s="13">
        <v>0.30950696708923331</v>
      </c>
      <c r="AA283" s="13">
        <v>-3.823963603253727</v>
      </c>
      <c r="AB283" s="13">
        <v>1.3132330941594469E-4</v>
      </c>
      <c r="AC283" s="13">
        <v>8.1276064953187573E-3</v>
      </c>
      <c r="AD283" s="13" t="s">
        <v>2656</v>
      </c>
      <c r="AE283" s="13" t="s">
        <v>2657</v>
      </c>
      <c r="AF283" s="13" t="s">
        <v>43</v>
      </c>
      <c r="AG283" s="13" t="s">
        <v>2658</v>
      </c>
      <c r="AH283" s="13" t="s">
        <v>43</v>
      </c>
      <c r="AI283" s="13" t="s">
        <v>43</v>
      </c>
      <c r="AJ283" s="13" t="s">
        <v>43</v>
      </c>
      <c r="AK283" s="13" t="s">
        <v>43</v>
      </c>
      <c r="AL283" s="13" t="s">
        <v>43</v>
      </c>
      <c r="AM283" s="13" t="s">
        <v>414</v>
      </c>
      <c r="AN283" s="13" t="s">
        <v>43</v>
      </c>
    </row>
    <row r="284" spans="1:40" x14ac:dyDescent="0.3">
      <c r="A284" t="s">
        <v>2667</v>
      </c>
      <c r="B284">
        <v>799</v>
      </c>
      <c r="C284" t="str">
        <f>IF(Y284&lt;0, "Down", "Up")</f>
        <v>Down</v>
      </c>
      <c r="D284" s="7" t="str">
        <f>IF(AC284&lt;0.05, "Sig", "N")</f>
        <v>Sig</v>
      </c>
      <c r="E284" s="1" t="str">
        <f>IF(AND(H284&gt;2,J284&gt;2,L284&gt;2,N284&gt;2),"Y","N")</f>
        <v>Y</v>
      </c>
      <c r="F284" s="1" t="str">
        <f>IF(AND(P284&gt;2,R284&gt;2,T284&gt;2,V284&gt;2),"Y","N")</f>
        <v>N</v>
      </c>
      <c r="G284" s="1" t="str">
        <f>IF(OR(E284="Y", F284="Y"), "Expressed", "N")</f>
        <v>Expressed</v>
      </c>
      <c r="H284" s="8">
        <v>18.70706168746241</v>
      </c>
      <c r="I284" s="8">
        <v>665</v>
      </c>
      <c r="J284" s="8">
        <v>6.2544148776455941</v>
      </c>
      <c r="K284" s="8">
        <v>498</v>
      </c>
      <c r="L284" s="8">
        <v>31.88776490264279</v>
      </c>
      <c r="M284" s="8">
        <v>1969</v>
      </c>
      <c r="N284" s="8">
        <v>11.01968120254268</v>
      </c>
      <c r="O284" s="8">
        <v>405</v>
      </c>
      <c r="P284" s="9">
        <v>5.3527966057211902</v>
      </c>
      <c r="Q284" s="9">
        <v>746</v>
      </c>
      <c r="R284" s="9">
        <v>21.215692827902711</v>
      </c>
      <c r="S284" s="9">
        <v>184</v>
      </c>
      <c r="T284" s="9">
        <v>8.8572686422268667</v>
      </c>
      <c r="U284" s="9">
        <v>95</v>
      </c>
      <c r="V284" s="9">
        <v>1.184045919596066</v>
      </c>
      <c r="W284" s="9">
        <v>513</v>
      </c>
      <c r="X284">
        <v>539.71268394802473</v>
      </c>
      <c r="Y284">
        <v>-1.2663720998085199</v>
      </c>
      <c r="Z284">
        <v>0.36522885000335531</v>
      </c>
      <c r="AA284">
        <v>-3.467338628361055</v>
      </c>
      <c r="AB284">
        <v>5.2563924741457597E-4</v>
      </c>
      <c r="AC284">
        <v>1.9979361876809331E-2</v>
      </c>
      <c r="AD284" t="s">
        <v>2668</v>
      </c>
      <c r="AE284" t="s">
        <v>2669</v>
      </c>
      <c r="AF284" t="s">
        <v>2670</v>
      </c>
      <c r="AG284" t="s">
        <v>1204</v>
      </c>
      <c r="AH284" t="s">
        <v>43</v>
      </c>
      <c r="AI284" t="s">
        <v>43</v>
      </c>
      <c r="AJ284" t="s">
        <v>43</v>
      </c>
      <c r="AK284" t="s">
        <v>43</v>
      </c>
      <c r="AL284" t="s">
        <v>43</v>
      </c>
      <c r="AM284" t="s">
        <v>1205</v>
      </c>
      <c r="AN284" t="s">
        <v>43</v>
      </c>
    </row>
    <row r="285" spans="1:40" x14ac:dyDescent="0.3">
      <c r="A285" t="s">
        <v>2671</v>
      </c>
      <c r="B285">
        <v>1731</v>
      </c>
      <c r="C285" t="str">
        <f>IF(Y285&lt;0, "Down", "Up")</f>
        <v>Down</v>
      </c>
      <c r="D285" s="7" t="str">
        <f>IF(AC285&lt;0.05, "Sig", "N")</f>
        <v>Sig</v>
      </c>
      <c r="E285" s="1" t="str">
        <f>IF(AND(H285&gt;2,J285&gt;2,L285&gt;2,N285&gt;2),"Y","N")</f>
        <v>Y</v>
      </c>
      <c r="F285" s="1" t="str">
        <f>IF(AND(P285&gt;2,R285&gt;2,T285&gt;2,V285&gt;2),"Y","N")</f>
        <v>N</v>
      </c>
      <c r="G285" s="1" t="str">
        <f>IF(OR(E285="Y", F285="Y"), "Expressed", "N")</f>
        <v>Expressed</v>
      </c>
      <c r="H285" s="8">
        <v>6.9987810891042566</v>
      </c>
      <c r="I285" s="8">
        <v>539</v>
      </c>
      <c r="J285" s="8">
        <v>6.2028436233037842</v>
      </c>
      <c r="K285" s="8">
        <v>1070</v>
      </c>
      <c r="L285" s="8">
        <v>7.3930623073239659</v>
      </c>
      <c r="M285" s="8">
        <v>989</v>
      </c>
      <c r="N285" s="8">
        <v>5.1744111598984688</v>
      </c>
      <c r="O285" s="8">
        <v>412</v>
      </c>
      <c r="P285" s="9">
        <v>2.5134638638111801</v>
      </c>
      <c r="Q285" s="9">
        <v>790</v>
      </c>
      <c r="R285" s="9">
        <v>10.370392503442559</v>
      </c>
      <c r="S285" s="9">
        <v>234</v>
      </c>
      <c r="T285" s="9">
        <v>5.1993321558366246</v>
      </c>
      <c r="U285" s="9">
        <v>191</v>
      </c>
      <c r="V285" s="9">
        <v>1.098823702415008</v>
      </c>
      <c r="W285" s="9">
        <v>879</v>
      </c>
      <c r="X285">
        <v>553.1429714400316</v>
      </c>
      <c r="Y285">
        <v>-0.53008455728646131</v>
      </c>
      <c r="Z285">
        <v>0.17147143315931099</v>
      </c>
      <c r="AA285">
        <v>-3.0913869880236522</v>
      </c>
      <c r="AB285">
        <v>1.992238022604482E-3</v>
      </c>
      <c r="AC285">
        <v>4.635875130946375E-2</v>
      </c>
      <c r="AD285" t="s">
        <v>2672</v>
      </c>
      <c r="AE285" t="s">
        <v>2673</v>
      </c>
      <c r="AF285" t="s">
        <v>2674</v>
      </c>
      <c r="AG285" t="s">
        <v>2675</v>
      </c>
      <c r="AH285" t="s">
        <v>43</v>
      </c>
      <c r="AI285" t="s">
        <v>43</v>
      </c>
      <c r="AJ285" t="s">
        <v>43</v>
      </c>
      <c r="AK285" t="s">
        <v>43</v>
      </c>
      <c r="AL285" t="s">
        <v>43</v>
      </c>
      <c r="AM285" t="s">
        <v>1042</v>
      </c>
      <c r="AN285" t="s">
        <v>43</v>
      </c>
    </row>
    <row r="286" spans="1:40" x14ac:dyDescent="0.3">
      <c r="A286" t="s">
        <v>2676</v>
      </c>
      <c r="B286">
        <v>2311</v>
      </c>
      <c r="C286" t="str">
        <f>IF(Y286&lt;0, "Down", "Up")</f>
        <v>Down</v>
      </c>
      <c r="D286" s="7" t="str">
        <f>IF(AC286&lt;0.05, "Sig", "N")</f>
        <v>Sig</v>
      </c>
      <c r="E286" s="1" t="str">
        <f>IF(AND(H286&gt;2,J286&gt;2,L286&gt;2,N286&gt;2),"Y","N")</f>
        <v>Y</v>
      </c>
      <c r="F286" s="1" t="str">
        <f>IF(AND(P286&gt;2,R286&gt;2,T286&gt;2,V286&gt;2),"Y","N")</f>
        <v>N</v>
      </c>
      <c r="G286" s="1" t="str">
        <f>IF(OR(E286="Y", F286="Y"), "Expressed", "N")</f>
        <v>Expressed</v>
      </c>
      <c r="H286" s="8">
        <v>8.3351148583649106</v>
      </c>
      <c r="I286" s="8">
        <v>857</v>
      </c>
      <c r="J286" s="8">
        <v>6.1788702749907944</v>
      </c>
      <c r="K286" s="8">
        <v>1423</v>
      </c>
      <c r="L286" s="8">
        <v>10.37529888593693</v>
      </c>
      <c r="M286" s="8">
        <v>1853</v>
      </c>
      <c r="N286" s="8">
        <v>5.5126250883507426</v>
      </c>
      <c r="O286" s="8">
        <v>586</v>
      </c>
      <c r="P286" s="9">
        <v>2.6777508640384862</v>
      </c>
      <c r="Q286" s="9">
        <v>1318</v>
      </c>
      <c r="R286" s="9">
        <v>12.95927289962647</v>
      </c>
      <c r="S286" s="9">
        <v>391</v>
      </c>
      <c r="T286" s="9">
        <v>6.5073712660843537</v>
      </c>
      <c r="U286" s="9">
        <v>275</v>
      </c>
      <c r="V286" s="9">
        <v>1.1850166921735661</v>
      </c>
      <c r="W286" s="9">
        <v>1109</v>
      </c>
      <c r="X286">
        <v>846.88126925625238</v>
      </c>
      <c r="Y286">
        <v>-0.59119410222666535</v>
      </c>
      <c r="Z286">
        <v>0.18434193375740671</v>
      </c>
      <c r="AA286">
        <v>-3.2070516467765531</v>
      </c>
      <c r="AB286">
        <v>1.341029178236914E-3</v>
      </c>
      <c r="AC286">
        <v>3.6999377481573573E-2</v>
      </c>
      <c r="AD286" t="s">
        <v>2677</v>
      </c>
      <c r="AE286" t="s">
        <v>2678</v>
      </c>
      <c r="AF286" t="s">
        <v>2679</v>
      </c>
      <c r="AG286" t="s">
        <v>2680</v>
      </c>
      <c r="AH286" t="s">
        <v>43</v>
      </c>
      <c r="AI286" t="s">
        <v>43</v>
      </c>
      <c r="AJ286" t="s">
        <v>43</v>
      </c>
      <c r="AK286" t="s">
        <v>43</v>
      </c>
      <c r="AL286" t="s">
        <v>43</v>
      </c>
      <c r="AM286" t="s">
        <v>2681</v>
      </c>
      <c r="AN286" t="s">
        <v>43</v>
      </c>
    </row>
    <row r="287" spans="1:40" x14ac:dyDescent="0.3">
      <c r="A287" t="s">
        <v>2682</v>
      </c>
      <c r="B287">
        <v>2034</v>
      </c>
      <c r="C287" t="str">
        <f>IF(Y287&lt;0, "Down", "Up")</f>
        <v>Down</v>
      </c>
      <c r="D287" s="7" t="str">
        <f>IF(AC287&lt;0.05, "Sig", "N")</f>
        <v>Sig</v>
      </c>
      <c r="E287" s="1" t="str">
        <f>IF(AND(H287&gt;2,J287&gt;2,L287&gt;2,N287&gt;2),"Y","N")</f>
        <v>Y</v>
      </c>
      <c r="F287" s="1" t="str">
        <f>IF(AND(P287&gt;2,R287&gt;2,T287&gt;2,V287&gt;2),"Y","N")</f>
        <v>N</v>
      </c>
      <c r="G287" s="1" t="str">
        <f>IF(OR(E287="Y", F287="Y"), "Expressed", "N")</f>
        <v>Expressed</v>
      </c>
      <c r="H287" s="8">
        <v>9.1939701642387739</v>
      </c>
      <c r="I287" s="8">
        <v>832</v>
      </c>
      <c r="J287" s="8">
        <v>6.1717806689252352</v>
      </c>
      <c r="K287" s="8">
        <v>1251</v>
      </c>
      <c r="L287" s="8">
        <v>13.181473022043839</v>
      </c>
      <c r="M287" s="8">
        <v>2072</v>
      </c>
      <c r="N287" s="8">
        <v>6.2954261388613508</v>
      </c>
      <c r="O287" s="8">
        <v>589</v>
      </c>
      <c r="P287" s="9">
        <v>3.0579955126006708</v>
      </c>
      <c r="Q287" s="9">
        <v>1098</v>
      </c>
      <c r="R287" s="9">
        <v>12.26638416972111</v>
      </c>
      <c r="S287" s="9">
        <v>260</v>
      </c>
      <c r="T287" s="9">
        <v>4.9164448605665889</v>
      </c>
      <c r="U287" s="9">
        <v>223</v>
      </c>
      <c r="V287" s="9">
        <v>1.091806395569364</v>
      </c>
      <c r="W287" s="9">
        <v>866</v>
      </c>
      <c r="X287">
        <v>772.79853140782768</v>
      </c>
      <c r="Y287">
        <v>-0.95158358115530495</v>
      </c>
      <c r="Z287">
        <v>0.2303944526742491</v>
      </c>
      <c r="AA287">
        <v>-4.1302365144213491</v>
      </c>
      <c r="AB287">
        <v>3.623902189155714E-5</v>
      </c>
      <c r="AC287">
        <v>3.23306775683092E-3</v>
      </c>
      <c r="AD287" t="s">
        <v>2683</v>
      </c>
      <c r="AE287" t="s">
        <v>2684</v>
      </c>
      <c r="AF287" t="s">
        <v>43</v>
      </c>
      <c r="AG287" t="s">
        <v>2685</v>
      </c>
      <c r="AH287" t="s">
        <v>43</v>
      </c>
      <c r="AI287" t="s">
        <v>43</v>
      </c>
      <c r="AJ287" t="s">
        <v>43</v>
      </c>
      <c r="AK287" t="s">
        <v>43</v>
      </c>
      <c r="AL287" t="s">
        <v>43</v>
      </c>
      <c r="AM287" t="s">
        <v>2686</v>
      </c>
      <c r="AN287" t="s">
        <v>43</v>
      </c>
    </row>
    <row r="288" spans="1:40" x14ac:dyDescent="0.3">
      <c r="A288" t="s">
        <v>2698</v>
      </c>
      <c r="B288">
        <v>1943</v>
      </c>
      <c r="C288" t="str">
        <f>IF(Y288&lt;0, "Down", "Up")</f>
        <v>Down</v>
      </c>
      <c r="D288" s="7" t="str">
        <f>IF(AC288&lt;0.05, "Sig", "N")</f>
        <v>Sig</v>
      </c>
      <c r="E288" s="1" t="str">
        <f>IF(AND(H288&gt;2,J288&gt;2,L288&gt;2,N288&gt;2),"Y","N")</f>
        <v>Y</v>
      </c>
      <c r="F288" s="1" t="str">
        <f>IF(AND(P288&gt;2,R288&gt;2,T288&gt;2,V288&gt;2),"Y","N")</f>
        <v>N</v>
      </c>
      <c r="G288" s="1" t="str">
        <f>IF(OR(E288="Y", F288="Y"), "Expressed", "N")</f>
        <v>Expressed</v>
      </c>
      <c r="H288" s="8">
        <v>7.1027459784345828</v>
      </c>
      <c r="I288" s="8">
        <v>614</v>
      </c>
      <c r="J288" s="8">
        <v>6.0786590546231274</v>
      </c>
      <c r="K288" s="8">
        <v>1177</v>
      </c>
      <c r="L288" s="8">
        <v>10.002815875648411</v>
      </c>
      <c r="M288" s="8">
        <v>1502</v>
      </c>
      <c r="N288" s="8">
        <v>6.7357270087120282</v>
      </c>
      <c r="O288" s="8">
        <v>602</v>
      </c>
      <c r="P288" s="9">
        <v>3.271871119191629</v>
      </c>
      <c r="Q288" s="9">
        <v>924</v>
      </c>
      <c r="R288" s="9">
        <v>10.805984525610389</v>
      </c>
      <c r="S288" s="9">
        <v>294</v>
      </c>
      <c r="T288" s="9">
        <v>5.8197362540864201</v>
      </c>
      <c r="U288" s="9">
        <v>237</v>
      </c>
      <c r="V288" s="9">
        <v>1.2146950590376779</v>
      </c>
      <c r="W288" s="9">
        <v>1077</v>
      </c>
      <c r="X288">
        <v>697.99372565436067</v>
      </c>
      <c r="Y288">
        <v>-0.61399196426338731</v>
      </c>
      <c r="Z288">
        <v>0.1624430110033924</v>
      </c>
      <c r="AA288">
        <v>-3.7797376475037452</v>
      </c>
      <c r="AB288">
        <v>1.569936896484745E-4</v>
      </c>
      <c r="AC288">
        <v>8.9653256296358293E-3</v>
      </c>
      <c r="AD288" t="s">
        <v>2699</v>
      </c>
      <c r="AE288" t="s">
        <v>2700</v>
      </c>
      <c r="AF288" t="s">
        <v>2701</v>
      </c>
      <c r="AG288" t="s">
        <v>2702</v>
      </c>
      <c r="AH288" t="s">
        <v>43</v>
      </c>
      <c r="AI288" t="s">
        <v>43</v>
      </c>
      <c r="AJ288" t="s">
        <v>43</v>
      </c>
      <c r="AK288" t="s">
        <v>43</v>
      </c>
      <c r="AL288" t="s">
        <v>43</v>
      </c>
      <c r="AM288" t="s">
        <v>2703</v>
      </c>
      <c r="AN288" t="s">
        <v>43</v>
      </c>
    </row>
    <row r="289" spans="1:40" x14ac:dyDescent="0.3">
      <c r="A289" t="s">
        <v>2707</v>
      </c>
      <c r="B289">
        <v>1712</v>
      </c>
      <c r="C289" t="str">
        <f>IF(Y289&lt;0, "Down", "Up")</f>
        <v>Down</v>
      </c>
      <c r="D289" s="7" t="str">
        <f>IF(AC289&lt;0.05, "Sig", "N")</f>
        <v>Sig</v>
      </c>
      <c r="E289" s="1" t="str">
        <f>IF(AND(H289&gt;2,J289&gt;2,L289&gt;2,N289&gt;2),"Y","N")</f>
        <v>Y</v>
      </c>
      <c r="F289" s="1" t="str">
        <f>IF(AND(P289&gt;2,R289&gt;2,T289&gt;2,V289&gt;2),"Y","N")</f>
        <v>N</v>
      </c>
      <c r="G289" s="1" t="str">
        <f>IF(OR(E289="Y", F289="Y"), "Expressed", "N")</f>
        <v>Expressed</v>
      </c>
      <c r="H289" s="8">
        <v>6.8926504649605551</v>
      </c>
      <c r="I289" s="8">
        <v>525</v>
      </c>
      <c r="J289" s="8">
        <v>6.0548122915936071</v>
      </c>
      <c r="K289" s="8">
        <v>1033</v>
      </c>
      <c r="L289" s="8">
        <v>7.0594076061059807</v>
      </c>
      <c r="M289" s="8">
        <v>934</v>
      </c>
      <c r="N289" s="8">
        <v>7.7715643704121122</v>
      </c>
      <c r="O289" s="8">
        <v>612</v>
      </c>
      <c r="P289" s="9">
        <v>3.775027845042104</v>
      </c>
      <c r="Q289" s="9">
        <v>806</v>
      </c>
      <c r="R289" s="9">
        <v>10.697848718877919</v>
      </c>
      <c r="S289" s="9">
        <v>228</v>
      </c>
      <c r="T289" s="9">
        <v>5.1222392545324338</v>
      </c>
      <c r="U289" s="9">
        <v>143</v>
      </c>
      <c r="V289" s="9">
        <v>0.83180973091052468</v>
      </c>
      <c r="W289" s="9">
        <v>835</v>
      </c>
      <c r="X289">
        <v>560.29915322114186</v>
      </c>
      <c r="Y289">
        <v>-0.7385213928664387</v>
      </c>
      <c r="Z289">
        <v>0.19513764042297041</v>
      </c>
      <c r="AA289">
        <v>-3.7846178280400311</v>
      </c>
      <c r="AB289">
        <v>1.5394495960868151E-4</v>
      </c>
      <c r="AC289">
        <v>8.8769920367523115E-3</v>
      </c>
      <c r="AD289" t="s">
        <v>2708</v>
      </c>
      <c r="AE289" t="s">
        <v>2709</v>
      </c>
      <c r="AF289" t="s">
        <v>2710</v>
      </c>
      <c r="AG289" t="s">
        <v>2711</v>
      </c>
      <c r="AH289" t="s">
        <v>43</v>
      </c>
      <c r="AI289" t="s">
        <v>43</v>
      </c>
      <c r="AJ289" t="s">
        <v>43</v>
      </c>
      <c r="AK289" t="s">
        <v>43</v>
      </c>
      <c r="AL289" t="s">
        <v>43</v>
      </c>
      <c r="AM289" t="s">
        <v>2712</v>
      </c>
      <c r="AN289" t="s">
        <v>43</v>
      </c>
    </row>
    <row r="290" spans="1:40" x14ac:dyDescent="0.3">
      <c r="A290" t="s">
        <v>2718</v>
      </c>
      <c r="B290">
        <v>2481</v>
      </c>
      <c r="C290" t="str">
        <f>IF(Y290&lt;0, "Down", "Up")</f>
        <v>Down</v>
      </c>
      <c r="D290" s="7" t="str">
        <f>IF(AC290&lt;0.05, "Sig", "N")</f>
        <v>Sig</v>
      </c>
      <c r="E290" s="1" t="str">
        <f>IF(AND(H290&gt;2,J290&gt;2,L290&gt;2,N290&gt;2),"Y","N")</f>
        <v>Y</v>
      </c>
      <c r="F290" s="1" t="str">
        <f>IF(AND(P290&gt;2,R290&gt;2,T290&gt;2,V290&gt;2),"Y","N")</f>
        <v>N</v>
      </c>
      <c r="G290" s="1" t="str">
        <f>IF(OR(E290="Y", F290="Y"), "Expressed", "N")</f>
        <v>Expressed</v>
      </c>
      <c r="H290" s="8">
        <v>7.3472497421286453</v>
      </c>
      <c r="I290" s="8">
        <v>811</v>
      </c>
      <c r="J290" s="8">
        <v>5.9941217802187756</v>
      </c>
      <c r="K290" s="8">
        <v>1482</v>
      </c>
      <c r="L290" s="8">
        <v>9.5444183734824897</v>
      </c>
      <c r="M290" s="8">
        <v>1830</v>
      </c>
      <c r="N290" s="8">
        <v>5.6957035768537603</v>
      </c>
      <c r="O290" s="8">
        <v>650</v>
      </c>
      <c r="P290" s="9">
        <v>2.766681014904683</v>
      </c>
      <c r="Q290" s="9">
        <v>1315</v>
      </c>
      <c r="R290" s="9">
        <v>12.04381731123561</v>
      </c>
      <c r="S290" s="9">
        <v>426</v>
      </c>
      <c r="T290" s="9">
        <v>6.6040690921203922</v>
      </c>
      <c r="U290" s="9">
        <v>317</v>
      </c>
      <c r="V290" s="9">
        <v>1.2724016319949529</v>
      </c>
      <c r="W290" s="9">
        <v>1276</v>
      </c>
      <c r="X290">
        <v>883.53753026144773</v>
      </c>
      <c r="Y290">
        <v>-0.48276238693276158</v>
      </c>
      <c r="Z290">
        <v>0.15175337255405669</v>
      </c>
      <c r="AA290">
        <v>-3.1812300366556578</v>
      </c>
      <c r="AB290">
        <v>1.466511319645797E-3</v>
      </c>
      <c r="AC290">
        <v>3.8956472605692051E-2</v>
      </c>
      <c r="AD290" t="s">
        <v>2719</v>
      </c>
      <c r="AE290" t="s">
        <v>2720</v>
      </c>
      <c r="AF290" t="s">
        <v>1052</v>
      </c>
      <c r="AG290" t="s">
        <v>2721</v>
      </c>
      <c r="AH290" t="s">
        <v>43</v>
      </c>
      <c r="AI290" t="s">
        <v>43</v>
      </c>
      <c r="AJ290" t="s">
        <v>43</v>
      </c>
      <c r="AK290" t="s">
        <v>43</v>
      </c>
      <c r="AL290" t="s">
        <v>43</v>
      </c>
      <c r="AM290" t="s">
        <v>2722</v>
      </c>
      <c r="AN290" t="s">
        <v>43</v>
      </c>
    </row>
    <row r="291" spans="1:40" x14ac:dyDescent="0.3">
      <c r="A291" t="s">
        <v>2728</v>
      </c>
      <c r="B291">
        <v>2020</v>
      </c>
      <c r="C291" t="str">
        <f>IF(Y291&lt;0, "Down", "Up")</f>
        <v>Down</v>
      </c>
      <c r="D291" s="7" t="str">
        <f>IF(AC291&lt;0.05, "Sig", "N")</f>
        <v>Sig</v>
      </c>
      <c r="E291" s="1" t="str">
        <f>IF(AND(H291&gt;2,J291&gt;2,L291&gt;2,N291&gt;2),"Y","N")</f>
        <v>Y</v>
      </c>
      <c r="F291" s="1" t="str">
        <f>IF(AND(P291&gt;2,R291&gt;2,T291&gt;2,V291&gt;2),"Y","N")</f>
        <v>N</v>
      </c>
      <c r="G291" s="1" t="str">
        <f>IF(OR(E291="Y", F291="Y"), "Expressed", "N")</f>
        <v>Expressed</v>
      </c>
      <c r="H291" s="8">
        <v>7.0545383836604492</v>
      </c>
      <c r="I291" s="8">
        <v>634</v>
      </c>
      <c r="J291" s="8">
        <v>5.9910102286472906</v>
      </c>
      <c r="K291" s="8">
        <v>1206</v>
      </c>
      <c r="L291" s="8">
        <v>8.3723882740586877</v>
      </c>
      <c r="M291" s="8">
        <v>1307</v>
      </c>
      <c r="N291" s="8">
        <v>7.329199262005039</v>
      </c>
      <c r="O291" s="8">
        <v>681</v>
      </c>
      <c r="P291" s="9">
        <v>3.560149537108432</v>
      </c>
      <c r="Q291" s="9">
        <v>762</v>
      </c>
      <c r="R291" s="9">
        <v>8.5717357191852432</v>
      </c>
      <c r="S291" s="9">
        <v>153</v>
      </c>
      <c r="T291" s="9">
        <v>2.913190162791401</v>
      </c>
      <c r="U291" s="9">
        <v>129</v>
      </c>
      <c r="V291" s="9">
        <v>0.63596038029539415</v>
      </c>
      <c r="W291" s="9">
        <v>991</v>
      </c>
      <c r="X291">
        <v>625.06289419137408</v>
      </c>
      <c r="Y291">
        <v>-1.0862099632649569</v>
      </c>
      <c r="Z291">
        <v>0.26400773316067222</v>
      </c>
      <c r="AA291">
        <v>-4.1143111614988248</v>
      </c>
      <c r="AB291">
        <v>3.883373119627078E-5</v>
      </c>
      <c r="AC291">
        <v>3.3753936505229181E-3</v>
      </c>
      <c r="AD291" t="s">
        <v>2729</v>
      </c>
      <c r="AE291" t="s">
        <v>2730</v>
      </c>
      <c r="AF291" t="s">
        <v>2731</v>
      </c>
      <c r="AG291" t="s">
        <v>2732</v>
      </c>
      <c r="AH291" t="s">
        <v>43</v>
      </c>
      <c r="AI291" t="s">
        <v>43</v>
      </c>
      <c r="AJ291" t="s">
        <v>43</v>
      </c>
      <c r="AK291" t="s">
        <v>43</v>
      </c>
      <c r="AL291" t="s">
        <v>43</v>
      </c>
      <c r="AM291" t="s">
        <v>2733</v>
      </c>
      <c r="AN291" t="s">
        <v>43</v>
      </c>
    </row>
    <row r="292" spans="1:40" x14ac:dyDescent="0.3">
      <c r="A292" t="s">
        <v>2734</v>
      </c>
      <c r="B292">
        <v>1466</v>
      </c>
      <c r="C292" t="str">
        <f>IF(Y292&lt;0, "Down", "Up")</f>
        <v>Down</v>
      </c>
      <c r="D292" s="7" t="str">
        <f>IF(AC292&lt;0.05, "Sig", "N")</f>
        <v>Sig</v>
      </c>
      <c r="E292" s="1" t="str">
        <f>IF(AND(H292&gt;2,J292&gt;2,L292&gt;2,N292&gt;2),"Y","N")</f>
        <v>Y</v>
      </c>
      <c r="F292" s="1" t="str">
        <f>IF(AND(P292&gt;2,R292&gt;2,T292&gt;2,V292&gt;2),"Y","N")</f>
        <v>Y</v>
      </c>
      <c r="G292" s="1" t="str">
        <f>IF(OR(E292="Y", F292="Y"), "Expressed", "N")</f>
        <v>Expressed</v>
      </c>
      <c r="H292" s="8">
        <v>5.9794515200998681</v>
      </c>
      <c r="I292" s="8">
        <v>390</v>
      </c>
      <c r="J292" s="8">
        <v>5.9824845409560989</v>
      </c>
      <c r="K292" s="8">
        <v>874</v>
      </c>
      <c r="L292" s="8">
        <v>16.752799098990561</v>
      </c>
      <c r="M292" s="8">
        <v>1898</v>
      </c>
      <c r="N292" s="8">
        <v>87.479282555413462</v>
      </c>
      <c r="O292" s="8">
        <v>5899</v>
      </c>
      <c r="P292" s="9">
        <v>42.492954027154248</v>
      </c>
      <c r="Q292" s="9">
        <v>2021</v>
      </c>
      <c r="R292" s="9">
        <v>31.325464093124129</v>
      </c>
      <c r="S292" s="9">
        <v>743</v>
      </c>
      <c r="T292" s="9">
        <v>19.49322146308528</v>
      </c>
      <c r="U292" s="9">
        <v>451</v>
      </c>
      <c r="V292" s="9">
        <v>3.0636157326094842</v>
      </c>
      <c r="W292" s="9">
        <v>1994</v>
      </c>
      <c r="X292">
        <v>1866.6147551186771</v>
      </c>
      <c r="Y292">
        <v>-1.170897678843597</v>
      </c>
      <c r="Z292">
        <v>0.90290674078206035</v>
      </c>
      <c r="AA292">
        <v>-1.296809101047816</v>
      </c>
    </row>
    <row r="293" spans="1:40" x14ac:dyDescent="0.3">
      <c r="A293" t="s">
        <v>2735</v>
      </c>
      <c r="B293">
        <v>2980</v>
      </c>
      <c r="C293" t="str">
        <f>IF(Y293&lt;0, "Down", "Up")</f>
        <v>Down</v>
      </c>
      <c r="D293" s="7" t="str">
        <f>IF(AC293&lt;0.05, "Sig", "N")</f>
        <v>Sig</v>
      </c>
      <c r="E293" s="1" t="str">
        <f>IF(AND(H293&gt;2,J293&gt;2,L293&gt;2,N293&gt;2),"Y","N")</f>
        <v>Y</v>
      </c>
      <c r="F293" s="1" t="str">
        <f>IF(AND(P293&gt;2,R293&gt;2,T293&gt;2,V293&gt;2),"Y","N")</f>
        <v>N</v>
      </c>
      <c r="G293" s="1" t="str">
        <f>IF(OR(E293="Y", F293="Y"), "Expressed", "N")</f>
        <v>Expressed</v>
      </c>
      <c r="H293" s="8">
        <v>12.264080416181701</v>
      </c>
      <c r="I293" s="8">
        <v>1626</v>
      </c>
      <c r="J293" s="8">
        <v>5.9736733931441766</v>
      </c>
      <c r="K293" s="8">
        <v>1774</v>
      </c>
      <c r="L293" s="8">
        <v>12.63577452143897</v>
      </c>
      <c r="M293" s="8">
        <v>2910</v>
      </c>
      <c r="N293" s="8">
        <v>7.2004837618533379</v>
      </c>
      <c r="O293" s="8">
        <v>987</v>
      </c>
      <c r="P293" s="9">
        <v>3.497626141045326</v>
      </c>
      <c r="Q293" s="9">
        <v>1751</v>
      </c>
      <c r="R293" s="9">
        <v>13.351653487586789</v>
      </c>
      <c r="S293" s="9">
        <v>444</v>
      </c>
      <c r="T293" s="9">
        <v>5.7305390911180227</v>
      </c>
      <c r="U293" s="9">
        <v>380</v>
      </c>
      <c r="V293" s="9">
        <v>1.269869382224506</v>
      </c>
      <c r="W293" s="9">
        <v>1365</v>
      </c>
      <c r="X293">
        <v>1252.926618037048</v>
      </c>
      <c r="Y293">
        <v>-0.93098836423750697</v>
      </c>
      <c r="Z293">
        <v>0.23433603163186081</v>
      </c>
      <c r="AA293">
        <v>-3.972877571384664</v>
      </c>
      <c r="AB293">
        <v>7.1009551313508406E-5</v>
      </c>
      <c r="AC293">
        <v>5.2792698495407724E-3</v>
      </c>
    </row>
    <row r="294" spans="1:40" x14ac:dyDescent="0.3">
      <c r="A294" t="s">
        <v>2736</v>
      </c>
      <c r="B294">
        <v>2251</v>
      </c>
      <c r="C294" t="str">
        <f>IF(Y294&lt;0, "Down", "Up")</f>
        <v>Down</v>
      </c>
      <c r="D294" s="7" t="str">
        <f>IF(AC294&lt;0.05, "Sig", "N")</f>
        <v>Sig</v>
      </c>
      <c r="E294" s="1" t="str">
        <f>IF(AND(H294&gt;2,J294&gt;2,L294&gt;2,N294&gt;2),"Y","N")</f>
        <v>Y</v>
      </c>
      <c r="F294" s="1" t="str">
        <f>IF(AND(P294&gt;2,R294&gt;2,T294&gt;2,V294&gt;2),"Y","N")</f>
        <v>N</v>
      </c>
      <c r="G294" s="1" t="str">
        <f>IF(OR(E294="Y", F294="Y"), "Expressed", "N")</f>
        <v>Expressed</v>
      </c>
      <c r="H294" s="8">
        <v>9.7854610599244527</v>
      </c>
      <c r="I294" s="8">
        <v>980</v>
      </c>
      <c r="J294" s="8">
        <v>5.9691048114383731</v>
      </c>
      <c r="K294" s="8">
        <v>1339</v>
      </c>
      <c r="L294" s="8">
        <v>11.71531114152916</v>
      </c>
      <c r="M294" s="8">
        <v>2038</v>
      </c>
      <c r="N294" s="8">
        <v>6.4708315515816563</v>
      </c>
      <c r="O294" s="8">
        <v>670</v>
      </c>
      <c r="P294" s="9">
        <v>3.143198476332302</v>
      </c>
      <c r="Q294" s="9">
        <v>1096</v>
      </c>
      <c r="R294" s="9">
        <v>11.06369589218358</v>
      </c>
      <c r="S294" s="9">
        <v>244</v>
      </c>
      <c r="T294" s="9">
        <v>4.1691076077636531</v>
      </c>
      <c r="U294" s="9">
        <v>238</v>
      </c>
      <c r="V294" s="9">
        <v>1.0529146819529429</v>
      </c>
      <c r="W294" s="9">
        <v>1067</v>
      </c>
      <c r="X294">
        <v>832.21014096621354</v>
      </c>
      <c r="Y294">
        <v>-0.98132810196822806</v>
      </c>
      <c r="Z294">
        <v>0.23320249484869671</v>
      </c>
      <c r="AA294">
        <v>-4.2080514730552956</v>
      </c>
      <c r="AB294">
        <v>2.575822004251289E-5</v>
      </c>
      <c r="AC294">
        <v>2.5373993260212071E-3</v>
      </c>
      <c r="AD294" t="s">
        <v>2737</v>
      </c>
      <c r="AE294" t="s">
        <v>2738</v>
      </c>
      <c r="AF294" t="s">
        <v>2208</v>
      </c>
      <c r="AG294" t="s">
        <v>2739</v>
      </c>
      <c r="AH294" t="s">
        <v>43</v>
      </c>
      <c r="AI294" t="s">
        <v>43</v>
      </c>
      <c r="AJ294" t="s">
        <v>43</v>
      </c>
      <c r="AK294" t="s">
        <v>43</v>
      </c>
      <c r="AL294" t="s">
        <v>43</v>
      </c>
      <c r="AM294" t="s">
        <v>2740</v>
      </c>
      <c r="AN294" t="s">
        <v>43</v>
      </c>
    </row>
    <row r="295" spans="1:40" x14ac:dyDescent="0.3">
      <c r="A295" t="s">
        <v>2747</v>
      </c>
      <c r="B295">
        <v>2542</v>
      </c>
      <c r="C295" t="str">
        <f>IF(Y295&lt;0, "Down", "Up")</f>
        <v>Down</v>
      </c>
      <c r="D295" s="7" t="str">
        <f>IF(AC295&lt;0.05, "Sig", "N")</f>
        <v>Sig</v>
      </c>
      <c r="E295" s="1" t="str">
        <f>IF(AND(H295&gt;2,J295&gt;2,L295&gt;2,N295&gt;2),"Y","N")</f>
        <v>Y</v>
      </c>
      <c r="F295" s="1" t="str">
        <f>IF(AND(P295&gt;2,R295&gt;2,T295&gt;2,V295&gt;2),"Y","N")</f>
        <v>N</v>
      </c>
      <c r="G295" s="1" t="str">
        <f>IF(OR(E295="Y", F295="Y"), "Expressed", "N")</f>
        <v>Expressed</v>
      </c>
      <c r="H295" s="8">
        <v>7.4362017146202746</v>
      </c>
      <c r="I295" s="8">
        <v>841</v>
      </c>
      <c r="J295" s="8">
        <v>5.9529182431979333</v>
      </c>
      <c r="K295" s="8">
        <v>1508</v>
      </c>
      <c r="L295" s="8">
        <v>7.6661015569734996</v>
      </c>
      <c r="M295" s="8">
        <v>1506</v>
      </c>
      <c r="N295" s="8">
        <v>4.2077540171238246</v>
      </c>
      <c r="O295" s="8">
        <v>492</v>
      </c>
      <c r="P295" s="9">
        <v>2.0439113443112209</v>
      </c>
      <c r="Q295" s="9">
        <v>1221</v>
      </c>
      <c r="R295" s="9">
        <v>10.914536269678781</v>
      </c>
      <c r="S295" s="9">
        <v>385</v>
      </c>
      <c r="T295" s="9">
        <v>5.8252417930477067</v>
      </c>
      <c r="U295" s="9">
        <v>227</v>
      </c>
      <c r="V295" s="9">
        <v>0.88928717783302536</v>
      </c>
      <c r="W295" s="9">
        <v>902</v>
      </c>
      <c r="X295">
        <v>768.71702968572833</v>
      </c>
      <c r="Y295">
        <v>-0.64512255693635168</v>
      </c>
      <c r="Z295">
        <v>0.19921053282105181</v>
      </c>
      <c r="AA295">
        <v>-3.2383958207463701</v>
      </c>
      <c r="AB295">
        <v>1.202039124193205E-3</v>
      </c>
      <c r="AC295">
        <v>3.4530509081623043E-2</v>
      </c>
      <c r="AD295" t="s">
        <v>2748</v>
      </c>
      <c r="AE295" t="s">
        <v>2749</v>
      </c>
      <c r="AF295" t="s">
        <v>2750</v>
      </c>
      <c r="AG295" t="s">
        <v>2751</v>
      </c>
      <c r="AH295" t="s">
        <v>43</v>
      </c>
      <c r="AI295" t="s">
        <v>43</v>
      </c>
      <c r="AJ295" t="s">
        <v>43</v>
      </c>
      <c r="AK295" t="s">
        <v>43</v>
      </c>
      <c r="AL295" t="s">
        <v>43</v>
      </c>
      <c r="AM295" t="s">
        <v>2752</v>
      </c>
      <c r="AN295" t="s">
        <v>43</v>
      </c>
    </row>
    <row r="296" spans="1:40" x14ac:dyDescent="0.3">
      <c r="A296" t="s">
        <v>2753</v>
      </c>
      <c r="B296">
        <v>1944</v>
      </c>
      <c r="C296" t="str">
        <f>IF(Y296&lt;0, "Down", "Up")</f>
        <v>Down</v>
      </c>
      <c r="D296" s="7" t="str">
        <f>IF(AC296&lt;0.05, "Sig", "N")</f>
        <v>Sig</v>
      </c>
      <c r="E296" s="1" t="str">
        <f>IF(AND(H296&gt;2,J296&gt;2,L296&gt;2,N296&gt;2),"Y","N")</f>
        <v>Y</v>
      </c>
      <c r="F296" s="1" t="str">
        <f>IF(AND(P296&gt;2,R296&gt;2,T296&gt;2,V296&gt;2),"Y","N")</f>
        <v>N</v>
      </c>
      <c r="G296" s="1" t="str">
        <f>IF(OR(E296="Y", F296="Y"), "Expressed", "N")</f>
        <v>Expressed</v>
      </c>
      <c r="H296" s="8">
        <v>12.278886034651419</v>
      </c>
      <c r="I296" s="8">
        <v>1062</v>
      </c>
      <c r="J296" s="8">
        <v>5.9000282693675761</v>
      </c>
      <c r="K296" s="8">
        <v>1143</v>
      </c>
      <c r="L296" s="8">
        <v>21.1269013523894</v>
      </c>
      <c r="M296" s="8">
        <v>3174</v>
      </c>
      <c r="N296" s="8">
        <v>9.2708393763773316</v>
      </c>
      <c r="O296" s="8">
        <v>829</v>
      </c>
      <c r="P296" s="9">
        <v>4.5032988372302878</v>
      </c>
      <c r="Q296" s="9">
        <v>1281</v>
      </c>
      <c r="R296" s="9">
        <v>14.97331771334783</v>
      </c>
      <c r="S296" s="9">
        <v>242</v>
      </c>
      <c r="T296" s="9">
        <v>4.7879309528865361</v>
      </c>
      <c r="U296" s="9">
        <v>216</v>
      </c>
      <c r="V296" s="9">
        <v>1.1064943739850961</v>
      </c>
      <c r="W296" s="9">
        <v>1020</v>
      </c>
      <c r="X296">
        <v>954.17978921438419</v>
      </c>
      <c r="Y296">
        <v>-1.23825665536395</v>
      </c>
      <c r="Z296">
        <v>0.30902756086993272</v>
      </c>
      <c r="AA296">
        <v>-4.0069456972645963</v>
      </c>
      <c r="AB296">
        <v>6.1508997656737545E-5</v>
      </c>
      <c r="AC296">
        <v>4.7678548281986522E-3</v>
      </c>
      <c r="AD296" t="s">
        <v>2754</v>
      </c>
      <c r="AE296" t="s">
        <v>2755</v>
      </c>
      <c r="AF296" t="s">
        <v>2756</v>
      </c>
      <c r="AG296" t="s">
        <v>2757</v>
      </c>
      <c r="AH296" t="s">
        <v>43</v>
      </c>
      <c r="AI296" t="s">
        <v>43</v>
      </c>
      <c r="AJ296" t="s">
        <v>43</v>
      </c>
      <c r="AK296" t="s">
        <v>43</v>
      </c>
      <c r="AL296" t="s">
        <v>43</v>
      </c>
      <c r="AM296" t="s">
        <v>2758</v>
      </c>
      <c r="AN296" t="s">
        <v>43</v>
      </c>
    </row>
    <row r="297" spans="1:40" x14ac:dyDescent="0.3">
      <c r="A297" t="s">
        <v>2759</v>
      </c>
      <c r="B297">
        <v>3091</v>
      </c>
      <c r="C297" t="str">
        <f>IF(Y297&lt;0, "Down", "Up")</f>
        <v>Down</v>
      </c>
      <c r="D297" s="7" t="str">
        <f>IF(AC297&lt;0.05, "Sig", "N")</f>
        <v>Sig</v>
      </c>
      <c r="E297" s="1" t="str">
        <f>IF(AND(H297&gt;2,J297&gt;2,L297&gt;2,N297&gt;2),"Y","N")</f>
        <v>Y</v>
      </c>
      <c r="F297" s="1" t="str">
        <f>IF(AND(P297&gt;2,R297&gt;2,T297&gt;2,V297&gt;2),"Y","N")</f>
        <v>N</v>
      </c>
      <c r="G297" s="1" t="str">
        <f>IF(OR(E297="Y", F297="Y"), "Expressed", "N")</f>
        <v>Expressed</v>
      </c>
      <c r="H297" s="8">
        <v>12.085447239803869</v>
      </c>
      <c r="I297" s="8">
        <v>1662</v>
      </c>
      <c r="J297" s="8">
        <v>5.898750741765479</v>
      </c>
      <c r="K297" s="8">
        <v>1817</v>
      </c>
      <c r="L297" s="8">
        <v>18.306512434071731</v>
      </c>
      <c r="M297" s="8">
        <v>4373</v>
      </c>
      <c r="N297" s="8">
        <v>5.3172071144890527</v>
      </c>
      <c r="O297" s="8">
        <v>756</v>
      </c>
      <c r="P297" s="9">
        <v>2.582826823319194</v>
      </c>
      <c r="Q297" s="9">
        <v>806</v>
      </c>
      <c r="R297" s="9">
        <v>5.9251753499576196</v>
      </c>
      <c r="S297" s="9">
        <v>167</v>
      </c>
      <c r="T297" s="9">
        <v>2.0780033314430701</v>
      </c>
      <c r="U297" s="9">
        <v>141</v>
      </c>
      <c r="V297" s="9">
        <v>0.45426766761148057</v>
      </c>
      <c r="W297" s="9">
        <v>747</v>
      </c>
      <c r="X297">
        <v>1101.8632498658469</v>
      </c>
      <c r="Y297">
        <v>-2.2540871836835339</v>
      </c>
      <c r="Z297">
        <v>0.32444642071033569</v>
      </c>
      <c r="AA297">
        <v>-6.9474866720627899</v>
      </c>
      <c r="AB297">
        <v>3.7185118206047256E-12</v>
      </c>
      <c r="AC297">
        <v>1.098913205784212E-8</v>
      </c>
      <c r="AD297" t="s">
        <v>2760</v>
      </c>
      <c r="AE297" t="s">
        <v>2761</v>
      </c>
      <c r="AF297" t="s">
        <v>2762</v>
      </c>
      <c r="AG297" t="s">
        <v>2763</v>
      </c>
      <c r="AH297" t="s">
        <v>43</v>
      </c>
      <c r="AI297" t="s">
        <v>43</v>
      </c>
      <c r="AJ297" t="s">
        <v>43</v>
      </c>
      <c r="AK297" t="s">
        <v>43</v>
      </c>
      <c r="AL297" t="s">
        <v>43</v>
      </c>
      <c r="AM297" t="s">
        <v>2210</v>
      </c>
      <c r="AN297" t="s">
        <v>43</v>
      </c>
    </row>
    <row r="298" spans="1:40" x14ac:dyDescent="0.3">
      <c r="A298" t="s">
        <v>2769</v>
      </c>
      <c r="B298">
        <v>2118</v>
      </c>
      <c r="C298" t="str">
        <f>IF(Y298&lt;0, "Down", "Up")</f>
        <v>Down</v>
      </c>
      <c r="D298" s="7" t="str">
        <f>IF(AC298&lt;0.05, "Sig", "N")</f>
        <v>Sig</v>
      </c>
      <c r="E298" s="1" t="str">
        <f>IF(AND(H298&gt;2,J298&gt;2,L298&gt;2,N298&gt;2),"Y","N")</f>
        <v>Y</v>
      </c>
      <c r="F298" s="1" t="str">
        <f>IF(AND(P298&gt;2,R298&gt;2,T298&gt;2,V298&gt;2),"Y","N")</f>
        <v>N</v>
      </c>
      <c r="G298" s="1" t="str">
        <f>IF(OR(E298="Y", F298="Y"), "Expressed", "N")</f>
        <v>Expressed</v>
      </c>
      <c r="H298" s="8">
        <v>7.0677143027512974</v>
      </c>
      <c r="I298" s="8">
        <v>666</v>
      </c>
      <c r="J298" s="8">
        <v>5.8654158932250926</v>
      </c>
      <c r="K298" s="8">
        <v>1238</v>
      </c>
      <c r="L298" s="8">
        <v>10.84420063847295</v>
      </c>
      <c r="M298" s="8">
        <v>1775</v>
      </c>
      <c r="N298" s="8">
        <v>5.5427921188741607</v>
      </c>
      <c r="O298" s="8">
        <v>540</v>
      </c>
      <c r="P298" s="9">
        <v>2.692404462053025</v>
      </c>
      <c r="Q298" s="9">
        <v>872</v>
      </c>
      <c r="R298" s="9">
        <v>9.3552565097574192</v>
      </c>
      <c r="S298" s="9">
        <v>255</v>
      </c>
      <c r="T298" s="9">
        <v>4.6306611023281627</v>
      </c>
      <c r="U298" s="9">
        <v>224</v>
      </c>
      <c r="V298" s="9">
        <v>1.053207109515558</v>
      </c>
      <c r="W298" s="9">
        <v>626</v>
      </c>
      <c r="X298">
        <v>674.79415219241434</v>
      </c>
      <c r="Y298">
        <v>-0.98556887236286228</v>
      </c>
      <c r="Z298">
        <v>0.20272870729726811</v>
      </c>
      <c r="AA298">
        <v>-4.861516089666023</v>
      </c>
      <c r="AB298">
        <v>1.1649011015397901E-6</v>
      </c>
      <c r="AC298">
        <v>2.5036901675094288E-4</v>
      </c>
      <c r="AD298" t="s">
        <v>2770</v>
      </c>
      <c r="AE298" t="s">
        <v>2771</v>
      </c>
      <c r="AF298" t="s">
        <v>43</v>
      </c>
      <c r="AG298" t="s">
        <v>2772</v>
      </c>
      <c r="AH298" t="s">
        <v>43</v>
      </c>
      <c r="AI298" t="s">
        <v>43</v>
      </c>
      <c r="AJ298" t="s">
        <v>43</v>
      </c>
      <c r="AK298" t="s">
        <v>43</v>
      </c>
      <c r="AL298" t="s">
        <v>43</v>
      </c>
      <c r="AM298" t="s">
        <v>1312</v>
      </c>
      <c r="AN298" t="s">
        <v>43</v>
      </c>
    </row>
    <row r="299" spans="1:40" x14ac:dyDescent="0.3">
      <c r="A299" t="s">
        <v>2773</v>
      </c>
      <c r="B299">
        <v>1224</v>
      </c>
      <c r="C299" t="str">
        <f>IF(Y299&lt;0, "Down", "Up")</f>
        <v>Down</v>
      </c>
      <c r="D299" s="7" t="str">
        <f>IF(AC299&lt;0.05, "Sig", "N")</f>
        <v>Sig</v>
      </c>
      <c r="E299" s="1" t="str">
        <f>IF(AND(H299&gt;2,J299&gt;2,L299&gt;2,N299&gt;2),"Y","N")</f>
        <v>Y</v>
      </c>
      <c r="F299" s="1" t="str">
        <f>IF(AND(P299&gt;2,R299&gt;2,T299&gt;2,V299&gt;2),"Y","N")</f>
        <v>N</v>
      </c>
      <c r="G299" s="1" t="str">
        <f>IF(OR(E299="Y", F299="Y"), "Expressed", "N")</f>
        <v>Expressed</v>
      </c>
      <c r="H299" s="8">
        <v>6.1700484162156712</v>
      </c>
      <c r="I299" s="8">
        <v>336</v>
      </c>
      <c r="J299" s="8">
        <v>5.7961833994111291</v>
      </c>
      <c r="K299" s="8">
        <v>707</v>
      </c>
      <c r="L299" s="8">
        <v>7.08302096935995</v>
      </c>
      <c r="M299" s="8">
        <v>670</v>
      </c>
      <c r="N299" s="8">
        <v>7.4953483186293406</v>
      </c>
      <c r="O299" s="8">
        <v>422</v>
      </c>
      <c r="P299" s="9">
        <v>3.6408562372384798</v>
      </c>
      <c r="Q299" s="9">
        <v>418</v>
      </c>
      <c r="R299" s="9">
        <v>7.7599698632889593</v>
      </c>
      <c r="S299" s="9">
        <v>260</v>
      </c>
      <c r="T299" s="9">
        <v>8.1699745477062429</v>
      </c>
      <c r="U299" s="9">
        <v>137</v>
      </c>
      <c r="V299" s="9">
        <v>1.114630362029104</v>
      </c>
      <c r="W299" s="9">
        <v>442</v>
      </c>
      <c r="X299">
        <v>392.72233653850662</v>
      </c>
      <c r="Y299">
        <v>-0.65508332682730086</v>
      </c>
      <c r="Z299">
        <v>0.1790553358834456</v>
      </c>
      <c r="AA299">
        <v>-3.6585523888197402</v>
      </c>
      <c r="AB299">
        <v>2.5364389637440912E-4</v>
      </c>
      <c r="AC299">
        <v>1.24528616782505E-2</v>
      </c>
      <c r="AD299" t="s">
        <v>2774</v>
      </c>
      <c r="AE299" t="s">
        <v>2775</v>
      </c>
      <c r="AF299" t="s">
        <v>448</v>
      </c>
      <c r="AG299" t="s">
        <v>449</v>
      </c>
      <c r="AH299" t="s">
        <v>43</v>
      </c>
      <c r="AI299" t="s">
        <v>43</v>
      </c>
      <c r="AJ299" t="s">
        <v>43</v>
      </c>
      <c r="AK299" t="s">
        <v>43</v>
      </c>
      <c r="AL299" t="s">
        <v>43</v>
      </c>
      <c r="AM299" t="s">
        <v>450</v>
      </c>
      <c r="AN299" t="s">
        <v>43</v>
      </c>
    </row>
    <row r="300" spans="1:40" x14ac:dyDescent="0.3">
      <c r="A300" t="s">
        <v>2776</v>
      </c>
      <c r="B300">
        <v>2828</v>
      </c>
      <c r="C300" t="str">
        <f>IF(Y300&lt;0, "Down", "Up")</f>
        <v>Down</v>
      </c>
      <c r="D300" s="7" t="str">
        <f>IF(AC300&lt;0.05, "Sig", "N")</f>
        <v>Sig</v>
      </c>
      <c r="E300" s="1" t="str">
        <f>IF(AND(H300&gt;2,J300&gt;2,L300&gt;2,N300&gt;2),"Y","N")</f>
        <v>Y</v>
      </c>
      <c r="F300" s="1" t="str">
        <f>IF(AND(P300&gt;2,R300&gt;2,T300&gt;2,V300&gt;2),"Y","N")</f>
        <v>N</v>
      </c>
      <c r="G300" s="1" t="str">
        <f>IF(OR(E300="Y", F300="Y"), "Expressed", "N")</f>
        <v>Expressed</v>
      </c>
      <c r="H300" s="8">
        <v>22.818363789419951</v>
      </c>
      <c r="I300" s="8">
        <v>2871</v>
      </c>
      <c r="J300" s="8">
        <v>5.7802390798782497</v>
      </c>
      <c r="K300" s="8">
        <v>1629</v>
      </c>
      <c r="L300" s="8">
        <v>30.395548860297229</v>
      </c>
      <c r="M300" s="8">
        <v>6643</v>
      </c>
      <c r="N300" s="8">
        <v>10.939218113942911</v>
      </c>
      <c r="O300" s="8">
        <v>1423</v>
      </c>
      <c r="P300" s="9">
        <v>5.3137117592881253</v>
      </c>
      <c r="Q300" s="9">
        <v>1610</v>
      </c>
      <c r="R300" s="9">
        <v>12.9363465578255</v>
      </c>
      <c r="S300" s="9">
        <v>441</v>
      </c>
      <c r="T300" s="9">
        <v>5.9977444528058248</v>
      </c>
      <c r="U300" s="9">
        <v>186</v>
      </c>
      <c r="V300" s="9">
        <v>0.6549758069487448</v>
      </c>
      <c r="W300" s="9">
        <v>567</v>
      </c>
      <c r="X300">
        <v>1703.2286116025721</v>
      </c>
      <c r="Y300">
        <v>-2.2048206781885802</v>
      </c>
      <c r="Z300">
        <v>0.53893442068705166</v>
      </c>
      <c r="AA300">
        <v>-4.091074152171986</v>
      </c>
      <c r="AB300">
        <v>4.2937980303718049E-5</v>
      </c>
      <c r="AC300">
        <v>3.6515817638147559E-3</v>
      </c>
      <c r="AD300" t="s">
        <v>2777</v>
      </c>
      <c r="AE300" t="s">
        <v>2778</v>
      </c>
      <c r="AF300" t="s">
        <v>1973</v>
      </c>
      <c r="AG300" t="s">
        <v>2779</v>
      </c>
      <c r="AH300" t="s">
        <v>1080</v>
      </c>
      <c r="AJ300" t="s">
        <v>2780</v>
      </c>
      <c r="AK300" t="s">
        <v>1082</v>
      </c>
      <c r="AL300" t="s">
        <v>2781</v>
      </c>
      <c r="AM300" t="s">
        <v>2782</v>
      </c>
      <c r="AN300" t="s">
        <v>43</v>
      </c>
    </row>
    <row r="301" spans="1:40" x14ac:dyDescent="0.3">
      <c r="A301" t="s">
        <v>2790</v>
      </c>
      <c r="B301">
        <v>3436</v>
      </c>
      <c r="C301" t="str">
        <f>IF(Y301&lt;0, "Down", "Up")</f>
        <v>Down</v>
      </c>
      <c r="D301" s="7" t="str">
        <f>IF(AC301&lt;0.05, "Sig", "N")</f>
        <v>Sig</v>
      </c>
      <c r="E301" s="1" t="str">
        <f>IF(AND(H301&gt;2,J301&gt;2,L301&gt;2,N301&gt;2),"Y","N")</f>
        <v>Y</v>
      </c>
      <c r="F301" s="1" t="str">
        <f>IF(AND(P301&gt;2,R301&gt;2,T301&gt;2,V301&gt;2),"Y","N")</f>
        <v>N</v>
      </c>
      <c r="G301" s="1" t="str">
        <f>IF(OR(E301="Y", F301="Y"), "Expressed", "N")</f>
        <v>Expressed</v>
      </c>
      <c r="H301" s="8">
        <v>11.5392116189179</v>
      </c>
      <c r="I301" s="8">
        <v>1764</v>
      </c>
      <c r="J301" s="8">
        <v>5.7445409211927911</v>
      </c>
      <c r="K301" s="8">
        <v>1967</v>
      </c>
      <c r="L301" s="8">
        <v>15.85455596404644</v>
      </c>
      <c r="M301" s="8">
        <v>4210</v>
      </c>
      <c r="N301" s="8">
        <v>9.294572671022598</v>
      </c>
      <c r="O301" s="8">
        <v>1469</v>
      </c>
      <c r="P301" s="9">
        <v>4.5148272559462894</v>
      </c>
      <c r="Q301" s="9">
        <v>1884</v>
      </c>
      <c r="R301" s="9">
        <v>12.45927908290362</v>
      </c>
      <c r="S301" s="9">
        <v>564</v>
      </c>
      <c r="T301" s="9">
        <v>6.3132752186860142</v>
      </c>
      <c r="U301" s="9">
        <v>494</v>
      </c>
      <c r="V301" s="9">
        <v>1.4317444664545209</v>
      </c>
      <c r="W301" s="9">
        <v>1243</v>
      </c>
      <c r="X301">
        <v>1535.6992228858469</v>
      </c>
      <c r="Y301">
        <v>-1.1072206125092969</v>
      </c>
      <c r="Z301">
        <v>0.2450789416476804</v>
      </c>
      <c r="AA301">
        <v>-4.5178121182725297</v>
      </c>
      <c r="AB301">
        <v>6.248188675999683E-6</v>
      </c>
      <c r="AC301">
        <v>8.6385775835078667E-4</v>
      </c>
      <c r="AD301" t="s">
        <v>2791</v>
      </c>
      <c r="AE301" t="s">
        <v>2792</v>
      </c>
      <c r="AF301" t="s">
        <v>2793</v>
      </c>
      <c r="AG301" t="s">
        <v>1788</v>
      </c>
      <c r="AH301" t="s">
        <v>43</v>
      </c>
      <c r="AI301" t="s">
        <v>43</v>
      </c>
      <c r="AJ301" t="s">
        <v>43</v>
      </c>
      <c r="AK301" t="s">
        <v>43</v>
      </c>
      <c r="AL301" t="s">
        <v>43</v>
      </c>
      <c r="AM301" t="s">
        <v>1789</v>
      </c>
      <c r="AN301" t="s">
        <v>43</v>
      </c>
    </row>
    <row r="302" spans="1:40" x14ac:dyDescent="0.3">
      <c r="A302" t="s">
        <v>2794</v>
      </c>
      <c r="B302">
        <v>1982</v>
      </c>
      <c r="C302" t="str">
        <f>IF(Y302&lt;0, "Down", "Up")</f>
        <v>Down</v>
      </c>
      <c r="D302" s="7" t="str">
        <f>IF(AC302&lt;0.05, "Sig", "N")</f>
        <v>Sig</v>
      </c>
      <c r="E302" s="1" t="str">
        <f>IF(AND(H302&gt;2,J302&gt;2,L302&gt;2,N302&gt;2),"Y","N")</f>
        <v>Y</v>
      </c>
      <c r="F302" s="1" t="str">
        <f>IF(AND(P302&gt;2,R302&gt;2,T302&gt;2,V302&gt;2),"Y","N")</f>
        <v>N</v>
      </c>
      <c r="G302" s="1" t="str">
        <f>IF(OR(E302="Y", F302="Y"), "Expressed", "N")</f>
        <v>Expressed</v>
      </c>
      <c r="H302" s="8">
        <v>10.51251906347947</v>
      </c>
      <c r="I302" s="8">
        <v>927</v>
      </c>
      <c r="J302" s="8">
        <v>5.6856514029571423</v>
      </c>
      <c r="K302" s="8">
        <v>1123</v>
      </c>
      <c r="L302" s="8">
        <v>10.556781004205741</v>
      </c>
      <c r="M302" s="8">
        <v>1617</v>
      </c>
      <c r="N302" s="8">
        <v>6.1754062277886073</v>
      </c>
      <c r="O302" s="8">
        <v>563</v>
      </c>
      <c r="P302" s="9">
        <v>2.9996959882495582</v>
      </c>
      <c r="Q302" s="9">
        <v>847</v>
      </c>
      <c r="R302" s="9">
        <v>9.7105746411819247</v>
      </c>
      <c r="S302" s="9">
        <v>268</v>
      </c>
      <c r="T302" s="9">
        <v>5.2006774253535184</v>
      </c>
      <c r="U302" s="9">
        <v>215</v>
      </c>
      <c r="V302" s="9">
        <v>1.0802556072962459</v>
      </c>
      <c r="W302" s="9">
        <v>933</v>
      </c>
      <c r="X302">
        <v>721.70864683759874</v>
      </c>
      <c r="Y302">
        <v>-0.93512539183775223</v>
      </c>
      <c r="Z302">
        <v>0.21003410674295689</v>
      </c>
      <c r="AA302">
        <v>-4.4522549520120247</v>
      </c>
      <c r="AB302">
        <v>8.4973187844132059E-6</v>
      </c>
      <c r="AC302">
        <v>1.10497718104151E-3</v>
      </c>
      <c r="AD302" t="s">
        <v>2795</v>
      </c>
      <c r="AE302" t="s">
        <v>2796</v>
      </c>
      <c r="AF302" t="s">
        <v>2797</v>
      </c>
      <c r="AG302" t="s">
        <v>1597</v>
      </c>
      <c r="AH302" t="s">
        <v>43</v>
      </c>
      <c r="AI302" t="s">
        <v>43</v>
      </c>
      <c r="AJ302" t="s">
        <v>43</v>
      </c>
      <c r="AK302" t="s">
        <v>43</v>
      </c>
      <c r="AL302" t="s">
        <v>43</v>
      </c>
      <c r="AM302" t="s">
        <v>192</v>
      </c>
      <c r="AN302" t="s">
        <v>43</v>
      </c>
    </row>
    <row r="303" spans="1:40" x14ac:dyDescent="0.3">
      <c r="A303" t="s">
        <v>2798</v>
      </c>
      <c r="B303">
        <v>3549</v>
      </c>
      <c r="C303" t="str">
        <f>IF(Y303&lt;0, "Down", "Up")</f>
        <v>Down</v>
      </c>
      <c r="D303" s="7" t="str">
        <f>IF(AC303&lt;0.05, "Sig", "N")</f>
        <v>Sig</v>
      </c>
      <c r="E303" s="1" t="str">
        <f>IF(AND(H303&gt;2,J303&gt;2,L303&gt;2,N303&gt;2),"Y","N")</f>
        <v>Y</v>
      </c>
      <c r="F303" s="1" t="str">
        <f>IF(AND(P303&gt;2,R303&gt;2,T303&gt;2,V303&gt;2),"Y","N")</f>
        <v>N</v>
      </c>
      <c r="G303" s="1" t="str">
        <f>IF(OR(E303="Y", F303="Y"), "Expressed", "N")</f>
        <v>Expressed</v>
      </c>
      <c r="H303" s="8">
        <v>5.3009068297508017</v>
      </c>
      <c r="I303" s="8">
        <v>837</v>
      </c>
      <c r="J303" s="8">
        <v>5.5983921172053011</v>
      </c>
      <c r="K303" s="8">
        <v>1980</v>
      </c>
      <c r="L303" s="8">
        <v>7.8899890363476768</v>
      </c>
      <c r="M303" s="8">
        <v>2164</v>
      </c>
      <c r="N303" s="8">
        <v>4.7964127574737772</v>
      </c>
      <c r="O303" s="8">
        <v>783</v>
      </c>
      <c r="P303" s="9">
        <v>2.3298516042296549</v>
      </c>
      <c r="Q303" s="9">
        <v>1514</v>
      </c>
      <c r="R303" s="9">
        <v>9.6935989196874974</v>
      </c>
      <c r="S303" s="9">
        <v>609</v>
      </c>
      <c r="T303" s="9">
        <v>6.5999412049472186</v>
      </c>
      <c r="U303" s="9">
        <v>411</v>
      </c>
      <c r="V303" s="9">
        <v>1.1532608310427921</v>
      </c>
      <c r="W303" s="9">
        <v>1565</v>
      </c>
      <c r="X303">
        <v>1075.305029222503</v>
      </c>
      <c r="Y303">
        <v>-0.38899433157674201</v>
      </c>
      <c r="Z303">
        <v>0.12703465987434301</v>
      </c>
      <c r="AA303">
        <v>-3.0621118044596471</v>
      </c>
      <c r="AB303">
        <v>2.1978134446584089E-3</v>
      </c>
      <c r="AC303">
        <v>4.8791690839631682E-2</v>
      </c>
      <c r="AD303" t="s">
        <v>2799</v>
      </c>
      <c r="AE303" t="s">
        <v>2800</v>
      </c>
      <c r="AF303" t="s">
        <v>2801</v>
      </c>
      <c r="AG303" t="s">
        <v>2802</v>
      </c>
      <c r="AH303" t="s">
        <v>43</v>
      </c>
      <c r="AI303" t="s">
        <v>43</v>
      </c>
      <c r="AJ303" t="s">
        <v>43</v>
      </c>
      <c r="AK303" t="s">
        <v>43</v>
      </c>
      <c r="AL303" t="s">
        <v>43</v>
      </c>
      <c r="AM303" t="s">
        <v>2803</v>
      </c>
      <c r="AN303" t="s">
        <v>2804</v>
      </c>
    </row>
    <row r="304" spans="1:40" x14ac:dyDescent="0.3">
      <c r="A304" t="s">
        <v>2811</v>
      </c>
      <c r="B304">
        <v>1360</v>
      </c>
      <c r="C304" t="str">
        <f>IF(Y304&lt;0, "Down", "Up")</f>
        <v>Down</v>
      </c>
      <c r="D304" s="7" t="str">
        <f>IF(AC304&lt;0.05, "Sig", "N")</f>
        <v>Sig</v>
      </c>
      <c r="E304" s="1" t="str">
        <f>IF(AND(H304&gt;2,J304&gt;2,L304&gt;2,N304&gt;2),"Y","N")</f>
        <v>Y</v>
      </c>
      <c r="F304" s="1" t="str">
        <f>IF(AND(P304&gt;2,R304&gt;2,T304&gt;2,V304&gt;2),"Y","N")</f>
        <v>N</v>
      </c>
      <c r="G304" s="1" t="str">
        <f>IF(OR(E304="Y", F304="Y"), "Expressed", "N")</f>
        <v>Expressed</v>
      </c>
      <c r="H304" s="8">
        <v>7.6023810842657369</v>
      </c>
      <c r="I304" s="8">
        <v>460</v>
      </c>
      <c r="J304" s="8">
        <v>5.5485953673570751</v>
      </c>
      <c r="K304" s="8">
        <v>752</v>
      </c>
      <c r="L304" s="8">
        <v>8.2966490399308785</v>
      </c>
      <c r="M304" s="8">
        <v>872</v>
      </c>
      <c r="N304" s="8">
        <v>5.8985904659165973</v>
      </c>
      <c r="O304" s="8">
        <v>369</v>
      </c>
      <c r="P304" s="9">
        <v>2.8652330720068702</v>
      </c>
      <c r="Q304" s="9">
        <v>481</v>
      </c>
      <c r="R304" s="9">
        <v>8.0365812292291636</v>
      </c>
      <c r="S304" s="9">
        <v>216</v>
      </c>
      <c r="T304" s="9">
        <v>6.1086271233618987</v>
      </c>
      <c r="U304" s="9">
        <v>115</v>
      </c>
      <c r="V304" s="9">
        <v>0.84207476255483382</v>
      </c>
      <c r="W304" s="9">
        <v>434</v>
      </c>
      <c r="X304">
        <v>414.75461796201171</v>
      </c>
      <c r="Y304">
        <v>-0.9244507899104254</v>
      </c>
      <c r="Z304">
        <v>0.1534499975953364</v>
      </c>
      <c r="AA304">
        <v>-6.0244431697437886</v>
      </c>
      <c r="AB304">
        <v>1.6969281511965241E-9</v>
      </c>
      <c r="AC304">
        <v>1.7599147353141371E-6</v>
      </c>
      <c r="AD304" t="s">
        <v>2812</v>
      </c>
      <c r="AE304" t="s">
        <v>2813</v>
      </c>
      <c r="AF304" t="s">
        <v>2814</v>
      </c>
      <c r="AG304" t="s">
        <v>2815</v>
      </c>
      <c r="AH304" t="s">
        <v>43</v>
      </c>
      <c r="AI304" t="s">
        <v>43</v>
      </c>
      <c r="AJ304" t="s">
        <v>43</v>
      </c>
      <c r="AK304" t="s">
        <v>43</v>
      </c>
      <c r="AL304" t="s">
        <v>43</v>
      </c>
      <c r="AM304" t="s">
        <v>130</v>
      </c>
      <c r="AN304" t="s">
        <v>43</v>
      </c>
    </row>
    <row r="305" spans="1:40" x14ac:dyDescent="0.3">
      <c r="A305" t="s">
        <v>2822</v>
      </c>
      <c r="B305">
        <v>4566</v>
      </c>
      <c r="C305" t="str">
        <f>IF(Y305&lt;0, "Down", "Up")</f>
        <v>Down</v>
      </c>
      <c r="D305" s="7" t="str">
        <f>IF(AC305&lt;0.05, "Sig", "N")</f>
        <v>Sig</v>
      </c>
      <c r="E305" s="1" t="str">
        <f>IF(AND(H305&gt;2,J305&gt;2,L305&gt;2,N305&gt;2),"Y","N")</f>
        <v>Y</v>
      </c>
      <c r="F305" s="1" t="str">
        <f>IF(AND(P305&gt;2,R305&gt;2,T305&gt;2,V305&gt;2),"Y","N")</f>
        <v>N</v>
      </c>
      <c r="G305" s="1" t="str">
        <f>IF(OR(E305="Y", F305="Y"), "Expressed", "N")</f>
        <v>Expressed</v>
      </c>
      <c r="H305" s="8">
        <v>7.216535884593906</v>
      </c>
      <c r="I305" s="8">
        <v>1466</v>
      </c>
      <c r="J305" s="8">
        <v>5.4480958836946822</v>
      </c>
      <c r="K305" s="8">
        <v>2479</v>
      </c>
      <c r="L305" s="8">
        <v>7.8046453192420211</v>
      </c>
      <c r="M305" s="8">
        <v>2754</v>
      </c>
      <c r="N305" s="8">
        <v>5.2469445442029539</v>
      </c>
      <c r="O305" s="8">
        <v>1102</v>
      </c>
      <c r="P305" s="9">
        <v>2.5486968661249798</v>
      </c>
      <c r="Q305" s="9">
        <v>2149</v>
      </c>
      <c r="R305" s="9">
        <v>10.69462790770903</v>
      </c>
      <c r="S305" s="9">
        <v>667</v>
      </c>
      <c r="T305" s="9">
        <v>5.6184782005321594</v>
      </c>
      <c r="U305" s="9">
        <v>509</v>
      </c>
      <c r="V305" s="9">
        <v>1.1101293752136929</v>
      </c>
      <c r="W305" s="9">
        <v>1771</v>
      </c>
      <c r="X305">
        <v>1428.534708050475</v>
      </c>
      <c r="Y305">
        <v>-0.58811523622583439</v>
      </c>
      <c r="Z305">
        <v>0.15304457159387441</v>
      </c>
      <c r="AA305">
        <v>-3.8427709660064382</v>
      </c>
      <c r="AB305">
        <v>1.2165298546658479E-4</v>
      </c>
      <c r="AC305">
        <v>7.7629996501416268E-3</v>
      </c>
      <c r="AD305" t="s">
        <v>2823</v>
      </c>
      <c r="AE305" t="s">
        <v>2824</v>
      </c>
      <c r="AF305" t="s">
        <v>2825</v>
      </c>
      <c r="AG305" t="s">
        <v>2826</v>
      </c>
      <c r="AH305" t="s">
        <v>43</v>
      </c>
      <c r="AI305" t="s">
        <v>43</v>
      </c>
      <c r="AJ305" t="s">
        <v>43</v>
      </c>
      <c r="AK305" t="s">
        <v>43</v>
      </c>
      <c r="AL305" t="s">
        <v>43</v>
      </c>
      <c r="AM305" t="s">
        <v>2827</v>
      </c>
      <c r="AN305" t="s">
        <v>43</v>
      </c>
    </row>
    <row r="306" spans="1:40" s="13" customFormat="1" x14ac:dyDescent="0.3">
      <c r="A306" t="s">
        <v>2833</v>
      </c>
      <c r="B306">
        <v>1703</v>
      </c>
      <c r="C306" t="str">
        <f>IF(Y306&lt;0, "Down", "Up")</f>
        <v>Down</v>
      </c>
      <c r="D306" s="7" t="str">
        <f>IF(AC306&lt;0.05, "Sig", "N")</f>
        <v>Sig</v>
      </c>
      <c r="E306" s="1" t="str">
        <f>IF(AND(H306&gt;2,J306&gt;2,L306&gt;2,N306&gt;2),"Y","N")</f>
        <v>Y</v>
      </c>
      <c r="F306" s="1" t="str">
        <f>IF(AND(P306&gt;2,R306&gt;2,T306&gt;2,V306&gt;2),"Y","N")</f>
        <v>N</v>
      </c>
      <c r="G306" s="1" t="str">
        <f>IF(OR(E306="Y", F306="Y"), "Expressed", "N")</f>
        <v>Expressed</v>
      </c>
      <c r="H306" s="8">
        <v>6.229569896617047</v>
      </c>
      <c r="I306" s="8">
        <v>472</v>
      </c>
      <c r="J306" s="8">
        <v>5.4209737225587302</v>
      </c>
      <c r="K306" s="8">
        <v>920</v>
      </c>
      <c r="L306" s="8">
        <v>6.3672882836470608</v>
      </c>
      <c r="M306" s="8">
        <v>838</v>
      </c>
      <c r="N306" s="8">
        <v>3.3190934995124319</v>
      </c>
      <c r="O306" s="8">
        <v>260</v>
      </c>
      <c r="P306" s="9">
        <v>1.612245589660251</v>
      </c>
      <c r="Q306" s="9">
        <v>543</v>
      </c>
      <c r="R306" s="9">
        <v>7.2451995636429203</v>
      </c>
      <c r="S306" s="9">
        <v>196</v>
      </c>
      <c r="T306" s="9">
        <v>4.4265991550948973</v>
      </c>
      <c r="U306" s="9">
        <v>150</v>
      </c>
      <c r="V306" s="9">
        <v>0.87713881672335825</v>
      </c>
      <c r="W306" s="9">
        <v>663</v>
      </c>
      <c r="X306">
        <v>437.33410022948959</v>
      </c>
      <c r="Y306">
        <v>-0.63236632815653404</v>
      </c>
      <c r="Z306">
        <v>0.20569646814640699</v>
      </c>
      <c r="AA306">
        <v>-3.0742692563220841</v>
      </c>
      <c r="AB306">
        <v>2.110188870982787E-3</v>
      </c>
      <c r="AC306">
        <v>4.7832296536697072E-2</v>
      </c>
      <c r="AD306" t="s">
        <v>2834</v>
      </c>
      <c r="AE306" t="s">
        <v>2835</v>
      </c>
      <c r="AF306" t="s">
        <v>2836</v>
      </c>
      <c r="AG306" t="s">
        <v>1982</v>
      </c>
      <c r="AH306" t="s">
        <v>43</v>
      </c>
      <c r="AI306" t="s">
        <v>43</v>
      </c>
      <c r="AJ306" t="s">
        <v>43</v>
      </c>
      <c r="AK306" t="s">
        <v>43</v>
      </c>
      <c r="AL306" t="s">
        <v>43</v>
      </c>
      <c r="AM306" t="s">
        <v>1983</v>
      </c>
      <c r="AN306" t="s">
        <v>43</v>
      </c>
    </row>
    <row r="307" spans="1:40" x14ac:dyDescent="0.3">
      <c r="A307" t="s">
        <v>2837</v>
      </c>
      <c r="B307">
        <v>1760</v>
      </c>
      <c r="C307" t="str">
        <f>IF(Y307&lt;0, "Down", "Up")</f>
        <v>Down</v>
      </c>
      <c r="D307" s="7" t="str">
        <f>IF(AC307&lt;0.05, "Sig", "N")</f>
        <v>Sig</v>
      </c>
      <c r="E307" s="1" t="str">
        <f>IF(AND(H307&gt;2,J307&gt;2,L307&gt;2,N307&gt;2),"Y","N")</f>
        <v>Y</v>
      </c>
      <c r="F307" s="1" t="str">
        <f>IF(AND(P307&gt;2,R307&gt;2,T307&gt;2,V307&gt;2),"Y","N")</f>
        <v>N</v>
      </c>
      <c r="G307" s="1" t="str">
        <f>IF(OR(E307="Y", F307="Y"), "Expressed", "N")</f>
        <v>Expressed</v>
      </c>
      <c r="H307" s="8">
        <v>9.6547234876465673</v>
      </c>
      <c r="I307" s="8">
        <v>756</v>
      </c>
      <c r="J307" s="8">
        <v>5.4107524819615387</v>
      </c>
      <c r="K307" s="8">
        <v>949</v>
      </c>
      <c r="L307" s="8">
        <v>17.468632611597581</v>
      </c>
      <c r="M307" s="8">
        <v>2376</v>
      </c>
      <c r="N307" s="8">
        <v>6.6208371920955944</v>
      </c>
      <c r="O307" s="8">
        <v>536</v>
      </c>
      <c r="P307" s="9">
        <v>3.216063531920005</v>
      </c>
      <c r="Q307" s="9">
        <v>918</v>
      </c>
      <c r="R307" s="9">
        <v>11.85209664178325</v>
      </c>
      <c r="S307" s="9">
        <v>226</v>
      </c>
      <c r="T307" s="9">
        <v>4.9388353131221416</v>
      </c>
      <c r="U307" s="9">
        <v>186</v>
      </c>
      <c r="V307" s="9">
        <v>1.052427035256279</v>
      </c>
      <c r="W307" s="9">
        <v>866</v>
      </c>
      <c r="X307">
        <v>720.37665902344327</v>
      </c>
      <c r="Y307">
        <v>-1.0715538099415249</v>
      </c>
      <c r="Z307">
        <v>0.28416784935129868</v>
      </c>
      <c r="AA307">
        <v>-3.770848153257587</v>
      </c>
      <c r="AB307">
        <v>1.6269365147853309E-4</v>
      </c>
      <c r="AC307">
        <v>9.2461617986910587E-3</v>
      </c>
      <c r="AD307" t="s">
        <v>2838</v>
      </c>
      <c r="AE307" t="s">
        <v>2839</v>
      </c>
      <c r="AF307" t="s">
        <v>2840</v>
      </c>
      <c r="AG307" t="s">
        <v>2841</v>
      </c>
      <c r="AH307" t="s">
        <v>43</v>
      </c>
      <c r="AI307" t="s">
        <v>43</v>
      </c>
      <c r="AJ307" t="s">
        <v>43</v>
      </c>
      <c r="AK307" t="s">
        <v>43</v>
      </c>
      <c r="AL307" t="s">
        <v>43</v>
      </c>
      <c r="AM307" t="s">
        <v>2842</v>
      </c>
      <c r="AN307" t="s">
        <v>43</v>
      </c>
    </row>
    <row r="308" spans="1:40" x14ac:dyDescent="0.3">
      <c r="A308" t="s">
        <v>2850</v>
      </c>
      <c r="B308">
        <v>600</v>
      </c>
      <c r="C308" t="str">
        <f>IF(Y308&lt;0, "Down", "Up")</f>
        <v>Down</v>
      </c>
      <c r="D308" s="7" t="str">
        <f>IF(AC308&lt;0.05, "Sig", "N")</f>
        <v>Sig</v>
      </c>
      <c r="E308" s="1" t="str">
        <f>IF(AND(H308&gt;2,J308&gt;2,L308&gt;2,N308&gt;2),"Y","N")</f>
        <v>Y</v>
      </c>
      <c r="F308" s="1" t="str">
        <f>IF(AND(P308&gt;2,R308&gt;2,T308&gt;2,V308&gt;2),"Y","N")</f>
        <v>N</v>
      </c>
      <c r="G308" s="1" t="str">
        <f>IF(OR(E308="Y", F308="Y"), "Expressed", "N")</f>
        <v>Expressed</v>
      </c>
      <c r="H308" s="8">
        <v>9.4027130685686675</v>
      </c>
      <c r="I308" s="8">
        <v>251</v>
      </c>
      <c r="J308" s="8">
        <v>5.2682142184746699</v>
      </c>
      <c r="K308" s="8">
        <v>315</v>
      </c>
      <c r="L308" s="8">
        <v>6.4482977171205889</v>
      </c>
      <c r="M308" s="8">
        <v>299</v>
      </c>
      <c r="N308" s="8">
        <v>3.804510923816125</v>
      </c>
      <c r="O308" s="8">
        <v>105</v>
      </c>
      <c r="P308" s="9">
        <v>1.8480365071480629</v>
      </c>
      <c r="Q308" s="9">
        <v>236</v>
      </c>
      <c r="R308" s="9">
        <v>8.9377030884732935</v>
      </c>
      <c r="S308" s="9">
        <v>67</v>
      </c>
      <c r="T308" s="9">
        <v>4.2948927737711129</v>
      </c>
      <c r="U308" s="9">
        <v>33</v>
      </c>
      <c r="V308" s="9">
        <v>0.54771471512262238</v>
      </c>
      <c r="W308" s="9">
        <v>153</v>
      </c>
      <c r="X308">
        <v>161.72565993302459</v>
      </c>
      <c r="Y308">
        <v>-1.0670849750282241</v>
      </c>
      <c r="Z308">
        <v>0.30773725793329998</v>
      </c>
      <c r="AA308">
        <v>-3.4675196048556058</v>
      </c>
      <c r="AB308">
        <v>5.2528542371669141E-4</v>
      </c>
      <c r="AC308">
        <v>1.9979361876809331E-2</v>
      </c>
      <c r="AD308" t="s">
        <v>2851</v>
      </c>
      <c r="AE308" t="s">
        <v>2852</v>
      </c>
      <c r="AF308" t="s">
        <v>43</v>
      </c>
      <c r="AG308" t="s">
        <v>43</v>
      </c>
      <c r="AH308" t="s">
        <v>43</v>
      </c>
      <c r="AI308" t="s">
        <v>43</v>
      </c>
      <c r="AJ308" t="s">
        <v>43</v>
      </c>
      <c r="AK308" t="s">
        <v>43</v>
      </c>
      <c r="AL308" t="s">
        <v>43</v>
      </c>
      <c r="AM308" t="s">
        <v>43</v>
      </c>
      <c r="AN308" t="s">
        <v>43</v>
      </c>
    </row>
    <row r="309" spans="1:40" s="13" customFormat="1" x14ac:dyDescent="0.3">
      <c r="A309" t="s">
        <v>2854</v>
      </c>
      <c r="B309">
        <v>3749</v>
      </c>
      <c r="C309" t="str">
        <f>IF(Y309&lt;0, "Down", "Up")</f>
        <v>Down</v>
      </c>
      <c r="D309" s="7" t="str">
        <f>IF(AC309&lt;0.05, "Sig", "N")</f>
        <v>Sig</v>
      </c>
      <c r="E309" s="1" t="str">
        <f>IF(AND(H309&gt;2,J309&gt;2,L309&gt;2,N309&gt;2),"Y","N")</f>
        <v>Y</v>
      </c>
      <c r="F309" s="1" t="str">
        <f>IF(AND(P309&gt;2,R309&gt;2,T309&gt;2,V309&gt;2),"Y","N")</f>
        <v>N</v>
      </c>
      <c r="G309" s="1" t="str">
        <f>IF(OR(E309="Y", F309="Y"), "Expressed", "N")</f>
        <v>Expressed</v>
      </c>
      <c r="H309" s="8">
        <v>9.0649844429223574</v>
      </c>
      <c r="I309" s="8">
        <v>1512</v>
      </c>
      <c r="J309" s="8">
        <v>5.2542288157430059</v>
      </c>
      <c r="K309" s="8">
        <v>1963</v>
      </c>
      <c r="L309" s="8">
        <v>13.395327774440631</v>
      </c>
      <c r="M309" s="8">
        <v>3881</v>
      </c>
      <c r="N309" s="8">
        <v>5.5669404974484316</v>
      </c>
      <c r="O309" s="8">
        <v>960</v>
      </c>
      <c r="P309" s="9">
        <v>2.7041345072775829</v>
      </c>
      <c r="Q309" s="9">
        <v>1926</v>
      </c>
      <c r="R309" s="9">
        <v>11.673632391281449</v>
      </c>
      <c r="S309" s="9">
        <v>700</v>
      </c>
      <c r="T309" s="9">
        <v>7.181437298638313</v>
      </c>
      <c r="U309" s="9">
        <v>434</v>
      </c>
      <c r="V309" s="9">
        <v>1.152831961799355</v>
      </c>
      <c r="W309" s="9">
        <v>1541</v>
      </c>
      <c r="X309">
        <v>1412.270075890649</v>
      </c>
      <c r="Y309">
        <v>-0.7787640025210687</v>
      </c>
      <c r="Z309">
        <v>0.22928484479261399</v>
      </c>
      <c r="AA309">
        <v>-3.3964913957808829</v>
      </c>
      <c r="AB309">
        <v>6.825570324684384E-4</v>
      </c>
      <c r="AC309">
        <v>2.4013412740504201E-2</v>
      </c>
      <c r="AD309" t="s">
        <v>2855</v>
      </c>
      <c r="AE309" t="s">
        <v>2856</v>
      </c>
      <c r="AF309" t="s">
        <v>43</v>
      </c>
      <c r="AG309" t="s">
        <v>2857</v>
      </c>
      <c r="AH309" t="s">
        <v>43</v>
      </c>
      <c r="AI309" t="s">
        <v>43</v>
      </c>
      <c r="AJ309" t="s">
        <v>43</v>
      </c>
      <c r="AK309" t="s">
        <v>43</v>
      </c>
      <c r="AL309" t="s">
        <v>43</v>
      </c>
      <c r="AM309" t="s">
        <v>2858</v>
      </c>
      <c r="AN309" t="s">
        <v>43</v>
      </c>
    </row>
    <row r="310" spans="1:40" x14ac:dyDescent="0.3">
      <c r="A310" t="s">
        <v>2859</v>
      </c>
      <c r="B310">
        <v>833</v>
      </c>
      <c r="C310" t="str">
        <f>IF(Y310&lt;0, "Down", "Up")</f>
        <v>Down</v>
      </c>
      <c r="D310" s="7" t="str">
        <f>IF(AC310&lt;0.05, "Sig", "N")</f>
        <v>Sig</v>
      </c>
      <c r="E310" s="1" t="str">
        <f>IF(AND(H310&gt;2,J310&gt;2,L310&gt;2,N310&gt;2),"Y","N")</f>
        <v>Y</v>
      </c>
      <c r="F310" s="1" t="str">
        <f>IF(AND(P310&gt;2,R310&gt;2,T310&gt;2,V310&gt;2),"Y","N")</f>
        <v>N</v>
      </c>
      <c r="G310" s="1" t="str">
        <f>IF(OR(E310="Y", F310="Y"), "Expressed", "N")</f>
        <v>Expressed</v>
      </c>
      <c r="H310" s="8">
        <v>7.3662822928289131</v>
      </c>
      <c r="I310" s="8">
        <v>273</v>
      </c>
      <c r="J310" s="8">
        <v>5.2402062197141293</v>
      </c>
      <c r="K310" s="8">
        <v>435</v>
      </c>
      <c r="L310" s="8">
        <v>6.6485036305755774</v>
      </c>
      <c r="M310" s="8">
        <v>428</v>
      </c>
      <c r="N310" s="8">
        <v>3.2101172603627739</v>
      </c>
      <c r="O310" s="8">
        <v>123</v>
      </c>
      <c r="P310" s="9">
        <v>1.559310515377889</v>
      </c>
      <c r="Q310" s="9">
        <v>167</v>
      </c>
      <c r="R310" s="9">
        <v>4.555506182803752</v>
      </c>
      <c r="S310" s="9">
        <v>73</v>
      </c>
      <c r="T310" s="9">
        <v>3.3705954648935652</v>
      </c>
      <c r="U310" s="9">
        <v>24</v>
      </c>
      <c r="V310" s="9">
        <v>0.286918108980529</v>
      </c>
      <c r="W310" s="9">
        <v>57</v>
      </c>
      <c r="X310">
        <v>174.49516298050969</v>
      </c>
      <c r="Y310">
        <v>-1.858853408686268</v>
      </c>
      <c r="Z310">
        <v>0.36499200549987221</v>
      </c>
      <c r="AA310">
        <v>-5.0928606124961266</v>
      </c>
      <c r="AB310">
        <v>3.5270100431926368E-7</v>
      </c>
      <c r="AC310">
        <v>1.158132936682782E-4</v>
      </c>
      <c r="AD310" t="s">
        <v>2860</v>
      </c>
      <c r="AE310" t="s">
        <v>2861</v>
      </c>
      <c r="AF310" t="s">
        <v>2862</v>
      </c>
      <c r="AG310" t="s">
        <v>1204</v>
      </c>
      <c r="AH310" t="s">
        <v>43</v>
      </c>
      <c r="AI310" t="s">
        <v>43</v>
      </c>
      <c r="AJ310" t="s">
        <v>43</v>
      </c>
      <c r="AK310" t="s">
        <v>43</v>
      </c>
      <c r="AL310" t="s">
        <v>43</v>
      </c>
      <c r="AM310" t="s">
        <v>1205</v>
      </c>
      <c r="AN310" t="s">
        <v>43</v>
      </c>
    </row>
    <row r="311" spans="1:40" x14ac:dyDescent="0.3">
      <c r="A311" t="s">
        <v>2864</v>
      </c>
      <c r="B311">
        <v>2011</v>
      </c>
      <c r="C311" t="str">
        <f>IF(Y311&lt;0, "Down", "Up")</f>
        <v>Down</v>
      </c>
      <c r="D311" s="7" t="str">
        <f>IF(AC311&lt;0.05, "Sig", "N")</f>
        <v>Sig</v>
      </c>
      <c r="E311" s="1" t="str">
        <f>IF(AND(H311&gt;2,J311&gt;2,L311&gt;2,N311&gt;2),"Y","N")</f>
        <v>Y</v>
      </c>
      <c r="F311" s="1" t="str">
        <f>IF(AND(P311&gt;2,R311&gt;2,T311&gt;2,V311&gt;2),"Y","N")</f>
        <v>N</v>
      </c>
      <c r="G311" s="1" t="str">
        <f>IF(OR(E311="Y", F311="Y"), "Expressed", "N")</f>
        <v>Expressed</v>
      </c>
      <c r="H311" s="8">
        <v>10.774464031215</v>
      </c>
      <c r="I311" s="8">
        <v>964</v>
      </c>
      <c r="J311" s="8">
        <v>5.2294177272254547</v>
      </c>
      <c r="K311" s="8">
        <v>1048</v>
      </c>
      <c r="L311" s="8">
        <v>20.27502858689946</v>
      </c>
      <c r="M311" s="8">
        <v>3151</v>
      </c>
      <c r="N311" s="8">
        <v>7.8160443217136004</v>
      </c>
      <c r="O311" s="8">
        <v>723</v>
      </c>
      <c r="P311" s="9">
        <v>3.7966339267402121</v>
      </c>
      <c r="Q311" s="9">
        <v>964</v>
      </c>
      <c r="R311" s="9">
        <v>10.89256434182537</v>
      </c>
      <c r="S311" s="9">
        <v>230</v>
      </c>
      <c r="T311" s="9">
        <v>4.3989045531696087</v>
      </c>
      <c r="U311" s="9">
        <v>156</v>
      </c>
      <c r="V311" s="9">
        <v>0.77251024419446757</v>
      </c>
      <c r="W311" s="9">
        <v>708</v>
      </c>
      <c r="X311">
        <v>842.2973822806639</v>
      </c>
      <c r="Y311">
        <v>-1.533614082348947</v>
      </c>
      <c r="Z311">
        <v>0.30852682983000329</v>
      </c>
      <c r="AA311">
        <v>-4.9707640764790533</v>
      </c>
      <c r="AB311">
        <v>6.668955960049772E-7</v>
      </c>
      <c r="AC311">
        <v>1.7715444585111989E-4</v>
      </c>
      <c r="AD311" t="s">
        <v>2865</v>
      </c>
      <c r="AE311" t="s">
        <v>2866</v>
      </c>
      <c r="AF311" t="s">
        <v>2867</v>
      </c>
      <c r="AG311" t="s">
        <v>2868</v>
      </c>
      <c r="AH311" t="s">
        <v>43</v>
      </c>
      <c r="AI311" t="s">
        <v>43</v>
      </c>
      <c r="AJ311" t="s">
        <v>43</v>
      </c>
      <c r="AK311" t="s">
        <v>43</v>
      </c>
      <c r="AL311" t="s">
        <v>43</v>
      </c>
      <c r="AM311" t="s">
        <v>2869</v>
      </c>
      <c r="AN311" t="s">
        <v>43</v>
      </c>
    </row>
    <row r="312" spans="1:40" x14ac:dyDescent="0.3">
      <c r="A312" t="s">
        <v>2870</v>
      </c>
      <c r="B312">
        <v>2063</v>
      </c>
      <c r="C312" t="str">
        <f>IF(Y312&lt;0, "Down", "Up")</f>
        <v>Down</v>
      </c>
      <c r="D312" s="7" t="str">
        <f>IF(AC312&lt;0.05, "Sig", "N")</f>
        <v>Sig</v>
      </c>
      <c r="E312" s="1" t="str">
        <f>IF(AND(H312&gt;2,J312&gt;2,L312&gt;2,N312&gt;2),"Y","N")</f>
        <v>Y</v>
      </c>
      <c r="F312" s="1" t="str">
        <f>IF(AND(P312&gt;2,R312&gt;2,T312&gt;2,V312&gt;2),"Y","N")</f>
        <v>N</v>
      </c>
      <c r="G312" s="1" t="str">
        <f>IF(OR(E312="Y", F312="Y"), "Expressed", "N")</f>
        <v>Expressed</v>
      </c>
      <c r="H312" s="8">
        <v>9.4024770079253628</v>
      </c>
      <c r="I312" s="8">
        <v>863</v>
      </c>
      <c r="J312" s="8">
        <v>5.199751632665718</v>
      </c>
      <c r="K312" s="8">
        <v>1069</v>
      </c>
      <c r="L312" s="8">
        <v>19.67616398362026</v>
      </c>
      <c r="M312" s="8">
        <v>3137</v>
      </c>
      <c r="N312" s="8">
        <v>9.252435679275834</v>
      </c>
      <c r="O312" s="8">
        <v>878</v>
      </c>
      <c r="P312" s="9">
        <v>4.494359263973406</v>
      </c>
      <c r="Q312" s="9">
        <v>1250</v>
      </c>
      <c r="R312" s="9">
        <v>13.76816162975379</v>
      </c>
      <c r="S312" s="9">
        <v>389</v>
      </c>
      <c r="T312" s="9">
        <v>7.2523565405993136</v>
      </c>
      <c r="U312" s="9">
        <v>216</v>
      </c>
      <c r="V312" s="9">
        <v>1.0426684745647239</v>
      </c>
      <c r="W312" s="9">
        <v>891</v>
      </c>
      <c r="X312">
        <v>934.58087175372236</v>
      </c>
      <c r="Y312">
        <v>-1.0901365620325321</v>
      </c>
      <c r="Z312">
        <v>0.28564495513906912</v>
      </c>
      <c r="AA312">
        <v>-3.8164040443206431</v>
      </c>
      <c r="AB312">
        <v>1.3541070061165591E-4</v>
      </c>
      <c r="AC312">
        <v>8.2297680819042925E-3</v>
      </c>
      <c r="AD312" t="s">
        <v>2871</v>
      </c>
      <c r="AE312" t="s">
        <v>2872</v>
      </c>
      <c r="AF312" t="s">
        <v>2873</v>
      </c>
      <c r="AG312" t="s">
        <v>2874</v>
      </c>
      <c r="AH312" t="s">
        <v>43</v>
      </c>
      <c r="AI312" t="s">
        <v>43</v>
      </c>
      <c r="AJ312" t="s">
        <v>43</v>
      </c>
      <c r="AK312" t="s">
        <v>43</v>
      </c>
      <c r="AL312" t="s">
        <v>43</v>
      </c>
      <c r="AM312" t="s">
        <v>2875</v>
      </c>
      <c r="AN312" t="s">
        <v>43</v>
      </c>
    </row>
    <row r="313" spans="1:40" x14ac:dyDescent="0.3">
      <c r="A313" t="s">
        <v>2876</v>
      </c>
      <c r="B313">
        <v>1600</v>
      </c>
      <c r="C313" t="str">
        <f>IF(Y313&lt;0, "Down", "Up")</f>
        <v>Down</v>
      </c>
      <c r="D313" s="7" t="str">
        <f>IF(AC313&lt;0.05, "Sig", "N")</f>
        <v>Sig</v>
      </c>
      <c r="E313" s="1" t="str">
        <f>IF(AND(H313&gt;2,J313&gt;2,L313&gt;2,N313&gt;2),"Y","N")</f>
        <v>Y</v>
      </c>
      <c r="F313" s="1" t="str">
        <f>IF(AND(P313&gt;2,R313&gt;2,T313&gt;2,V313&gt;2),"Y","N")</f>
        <v>N</v>
      </c>
      <c r="G313" s="1" t="str">
        <f>IF(OR(E313="Y", F313="Y"), "Expressed", "N")</f>
        <v>Expressed</v>
      </c>
      <c r="H313" s="8">
        <v>5.6331991142869056</v>
      </c>
      <c r="I313" s="8">
        <v>401</v>
      </c>
      <c r="J313" s="8">
        <v>5.1929540153536031</v>
      </c>
      <c r="K313" s="8">
        <v>828</v>
      </c>
      <c r="L313" s="8">
        <v>8.1601158819916488</v>
      </c>
      <c r="M313" s="8">
        <v>1009</v>
      </c>
      <c r="N313" s="8">
        <v>5.8154666978332203</v>
      </c>
      <c r="O313" s="8">
        <v>428</v>
      </c>
      <c r="P313" s="9">
        <v>2.8248558037834668</v>
      </c>
      <c r="Q313" s="9">
        <v>654</v>
      </c>
      <c r="R313" s="9">
        <v>9.2880156035935375</v>
      </c>
      <c r="S313" s="9">
        <v>220</v>
      </c>
      <c r="T313" s="9">
        <v>5.2884873706883111</v>
      </c>
      <c r="U313" s="9">
        <v>147</v>
      </c>
      <c r="V313" s="9">
        <v>0.91493253548892606</v>
      </c>
      <c r="W313" s="9">
        <v>687</v>
      </c>
      <c r="X313">
        <v>474.40604427465257</v>
      </c>
      <c r="Y313">
        <v>-0.63060512762689802</v>
      </c>
      <c r="Z313">
        <v>0.151342169374725</v>
      </c>
      <c r="AA313">
        <v>-4.1667509474210869</v>
      </c>
      <c r="AB313">
        <v>3.0897173534752458E-5</v>
      </c>
      <c r="AC313">
        <v>2.8601776365530141E-3</v>
      </c>
      <c r="AD313" t="s">
        <v>2877</v>
      </c>
      <c r="AE313" t="s">
        <v>2878</v>
      </c>
      <c r="AF313" t="s">
        <v>2879</v>
      </c>
      <c r="AG313" t="s">
        <v>2880</v>
      </c>
      <c r="AH313" t="s">
        <v>43</v>
      </c>
      <c r="AI313" t="s">
        <v>43</v>
      </c>
      <c r="AJ313" t="s">
        <v>43</v>
      </c>
      <c r="AK313" t="s">
        <v>43</v>
      </c>
      <c r="AL313" t="s">
        <v>43</v>
      </c>
      <c r="AM313" t="s">
        <v>2881</v>
      </c>
      <c r="AN313" t="s">
        <v>43</v>
      </c>
    </row>
    <row r="314" spans="1:40" x14ac:dyDescent="0.3">
      <c r="A314" t="s">
        <v>2887</v>
      </c>
      <c r="B314">
        <v>743</v>
      </c>
      <c r="C314" t="str">
        <f>IF(Y314&lt;0, "Down", "Up")</f>
        <v>Down</v>
      </c>
      <c r="D314" s="7" t="str">
        <f>IF(AC314&lt;0.05, "Sig", "N")</f>
        <v>Sig</v>
      </c>
      <c r="E314" s="1" t="str">
        <f>IF(AND(H314&gt;2,J314&gt;2,L314&gt;2,N314&gt;2),"Y","N")</f>
        <v>Y</v>
      </c>
      <c r="F314" s="1" t="str">
        <f>IF(AND(P314&gt;2,R314&gt;2,T314&gt;2,V314&gt;2),"Y","N")</f>
        <v>N</v>
      </c>
      <c r="G314" s="1" t="str">
        <f>IF(OR(E314="Y", F314="Y"), "Expressed", "N")</f>
        <v>Expressed</v>
      </c>
      <c r="H314" s="8">
        <v>10.34589352774791</v>
      </c>
      <c r="I314" s="8">
        <v>342</v>
      </c>
      <c r="J314" s="8">
        <v>5.1591561403763988</v>
      </c>
      <c r="K314" s="8">
        <v>382</v>
      </c>
      <c r="L314" s="8">
        <v>23.19746636623098</v>
      </c>
      <c r="M314" s="8">
        <v>1332</v>
      </c>
      <c r="N314" s="8">
        <v>3.5697006937555651</v>
      </c>
      <c r="O314" s="8">
        <v>122</v>
      </c>
      <c r="P314" s="9">
        <v>1.733977726376186</v>
      </c>
      <c r="Q314" s="9">
        <v>228</v>
      </c>
      <c r="R314" s="9">
        <v>6.9728641473136079</v>
      </c>
      <c r="S314" s="9">
        <v>8</v>
      </c>
      <c r="T314" s="9">
        <v>0.41412356750771062</v>
      </c>
      <c r="U314" s="9">
        <v>23</v>
      </c>
      <c r="V314" s="9">
        <v>0.30826963043730121</v>
      </c>
      <c r="W314" s="9">
        <v>80</v>
      </c>
      <c r="X314">
        <v>249.6474843272899</v>
      </c>
      <c r="Y314">
        <v>-2.7565636088013692</v>
      </c>
      <c r="Z314">
        <v>0.81791920421065822</v>
      </c>
      <c r="AA314">
        <v>-3.3702150464380169</v>
      </c>
      <c r="AB314">
        <v>7.5109543478747687E-4</v>
      </c>
      <c r="AC314">
        <v>2.5513331244475461E-2</v>
      </c>
      <c r="AD314" t="s">
        <v>2888</v>
      </c>
      <c r="AE314" t="s">
        <v>2889</v>
      </c>
      <c r="AF314" t="s">
        <v>2890</v>
      </c>
      <c r="AG314" t="s">
        <v>2891</v>
      </c>
      <c r="AH314" t="s">
        <v>43</v>
      </c>
      <c r="AI314" t="s">
        <v>43</v>
      </c>
      <c r="AJ314" t="s">
        <v>43</v>
      </c>
      <c r="AK314" t="s">
        <v>43</v>
      </c>
      <c r="AL314" t="s">
        <v>43</v>
      </c>
      <c r="AM314" t="s">
        <v>2892</v>
      </c>
      <c r="AN314" t="s">
        <v>43</v>
      </c>
    </row>
    <row r="315" spans="1:40" x14ac:dyDescent="0.3">
      <c r="A315" t="s">
        <v>2898</v>
      </c>
      <c r="B315">
        <v>1859</v>
      </c>
      <c r="C315" t="str">
        <f>IF(Y315&lt;0, "Down", "Up")</f>
        <v>Down</v>
      </c>
      <c r="D315" s="7" t="str">
        <f>IF(AC315&lt;0.05, "Sig", "N")</f>
        <v>Sig</v>
      </c>
      <c r="E315" s="1" t="str">
        <f>IF(AND(H315&gt;2,J315&gt;2,L315&gt;2,N315&gt;2),"Y","N")</f>
        <v>Y</v>
      </c>
      <c r="F315" s="1" t="str">
        <f>IF(AND(P315&gt;2,R315&gt;2,T315&gt;2,V315&gt;2),"Y","N")</f>
        <v>N</v>
      </c>
      <c r="G315" s="1" t="str">
        <f>IF(OR(E315="Y", F315="Y"), "Expressed", "N")</f>
        <v>Expressed</v>
      </c>
      <c r="H315" s="8">
        <v>8.1491294958502056</v>
      </c>
      <c r="I315" s="8">
        <v>674</v>
      </c>
      <c r="J315" s="8">
        <v>5.1334016975531247</v>
      </c>
      <c r="K315" s="8">
        <v>951</v>
      </c>
      <c r="L315" s="8">
        <v>7.1137180599098402</v>
      </c>
      <c r="M315" s="8">
        <v>1022</v>
      </c>
      <c r="N315" s="8">
        <v>5.5314951724122867</v>
      </c>
      <c r="O315" s="8">
        <v>473</v>
      </c>
      <c r="P315" s="9">
        <v>2.686916984188223</v>
      </c>
      <c r="Q315" s="9">
        <v>860</v>
      </c>
      <c r="R315" s="9">
        <v>10.51197288876884</v>
      </c>
      <c r="S315" s="9">
        <v>289</v>
      </c>
      <c r="T315" s="9">
        <v>5.9792570790901154</v>
      </c>
      <c r="U315" s="9">
        <v>205</v>
      </c>
      <c r="V315" s="9">
        <v>1.098161441636633</v>
      </c>
      <c r="W315" s="9">
        <v>829</v>
      </c>
      <c r="X315">
        <v>595.53992024898866</v>
      </c>
      <c r="Y315">
        <v>-0.54440389868551387</v>
      </c>
      <c r="Z315">
        <v>0.1718721925935916</v>
      </c>
      <c r="AA315">
        <v>-3.167492602906449</v>
      </c>
      <c r="AB315">
        <v>1.537596216881542E-3</v>
      </c>
      <c r="AC315">
        <v>3.9835502092602407E-2</v>
      </c>
      <c r="AD315" t="s">
        <v>2899</v>
      </c>
      <c r="AE315" t="s">
        <v>2900</v>
      </c>
      <c r="AF315" t="s">
        <v>2901</v>
      </c>
      <c r="AG315" t="s">
        <v>2902</v>
      </c>
      <c r="AH315" t="s">
        <v>43</v>
      </c>
      <c r="AI315" t="s">
        <v>43</v>
      </c>
      <c r="AJ315" t="s">
        <v>43</v>
      </c>
      <c r="AK315" t="s">
        <v>43</v>
      </c>
      <c r="AL315" t="s">
        <v>43</v>
      </c>
      <c r="AM315" t="s">
        <v>2903</v>
      </c>
      <c r="AN315" t="s">
        <v>43</v>
      </c>
    </row>
    <row r="316" spans="1:40" x14ac:dyDescent="0.3">
      <c r="A316" t="s">
        <v>2904</v>
      </c>
      <c r="B316">
        <v>1815</v>
      </c>
      <c r="C316" t="str">
        <f>IF(Y316&lt;0, "Down", "Up")</f>
        <v>Down</v>
      </c>
      <c r="D316" s="7" t="str">
        <f>IF(AC316&lt;0.05, "Sig", "N")</f>
        <v>Sig</v>
      </c>
      <c r="E316" s="1" t="str">
        <f>IF(AND(H316&gt;2,J316&gt;2,L316&gt;2,N316&gt;2),"Y","N")</f>
        <v>Y</v>
      </c>
      <c r="F316" s="1" t="str">
        <f>IF(AND(P316&gt;2,R316&gt;2,T316&gt;2,V316&gt;2),"Y","N")</f>
        <v>N</v>
      </c>
      <c r="G316" s="1" t="str">
        <f>IF(OR(E316="Y", F316="Y"), "Expressed", "N")</f>
        <v>Expressed</v>
      </c>
      <c r="H316" s="8">
        <v>7.702726322675856</v>
      </c>
      <c r="I316" s="8">
        <v>622</v>
      </c>
      <c r="J316" s="8">
        <v>5.1196288771429037</v>
      </c>
      <c r="K316" s="8">
        <v>926</v>
      </c>
      <c r="L316" s="8">
        <v>9.4178404978758934</v>
      </c>
      <c r="M316" s="8">
        <v>1321</v>
      </c>
      <c r="N316" s="8">
        <v>6.5160297286295856</v>
      </c>
      <c r="O316" s="8">
        <v>544</v>
      </c>
      <c r="P316" s="9">
        <v>3.1651534353043562</v>
      </c>
      <c r="Q316" s="9">
        <v>779</v>
      </c>
      <c r="R316" s="9">
        <v>9.7527254600373929</v>
      </c>
      <c r="S316" s="9">
        <v>351</v>
      </c>
      <c r="T316" s="9">
        <v>7.4380528609530563</v>
      </c>
      <c r="U316" s="9">
        <v>203</v>
      </c>
      <c r="V316" s="9">
        <v>1.113810039267642</v>
      </c>
      <c r="W316" s="9">
        <v>814</v>
      </c>
      <c r="X316">
        <v>624.32774947752648</v>
      </c>
      <c r="Y316">
        <v>-0.62964734994187865</v>
      </c>
      <c r="Z316">
        <v>0.15498247597801609</v>
      </c>
      <c r="AA316">
        <v>-4.0627002889745603</v>
      </c>
      <c r="AB316">
        <v>4.8508295055474292E-5</v>
      </c>
      <c r="AC316">
        <v>3.9959341871133218E-3</v>
      </c>
      <c r="AD316" t="s">
        <v>2905</v>
      </c>
      <c r="AE316" t="s">
        <v>2906</v>
      </c>
      <c r="AF316" t="s">
        <v>2907</v>
      </c>
      <c r="AG316" t="s">
        <v>2908</v>
      </c>
      <c r="AH316" t="s">
        <v>43</v>
      </c>
      <c r="AI316" t="s">
        <v>43</v>
      </c>
      <c r="AJ316" t="s">
        <v>43</v>
      </c>
      <c r="AK316" t="s">
        <v>43</v>
      </c>
      <c r="AL316" t="s">
        <v>43</v>
      </c>
      <c r="AM316" t="s">
        <v>2909</v>
      </c>
      <c r="AN316" t="s">
        <v>2910</v>
      </c>
    </row>
    <row r="317" spans="1:40" x14ac:dyDescent="0.3">
      <c r="A317" t="s">
        <v>2911</v>
      </c>
      <c r="B317">
        <v>1974</v>
      </c>
      <c r="C317" t="str">
        <f>IF(Y317&lt;0, "Down", "Up")</f>
        <v>Down</v>
      </c>
      <c r="D317" s="7" t="str">
        <f>IF(AC317&lt;0.05, "Sig", "N")</f>
        <v>Sig</v>
      </c>
      <c r="E317" s="1" t="str">
        <f>IF(AND(H317&gt;2,J317&gt;2,L317&gt;2,N317&gt;2),"Y","N")</f>
        <v>Y</v>
      </c>
      <c r="F317" s="1" t="str">
        <f>IF(AND(P317&gt;2,R317&gt;2,T317&gt;2,V317&gt;2),"Y","N")</f>
        <v>N</v>
      </c>
      <c r="G317" s="1" t="str">
        <f>IF(OR(E317="Y", F317="Y"), "Expressed", "N")</f>
        <v>Expressed</v>
      </c>
      <c r="H317" s="8">
        <v>6.9114990888981227</v>
      </c>
      <c r="I317" s="8">
        <v>607</v>
      </c>
      <c r="J317" s="8">
        <v>5.0935983469982338</v>
      </c>
      <c r="K317" s="8">
        <v>1002</v>
      </c>
      <c r="L317" s="8">
        <v>9.5179761161918606</v>
      </c>
      <c r="M317" s="8">
        <v>1452</v>
      </c>
      <c r="N317" s="8">
        <v>7.4008723138064454</v>
      </c>
      <c r="O317" s="8">
        <v>672</v>
      </c>
      <c r="P317" s="9">
        <v>3.5949646339658359</v>
      </c>
      <c r="Q317" s="9">
        <v>837</v>
      </c>
      <c r="R317" s="9">
        <v>9.6348172235486906</v>
      </c>
      <c r="S317" s="9">
        <v>357</v>
      </c>
      <c r="T317" s="9">
        <v>6.9558441239227298</v>
      </c>
      <c r="U317" s="9">
        <v>241</v>
      </c>
      <c r="V317" s="9">
        <v>1.215798529469946</v>
      </c>
      <c r="W317" s="9">
        <v>1083</v>
      </c>
      <c r="X317">
        <v>696.93831441380007</v>
      </c>
      <c r="Y317">
        <v>-0.55758535859708802</v>
      </c>
      <c r="Z317">
        <v>0.16404963113092511</v>
      </c>
      <c r="AA317">
        <v>-3.398882123374535</v>
      </c>
      <c r="AB317">
        <v>6.7661871088673417E-4</v>
      </c>
      <c r="AC317">
        <v>2.383996954215227E-2</v>
      </c>
      <c r="AD317" t="s">
        <v>2912</v>
      </c>
      <c r="AE317" t="s">
        <v>2913</v>
      </c>
      <c r="AF317" t="s">
        <v>2914</v>
      </c>
      <c r="AG317" t="s">
        <v>2915</v>
      </c>
      <c r="AH317" t="s">
        <v>43</v>
      </c>
      <c r="AI317" t="s">
        <v>43</v>
      </c>
      <c r="AJ317" t="s">
        <v>43</v>
      </c>
      <c r="AK317" t="s">
        <v>43</v>
      </c>
      <c r="AL317" t="s">
        <v>43</v>
      </c>
      <c r="AM317" t="s">
        <v>2916</v>
      </c>
      <c r="AN317" t="s">
        <v>43</v>
      </c>
    </row>
    <row r="318" spans="1:40" x14ac:dyDescent="0.3">
      <c r="A318" t="s">
        <v>2917</v>
      </c>
      <c r="B318">
        <v>1449</v>
      </c>
      <c r="C318" t="str">
        <f>IF(Y318&lt;0, "Down", "Up")</f>
        <v>Down</v>
      </c>
      <c r="D318" s="7" t="str">
        <f>IF(AC318&lt;0.05, "Sig", "N")</f>
        <v>Sig</v>
      </c>
      <c r="E318" s="1" t="str">
        <f>IF(AND(H318&gt;2,J318&gt;2,L318&gt;2,N318&gt;2),"Y","N")</f>
        <v>Y</v>
      </c>
      <c r="F318" s="1" t="str">
        <f>IF(AND(P318&gt;2,R318&gt;2,T318&gt;2,V318&gt;2),"Y","N")</f>
        <v>N</v>
      </c>
      <c r="G318" s="1" t="str">
        <f>IF(OR(E318="Y", F318="Y"), "Expressed", "N")</f>
        <v>Expressed</v>
      </c>
      <c r="H318" s="8">
        <v>4.9327538802221111</v>
      </c>
      <c r="I318" s="8">
        <v>318</v>
      </c>
      <c r="J318" s="8">
        <v>5.0554357744079779</v>
      </c>
      <c r="K318" s="8">
        <v>730</v>
      </c>
      <c r="L318" s="8">
        <v>5.0097911178111314</v>
      </c>
      <c r="M318" s="8">
        <v>561</v>
      </c>
      <c r="N318" s="8">
        <v>3.8108874086534388</v>
      </c>
      <c r="O318" s="8">
        <v>254</v>
      </c>
      <c r="P318" s="9">
        <v>1.851133876823851</v>
      </c>
      <c r="Q318" s="9">
        <v>476</v>
      </c>
      <c r="R318" s="9">
        <v>7.4645518302159646</v>
      </c>
      <c r="S318" s="9">
        <v>150</v>
      </c>
      <c r="T318" s="9">
        <v>3.981545168972942</v>
      </c>
      <c r="U318" s="9">
        <v>126</v>
      </c>
      <c r="V318" s="9">
        <v>0.86595211877094447</v>
      </c>
      <c r="W318" s="9">
        <v>402</v>
      </c>
      <c r="X318">
        <v>332.39223456941158</v>
      </c>
      <c r="Y318">
        <v>-0.61782031827724349</v>
      </c>
      <c r="Z318">
        <v>0.17763128595937691</v>
      </c>
      <c r="AA318">
        <v>-3.47810530639594</v>
      </c>
      <c r="AB318">
        <v>5.0497149955144351E-4</v>
      </c>
      <c r="AC318">
        <v>1.941225397137435E-2</v>
      </c>
      <c r="AD318" t="s">
        <v>2918</v>
      </c>
      <c r="AE318" t="s">
        <v>2919</v>
      </c>
      <c r="AF318" t="s">
        <v>43</v>
      </c>
      <c r="AG318" t="s">
        <v>43</v>
      </c>
      <c r="AH318" t="s">
        <v>43</v>
      </c>
      <c r="AI318" t="s">
        <v>43</v>
      </c>
      <c r="AJ318" t="s">
        <v>43</v>
      </c>
      <c r="AK318" t="s">
        <v>43</v>
      </c>
      <c r="AL318" t="s">
        <v>43</v>
      </c>
      <c r="AM318" t="s">
        <v>43</v>
      </c>
      <c r="AN318" t="s">
        <v>43</v>
      </c>
    </row>
    <row r="319" spans="1:40" x14ac:dyDescent="0.3">
      <c r="A319" t="s">
        <v>2920</v>
      </c>
      <c r="B319">
        <v>1199</v>
      </c>
      <c r="C319" t="str">
        <f>IF(Y319&lt;0, "Down", "Up")</f>
        <v>Down</v>
      </c>
      <c r="D319" s="7" t="str">
        <f>IF(AC319&lt;0.05, "Sig", "N")</f>
        <v>Sig</v>
      </c>
      <c r="E319" s="1" t="str">
        <f>IF(AND(H319&gt;2,J319&gt;2,L319&gt;2,N319&gt;2),"Y","N")</f>
        <v>Y</v>
      </c>
      <c r="F319" s="1" t="str">
        <f>IF(AND(P319&gt;2,R319&gt;2,T319&gt;2,V319&gt;2),"Y","N")</f>
        <v>N</v>
      </c>
      <c r="G319" s="1" t="str">
        <f>IF(OR(E319="Y", F319="Y"), "Expressed", "N")</f>
        <v>Expressed</v>
      </c>
      <c r="H319" s="8">
        <v>2.9243956391881261</v>
      </c>
      <c r="I319" s="8">
        <v>156</v>
      </c>
      <c r="J319" s="8">
        <v>4.9880546077459842</v>
      </c>
      <c r="K319" s="8">
        <v>596</v>
      </c>
      <c r="L319" s="8">
        <v>6.8637755790171209</v>
      </c>
      <c r="M319" s="8">
        <v>636</v>
      </c>
      <c r="N319" s="8">
        <v>6.998885817195398</v>
      </c>
      <c r="O319" s="8">
        <v>386</v>
      </c>
      <c r="P319" s="9">
        <v>3.3997001871042638</v>
      </c>
      <c r="Q319" s="9">
        <v>81</v>
      </c>
      <c r="R319" s="9">
        <v>1.5350799751904911</v>
      </c>
      <c r="S319" s="9">
        <v>46</v>
      </c>
      <c r="T319" s="9">
        <v>1.4755958392700721</v>
      </c>
      <c r="U319" s="9">
        <v>23</v>
      </c>
      <c r="V319" s="9">
        <v>0.19102947073804399</v>
      </c>
      <c r="W319" s="9">
        <v>167</v>
      </c>
      <c r="X319">
        <v>225.23983514879509</v>
      </c>
      <c r="Y319">
        <v>-2.479494920874048</v>
      </c>
      <c r="Z319">
        <v>0.31034078103333362</v>
      </c>
      <c r="AA319">
        <v>-7.9895878093047834</v>
      </c>
      <c r="AB319">
        <v>1.353906637913201E-15</v>
      </c>
      <c r="AC319">
        <v>8.0022651833859761E-12</v>
      </c>
      <c r="AD319" t="s">
        <v>2921</v>
      </c>
      <c r="AE319" t="s">
        <v>2922</v>
      </c>
      <c r="AF319" t="s">
        <v>2923</v>
      </c>
      <c r="AG319" t="s">
        <v>2924</v>
      </c>
      <c r="AH319" t="s">
        <v>43</v>
      </c>
      <c r="AI319" t="s">
        <v>43</v>
      </c>
      <c r="AJ319" t="s">
        <v>43</v>
      </c>
      <c r="AK319" t="s">
        <v>43</v>
      </c>
      <c r="AL319" t="s">
        <v>43</v>
      </c>
      <c r="AM319" t="s">
        <v>2925</v>
      </c>
      <c r="AN319" t="s">
        <v>43</v>
      </c>
    </row>
    <row r="320" spans="1:40" x14ac:dyDescent="0.3">
      <c r="A320" t="s">
        <v>2926</v>
      </c>
      <c r="B320">
        <v>1869</v>
      </c>
      <c r="C320" t="str">
        <f>IF(Y320&lt;0, "Down", "Up")</f>
        <v>Down</v>
      </c>
      <c r="D320" s="7" t="str">
        <f>IF(AC320&lt;0.05, "Sig", "N")</f>
        <v>Sig</v>
      </c>
      <c r="E320" s="1" t="str">
        <f>IF(AND(H320&gt;2,J320&gt;2,L320&gt;2,N320&gt;2),"Y","N")</f>
        <v>Y</v>
      </c>
      <c r="F320" s="1" t="str">
        <f>IF(AND(P320&gt;2,R320&gt;2,T320&gt;2,V320&gt;2),"Y","N")</f>
        <v>N</v>
      </c>
      <c r="G320" s="1" t="str">
        <f>IF(OR(E320="Y", F320="Y"), "Expressed", "N")</f>
        <v>Expressed</v>
      </c>
      <c r="H320" s="8">
        <v>5.6161447347324254</v>
      </c>
      <c r="I320" s="8">
        <v>467</v>
      </c>
      <c r="J320" s="8">
        <v>4.9878172783642576</v>
      </c>
      <c r="K320" s="8">
        <v>929</v>
      </c>
      <c r="L320" s="8">
        <v>5.3171273391225036</v>
      </c>
      <c r="M320" s="8">
        <v>768</v>
      </c>
      <c r="N320" s="8">
        <v>4.6527688436182837</v>
      </c>
      <c r="O320" s="8">
        <v>400</v>
      </c>
      <c r="P320" s="9">
        <v>2.260076749550485</v>
      </c>
      <c r="Q320" s="9">
        <v>621</v>
      </c>
      <c r="R320" s="9">
        <v>7.5500090022878839</v>
      </c>
      <c r="S320" s="9">
        <v>208</v>
      </c>
      <c r="T320" s="9">
        <v>4.2803847389587766</v>
      </c>
      <c r="U320" s="9">
        <v>157</v>
      </c>
      <c r="V320" s="9">
        <v>0.83653105962597119</v>
      </c>
      <c r="W320" s="9">
        <v>544</v>
      </c>
      <c r="X320">
        <v>456.80263805437397</v>
      </c>
      <c r="Y320">
        <v>-0.71313004233022137</v>
      </c>
      <c r="Z320">
        <v>0.15049504220826901</v>
      </c>
      <c r="AA320">
        <v>-4.7385616952306373</v>
      </c>
      <c r="AB320">
        <v>2.1524049959649471E-6</v>
      </c>
      <c r="AC320">
        <v>3.9143968395848679E-4</v>
      </c>
      <c r="AD320" t="s">
        <v>2927</v>
      </c>
      <c r="AE320" t="s">
        <v>2928</v>
      </c>
      <c r="AF320" t="s">
        <v>2929</v>
      </c>
      <c r="AG320" t="s">
        <v>2930</v>
      </c>
      <c r="AH320" t="s">
        <v>991</v>
      </c>
      <c r="AI320" t="s">
        <v>2931</v>
      </c>
      <c r="AK320" t="s">
        <v>1017</v>
      </c>
      <c r="AL320" t="s">
        <v>1882</v>
      </c>
      <c r="AM320" t="s">
        <v>2932</v>
      </c>
      <c r="AN320" t="s">
        <v>43</v>
      </c>
    </row>
    <row r="321" spans="1:40" x14ac:dyDescent="0.3">
      <c r="A321" t="s">
        <v>2933</v>
      </c>
      <c r="B321">
        <v>971</v>
      </c>
      <c r="C321" t="str">
        <f>IF(Y321&lt;0, "Down", "Up")</f>
        <v>Down</v>
      </c>
      <c r="D321" s="7" t="str">
        <f>IF(AC321&lt;0.05, "Sig", "N")</f>
        <v>Sig</v>
      </c>
      <c r="E321" s="1" t="str">
        <f>IF(AND(H321&gt;2,J321&gt;2,L321&gt;2,N321&gt;2),"Y","N")</f>
        <v>Y</v>
      </c>
      <c r="F321" s="1" t="str">
        <f>IF(AND(P321&gt;2,R321&gt;2,T321&gt;2,V321&gt;2),"Y","N")</f>
        <v>N</v>
      </c>
      <c r="G321" s="1" t="str">
        <f>IF(OR(E321="Y", F321="Y"), "Expressed", "N")</f>
        <v>Expressed</v>
      </c>
      <c r="H321" s="8">
        <v>11.85172165986638</v>
      </c>
      <c r="I321" s="8">
        <v>512</v>
      </c>
      <c r="J321" s="8">
        <v>4.9605077237366322</v>
      </c>
      <c r="K321" s="8">
        <v>480</v>
      </c>
      <c r="L321" s="8">
        <v>19.709431004731911</v>
      </c>
      <c r="M321" s="8">
        <v>1479</v>
      </c>
      <c r="N321" s="8">
        <v>5.261498114443369</v>
      </c>
      <c r="O321" s="8">
        <v>235</v>
      </c>
      <c r="P321" s="9">
        <v>2.5557662449892291</v>
      </c>
      <c r="Q321" s="9">
        <v>322</v>
      </c>
      <c r="R321" s="9">
        <v>7.5353219496458319</v>
      </c>
      <c r="S321" s="9">
        <v>132</v>
      </c>
      <c r="T321" s="9">
        <v>5.2285765971789679</v>
      </c>
      <c r="U321" s="9">
        <v>124</v>
      </c>
      <c r="V321" s="9">
        <v>1.271727828390697</v>
      </c>
      <c r="W321" s="9">
        <v>269</v>
      </c>
      <c r="X321">
        <v>390.91523876731321</v>
      </c>
      <c r="Y321">
        <v>-1.445746522581109</v>
      </c>
      <c r="Z321">
        <v>0.3498103576627935</v>
      </c>
      <c r="AA321">
        <v>-4.1329437248246519</v>
      </c>
      <c r="AB321">
        <v>3.5814643967880749E-5</v>
      </c>
      <c r="AC321">
        <v>3.2073098965478661E-3</v>
      </c>
      <c r="AD321" t="s">
        <v>2934</v>
      </c>
      <c r="AE321" t="s">
        <v>2935</v>
      </c>
      <c r="AF321" t="s">
        <v>2936</v>
      </c>
      <c r="AG321" t="s">
        <v>2937</v>
      </c>
      <c r="AH321" t="s">
        <v>43</v>
      </c>
      <c r="AI321" t="s">
        <v>43</v>
      </c>
      <c r="AJ321" t="s">
        <v>43</v>
      </c>
      <c r="AK321" t="s">
        <v>43</v>
      </c>
      <c r="AL321" t="s">
        <v>43</v>
      </c>
      <c r="AM321" t="s">
        <v>2938</v>
      </c>
      <c r="AN321" t="s">
        <v>43</v>
      </c>
    </row>
    <row r="322" spans="1:40" x14ac:dyDescent="0.3">
      <c r="A322" t="s">
        <v>2954</v>
      </c>
      <c r="B322">
        <v>1679</v>
      </c>
      <c r="C322" t="str">
        <f>IF(Y322&lt;0, "Down", "Up")</f>
        <v>Down</v>
      </c>
      <c r="D322" s="7" t="str">
        <f>IF(AC322&lt;0.05, "Sig", "N")</f>
        <v>Sig</v>
      </c>
      <c r="E322" s="1" t="str">
        <f>IF(AND(H322&gt;2,J322&gt;2,L322&gt;2,N322&gt;2),"Y","N")</f>
        <v>Y</v>
      </c>
      <c r="F322" s="1" t="str">
        <f>IF(AND(P322&gt;2,R322&gt;2,T322&gt;2,V322&gt;2),"Y","N")</f>
        <v>N</v>
      </c>
      <c r="G322" s="1" t="str">
        <f>IF(OR(E322="Y", F322="Y"), "Expressed", "N")</f>
        <v>Expressed</v>
      </c>
      <c r="H322" s="8">
        <v>5.4618551622826379</v>
      </c>
      <c r="I322" s="8">
        <v>408</v>
      </c>
      <c r="J322" s="8">
        <v>4.9366629166568279</v>
      </c>
      <c r="K322" s="8">
        <v>826</v>
      </c>
      <c r="L322" s="8">
        <v>6.4274764953002821</v>
      </c>
      <c r="M322" s="8">
        <v>834</v>
      </c>
      <c r="N322" s="8">
        <v>5.010961380130488</v>
      </c>
      <c r="O322" s="8">
        <v>387</v>
      </c>
      <c r="P322" s="9">
        <v>2.434068334097848</v>
      </c>
      <c r="Q322" s="9">
        <v>685</v>
      </c>
      <c r="R322" s="9">
        <v>9.2705402967931967</v>
      </c>
      <c r="S322" s="9">
        <v>258</v>
      </c>
      <c r="T322" s="9">
        <v>5.9101401987658626</v>
      </c>
      <c r="U322" s="9">
        <v>178</v>
      </c>
      <c r="V322" s="9">
        <v>1.055749843433069</v>
      </c>
      <c r="W322" s="9">
        <v>734</v>
      </c>
      <c r="X322">
        <v>476.11351907573629</v>
      </c>
      <c r="Y322">
        <v>-0.3692241345282738</v>
      </c>
      <c r="Z322">
        <v>0.11993392263980331</v>
      </c>
      <c r="AA322">
        <v>-3.0785629820277109</v>
      </c>
      <c r="AB322">
        <v>2.0800155785038361E-3</v>
      </c>
      <c r="AC322">
        <v>4.7518481159384902E-2</v>
      </c>
      <c r="AD322" t="s">
        <v>2955</v>
      </c>
      <c r="AE322" t="s">
        <v>2956</v>
      </c>
      <c r="AF322" t="s">
        <v>2957</v>
      </c>
      <c r="AG322" t="s">
        <v>2958</v>
      </c>
      <c r="AH322" t="s">
        <v>43</v>
      </c>
      <c r="AI322" t="s">
        <v>43</v>
      </c>
      <c r="AJ322" t="s">
        <v>43</v>
      </c>
      <c r="AK322" t="s">
        <v>43</v>
      </c>
      <c r="AL322" t="s">
        <v>43</v>
      </c>
      <c r="AM322" t="s">
        <v>2959</v>
      </c>
      <c r="AN322" t="s">
        <v>542</v>
      </c>
    </row>
    <row r="323" spans="1:40" x14ac:dyDescent="0.3">
      <c r="A323" t="s">
        <v>2972</v>
      </c>
      <c r="B323">
        <v>2972</v>
      </c>
      <c r="C323" t="str">
        <f>IF(Y323&lt;0, "Down", "Up")</f>
        <v>Down</v>
      </c>
      <c r="D323" s="7" t="str">
        <f>IF(AC323&lt;0.05, "Sig", "N")</f>
        <v>Sig</v>
      </c>
      <c r="E323" s="1" t="str">
        <f>IF(AND(H323&gt;2,J323&gt;2,L323&gt;2,N323&gt;2),"Y","N")</f>
        <v>Y</v>
      </c>
      <c r="F323" s="1" t="str">
        <f>IF(AND(P323&gt;2,R323&gt;2,T323&gt;2,V323&gt;2),"Y","N")</f>
        <v>N</v>
      </c>
      <c r="G323" s="1" t="str">
        <f>IF(OR(E323="Y", F323="Y"), "Expressed", "N")</f>
        <v>Expressed</v>
      </c>
      <c r="H323" s="8">
        <v>6.3754300028446531</v>
      </c>
      <c r="I323" s="8">
        <v>843</v>
      </c>
      <c r="J323" s="8">
        <v>4.8350206760595578</v>
      </c>
      <c r="K323" s="8">
        <v>1432</v>
      </c>
      <c r="L323" s="8">
        <v>11.00225178443425</v>
      </c>
      <c r="M323" s="8">
        <v>2527</v>
      </c>
      <c r="N323" s="8">
        <v>4.3450865001860768</v>
      </c>
      <c r="O323" s="8">
        <v>594</v>
      </c>
      <c r="P323" s="9">
        <v>2.110620429236588</v>
      </c>
      <c r="Q323" s="9">
        <v>1258</v>
      </c>
      <c r="R323" s="9">
        <v>9.6182709400444271</v>
      </c>
      <c r="S323" s="9">
        <v>387</v>
      </c>
      <c r="T323" s="9">
        <v>5.0083068945463749</v>
      </c>
      <c r="U323" s="9">
        <v>218</v>
      </c>
      <c r="V323" s="9">
        <v>0.73046499386230068</v>
      </c>
      <c r="W323" s="9">
        <v>1058</v>
      </c>
      <c r="X323">
        <v>875.5909271616041</v>
      </c>
      <c r="Y323">
        <v>-0.85229185271367924</v>
      </c>
      <c r="Z323">
        <v>0.23577998513290699</v>
      </c>
      <c r="AA323">
        <v>-3.6147760898078358</v>
      </c>
      <c r="AB323">
        <v>3.0060731494808908E-4</v>
      </c>
      <c r="AC323">
        <v>1.37465341199279E-2</v>
      </c>
      <c r="AD323" t="s">
        <v>2973</v>
      </c>
      <c r="AE323" t="s">
        <v>2974</v>
      </c>
      <c r="AF323" t="s">
        <v>2975</v>
      </c>
      <c r="AG323" t="s">
        <v>2976</v>
      </c>
      <c r="AH323" t="s">
        <v>43</v>
      </c>
      <c r="AI323" t="s">
        <v>43</v>
      </c>
      <c r="AJ323" t="s">
        <v>43</v>
      </c>
      <c r="AK323" t="s">
        <v>43</v>
      </c>
      <c r="AL323" t="s">
        <v>43</v>
      </c>
      <c r="AM323" t="s">
        <v>2977</v>
      </c>
      <c r="AN323" t="s">
        <v>43</v>
      </c>
    </row>
    <row r="324" spans="1:40" x14ac:dyDescent="0.3">
      <c r="A324" t="s">
        <v>2978</v>
      </c>
      <c r="B324">
        <v>1311</v>
      </c>
      <c r="C324" t="str">
        <f>IF(Y324&lt;0, "Down", "Up")</f>
        <v>Down</v>
      </c>
      <c r="D324" s="7" t="str">
        <f>IF(AC324&lt;0.05, "Sig", "N")</f>
        <v>Sig</v>
      </c>
      <c r="E324" s="1" t="str">
        <f>IF(AND(H324&gt;2,J324&gt;2,L324&gt;2,N324&gt;2),"Y","N")</f>
        <v>Y</v>
      </c>
      <c r="F324" s="1" t="str">
        <f>IF(AND(P324&gt;2,R324&gt;2,T324&gt;2,V324&gt;2),"Y","N")</f>
        <v>N</v>
      </c>
      <c r="G324" s="1" t="str">
        <f>IF(OR(E324="Y", F324="Y"), "Expressed", "N")</f>
        <v>Expressed</v>
      </c>
      <c r="H324" s="8">
        <v>6.8407058527608529</v>
      </c>
      <c r="I324" s="8">
        <v>399</v>
      </c>
      <c r="J324" s="8">
        <v>4.8221640443704077</v>
      </c>
      <c r="K324" s="8">
        <v>630</v>
      </c>
      <c r="L324" s="8">
        <v>5.6950594778607257</v>
      </c>
      <c r="M324" s="8">
        <v>577</v>
      </c>
      <c r="N324" s="8">
        <v>3.9632913186969772</v>
      </c>
      <c r="O324" s="8">
        <v>239</v>
      </c>
      <c r="P324" s="9">
        <v>1.9251638888891229</v>
      </c>
      <c r="Q324" s="9">
        <v>482</v>
      </c>
      <c r="R324" s="9">
        <v>8.3542894322695709</v>
      </c>
      <c r="S324" s="9">
        <v>156</v>
      </c>
      <c r="T324" s="9">
        <v>4.5766813942299507</v>
      </c>
      <c r="U324" s="9">
        <v>102</v>
      </c>
      <c r="V324" s="9">
        <v>0.77479926416347666</v>
      </c>
      <c r="W324" s="9">
        <v>449</v>
      </c>
      <c r="X324">
        <v>335.04698331188678</v>
      </c>
      <c r="Y324">
        <v>-0.65718653763629353</v>
      </c>
      <c r="Z324">
        <v>0.19816368031008849</v>
      </c>
      <c r="AA324">
        <v>-3.316382379495181</v>
      </c>
      <c r="AB324">
        <v>9.1190964149037712E-4</v>
      </c>
      <c r="AC324">
        <v>2.8977644817359541E-2</v>
      </c>
      <c r="AD324" t="s">
        <v>2979</v>
      </c>
      <c r="AE324" t="s">
        <v>2980</v>
      </c>
      <c r="AF324" t="s">
        <v>2981</v>
      </c>
      <c r="AG324" t="s">
        <v>2982</v>
      </c>
      <c r="AH324" t="s">
        <v>1015</v>
      </c>
      <c r="AI324" t="s">
        <v>2983</v>
      </c>
      <c r="AK324" t="s">
        <v>993</v>
      </c>
      <c r="AL324" t="s">
        <v>2984</v>
      </c>
      <c r="AM324" t="s">
        <v>2985</v>
      </c>
      <c r="AN324" t="s">
        <v>1749</v>
      </c>
    </row>
    <row r="325" spans="1:40" x14ac:dyDescent="0.3">
      <c r="A325" t="s">
        <v>2986</v>
      </c>
      <c r="B325">
        <v>3129</v>
      </c>
      <c r="C325" t="str">
        <f>IF(Y325&lt;0, "Down", "Up")</f>
        <v>Down</v>
      </c>
      <c r="D325" s="7" t="str">
        <f>IF(AC325&lt;0.05, "Sig", "N")</f>
        <v>Sig</v>
      </c>
      <c r="E325" s="1" t="str">
        <f>IF(AND(H325&gt;2,J325&gt;2,L325&gt;2,N325&gt;2),"Y","N")</f>
        <v>Y</v>
      </c>
      <c r="F325" s="1" t="str">
        <f>IF(AND(P325&gt;2,R325&gt;2,T325&gt;2,V325&gt;2),"Y","N")</f>
        <v>N</v>
      </c>
      <c r="G325" s="1" t="str">
        <f>IF(OR(E325="Y", F325="Y"), "Expressed", "N")</f>
        <v>Expressed</v>
      </c>
      <c r="H325" s="8">
        <v>5.3587559248354433</v>
      </c>
      <c r="I325" s="8">
        <v>746</v>
      </c>
      <c r="J325" s="8">
        <v>4.8072885683809101</v>
      </c>
      <c r="K325" s="8">
        <v>1499</v>
      </c>
      <c r="L325" s="8">
        <v>6.5339629336846894</v>
      </c>
      <c r="M325" s="8">
        <v>1580</v>
      </c>
      <c r="N325" s="8">
        <v>5.62782056940339</v>
      </c>
      <c r="O325" s="8">
        <v>810</v>
      </c>
      <c r="P325" s="9">
        <v>2.7337069274344721</v>
      </c>
      <c r="Q325" s="9">
        <v>1329</v>
      </c>
      <c r="R325" s="9">
        <v>9.651272733949499</v>
      </c>
      <c r="S325" s="9">
        <v>530</v>
      </c>
      <c r="T325" s="9">
        <v>6.514769880507405</v>
      </c>
      <c r="U325" s="9">
        <v>316</v>
      </c>
      <c r="V325" s="9">
        <v>1.005711089681564</v>
      </c>
      <c r="W325" s="9">
        <v>1209</v>
      </c>
      <c r="X325">
        <v>895.53926901256216</v>
      </c>
      <c r="Y325">
        <v>-0.4165424883227159</v>
      </c>
      <c r="Z325">
        <v>0.1142311133825577</v>
      </c>
      <c r="AA325">
        <v>-3.646488911718154</v>
      </c>
      <c r="AB325">
        <v>2.6584794403088199E-4</v>
      </c>
      <c r="AC325">
        <v>1.2716349677261001E-2</v>
      </c>
      <c r="AD325" t="s">
        <v>2987</v>
      </c>
      <c r="AE325" t="s">
        <v>2988</v>
      </c>
      <c r="AF325" t="s">
        <v>2989</v>
      </c>
      <c r="AG325" t="s">
        <v>2111</v>
      </c>
      <c r="AH325" t="s">
        <v>43</v>
      </c>
      <c r="AI325" t="s">
        <v>43</v>
      </c>
      <c r="AJ325" t="s">
        <v>43</v>
      </c>
      <c r="AK325" t="s">
        <v>43</v>
      </c>
      <c r="AL325" t="s">
        <v>43</v>
      </c>
      <c r="AM325" t="s">
        <v>864</v>
      </c>
      <c r="AN325" t="s">
        <v>43</v>
      </c>
    </row>
    <row r="326" spans="1:40" x14ac:dyDescent="0.3">
      <c r="A326" t="s">
        <v>2990</v>
      </c>
      <c r="B326">
        <v>342</v>
      </c>
      <c r="C326" t="str">
        <f>IF(Y326&lt;0, "Down", "Up")</f>
        <v>Down</v>
      </c>
      <c r="D326" s="7" t="str">
        <f>IF(AC326&lt;0.05, "Sig", "N")</f>
        <v>Sig</v>
      </c>
      <c r="E326" s="1" t="str">
        <f>IF(AND(H326&gt;2,J326&gt;2,L326&gt;2,N326&gt;2),"Y","N")</f>
        <v>Y</v>
      </c>
      <c r="F326" s="1" t="str">
        <f>IF(AND(P326&gt;2,R326&gt;2,T326&gt;2,V326&gt;2),"Y","N")</f>
        <v>N</v>
      </c>
      <c r="G326" s="1" t="str">
        <f>IF(OR(E326="Y", F326="Y"), "Expressed", "N")</f>
        <v>Expressed</v>
      </c>
      <c r="H326" s="8">
        <v>3.2860533545008268</v>
      </c>
      <c r="I326" s="8">
        <v>50</v>
      </c>
      <c r="J326" s="8">
        <v>4.7826171963874753</v>
      </c>
      <c r="K326" s="8">
        <v>163</v>
      </c>
      <c r="L326" s="8">
        <v>4.9942809285919019</v>
      </c>
      <c r="M326" s="8">
        <v>132</v>
      </c>
      <c r="N326" s="8">
        <v>3.3690740010401781</v>
      </c>
      <c r="O326" s="8">
        <v>53</v>
      </c>
      <c r="P326" s="9">
        <v>1.636523556872971</v>
      </c>
      <c r="Q326" s="9">
        <v>51</v>
      </c>
      <c r="R326" s="9">
        <v>3.3885136597690901</v>
      </c>
      <c r="S326" s="9">
        <v>31</v>
      </c>
      <c r="T326" s="9">
        <v>3.4862968312884131</v>
      </c>
      <c r="U326" s="9">
        <v>21</v>
      </c>
      <c r="V326" s="9">
        <v>0.6114837329917634</v>
      </c>
      <c r="W326" s="9">
        <v>90</v>
      </c>
      <c r="X326">
        <v>63.707032191007123</v>
      </c>
      <c r="Y326">
        <v>-0.89993047393012338</v>
      </c>
      <c r="Z326">
        <v>0.29364326403321039</v>
      </c>
      <c r="AA326">
        <v>-3.0647066837819348</v>
      </c>
      <c r="AB326">
        <v>2.178835676601606E-3</v>
      </c>
      <c r="AC326">
        <v>4.8764222900632467E-2</v>
      </c>
      <c r="AD326" t="s">
        <v>2991</v>
      </c>
      <c r="AE326" t="s">
        <v>2992</v>
      </c>
      <c r="AF326" t="s">
        <v>43</v>
      </c>
      <c r="AG326" t="s">
        <v>43</v>
      </c>
      <c r="AH326" t="s">
        <v>43</v>
      </c>
      <c r="AI326" t="s">
        <v>43</v>
      </c>
      <c r="AJ326" t="s">
        <v>43</v>
      </c>
      <c r="AK326" t="s">
        <v>43</v>
      </c>
      <c r="AL326" t="s">
        <v>43</v>
      </c>
      <c r="AM326" t="s">
        <v>43</v>
      </c>
      <c r="AN326" t="s">
        <v>43</v>
      </c>
    </row>
    <row r="327" spans="1:40" x14ac:dyDescent="0.3">
      <c r="A327" t="s">
        <v>2993</v>
      </c>
      <c r="B327">
        <v>1401</v>
      </c>
      <c r="C327" t="str">
        <f>IF(Y327&lt;0, "Down", "Up")</f>
        <v>Down</v>
      </c>
      <c r="D327" s="7" t="str">
        <f>IF(AC327&lt;0.05, "Sig", "N")</f>
        <v>Sig</v>
      </c>
      <c r="E327" s="1" t="str">
        <f>IF(AND(H327&gt;2,J327&gt;2,L327&gt;2,N327&gt;2),"Y","N")</f>
        <v>Y</v>
      </c>
      <c r="F327" s="1" t="str">
        <f>IF(AND(P327&gt;2,R327&gt;2,T327&gt;2,V327&gt;2),"Y","N")</f>
        <v>N</v>
      </c>
      <c r="G327" s="1" t="str">
        <f>IF(OR(E327="Y", F327="Y"), "Expressed", "N")</f>
        <v>Expressed</v>
      </c>
      <c r="H327" s="8">
        <v>7.9253696236431939</v>
      </c>
      <c r="I327" s="8">
        <v>494</v>
      </c>
      <c r="J327" s="8">
        <v>4.7630773329059588</v>
      </c>
      <c r="K327" s="8">
        <v>665</v>
      </c>
      <c r="L327" s="8">
        <v>8.3216950765587665</v>
      </c>
      <c r="M327" s="8">
        <v>901</v>
      </c>
      <c r="N327" s="8">
        <v>10.039843245473779</v>
      </c>
      <c r="O327" s="8">
        <v>647</v>
      </c>
      <c r="P327" s="9">
        <v>4.8768415218713024</v>
      </c>
      <c r="Q327" s="9">
        <v>319</v>
      </c>
      <c r="R327" s="9">
        <v>5.1738962821162504</v>
      </c>
      <c r="S327" s="9">
        <v>243</v>
      </c>
      <c r="T327" s="9">
        <v>6.6710917193031447</v>
      </c>
      <c r="U327" s="9">
        <v>124</v>
      </c>
      <c r="V327" s="9">
        <v>0.88140451203951953</v>
      </c>
      <c r="W327" s="9">
        <v>360</v>
      </c>
      <c r="X327">
        <v>452.46490352492651</v>
      </c>
      <c r="Y327">
        <v>-1.282368420678796</v>
      </c>
      <c r="Z327">
        <v>0.25617802990551652</v>
      </c>
      <c r="AA327">
        <v>-5.0057704837208687</v>
      </c>
      <c r="AB327">
        <v>5.563902194313786E-7</v>
      </c>
      <c r="AC327">
        <v>1.5659735199757919E-4</v>
      </c>
      <c r="AD327" t="s">
        <v>2994</v>
      </c>
      <c r="AE327" t="s">
        <v>2995</v>
      </c>
      <c r="AF327" t="s">
        <v>2996</v>
      </c>
      <c r="AG327" t="s">
        <v>43</v>
      </c>
      <c r="AH327" t="s">
        <v>43</v>
      </c>
      <c r="AI327" t="s">
        <v>43</v>
      </c>
      <c r="AJ327" t="s">
        <v>43</v>
      </c>
      <c r="AK327" t="s">
        <v>43</v>
      </c>
      <c r="AL327" t="s">
        <v>43</v>
      </c>
      <c r="AM327" t="s">
        <v>43</v>
      </c>
      <c r="AN327" t="s">
        <v>43</v>
      </c>
    </row>
    <row r="328" spans="1:40" x14ac:dyDescent="0.3">
      <c r="A328" t="s">
        <v>2997</v>
      </c>
      <c r="B328">
        <v>1540</v>
      </c>
      <c r="C328" t="str">
        <f>IF(Y328&lt;0, "Down", "Up")</f>
        <v>Down</v>
      </c>
      <c r="D328" s="7" t="str">
        <f>IF(AC328&lt;0.05, "Sig", "N")</f>
        <v>Sig</v>
      </c>
      <c r="E328" s="1" t="str">
        <f>IF(AND(H328&gt;2,J328&gt;2,L328&gt;2,N328&gt;2),"Y","N")</f>
        <v>Y</v>
      </c>
      <c r="F328" s="1" t="str">
        <f>IF(AND(P328&gt;2,R328&gt;2,T328&gt;2,V328&gt;2),"Y","N")</f>
        <v>N</v>
      </c>
      <c r="G328" s="1" t="str">
        <f>IF(OR(E328="Y", F328="Y"), "Expressed", "N")</f>
        <v>Expressed</v>
      </c>
      <c r="H328" s="8">
        <v>5.6775320282607931</v>
      </c>
      <c r="I328" s="8">
        <v>389</v>
      </c>
      <c r="J328" s="8">
        <v>4.7567054786475067</v>
      </c>
      <c r="K328" s="8">
        <v>730</v>
      </c>
      <c r="L328" s="8">
        <v>6.049742895791371</v>
      </c>
      <c r="M328" s="8">
        <v>720</v>
      </c>
      <c r="N328" s="8">
        <v>3.373944752475154</v>
      </c>
      <c r="O328" s="8">
        <v>239</v>
      </c>
      <c r="P328" s="9">
        <v>1.638889518398468</v>
      </c>
      <c r="Q328" s="9">
        <v>416</v>
      </c>
      <c r="R328" s="9">
        <v>6.1381540030897366</v>
      </c>
      <c r="S328" s="9">
        <v>180</v>
      </c>
      <c r="T328" s="9">
        <v>4.4955264544221771</v>
      </c>
      <c r="U328" s="9">
        <v>84</v>
      </c>
      <c r="V328" s="9">
        <v>0.54318814722904696</v>
      </c>
      <c r="W328" s="9">
        <v>469</v>
      </c>
      <c r="X328">
        <v>348.41274875608377</v>
      </c>
      <c r="Y328">
        <v>-0.8292981348861731</v>
      </c>
      <c r="Z328">
        <v>0.19507158823709661</v>
      </c>
      <c r="AA328">
        <v>-4.2512502327002943</v>
      </c>
      <c r="AB328">
        <v>2.1258049220045241E-5</v>
      </c>
      <c r="AC328">
        <v>2.2640315479990091E-3</v>
      </c>
      <c r="AD328" t="s">
        <v>2998</v>
      </c>
      <c r="AE328" t="s">
        <v>2999</v>
      </c>
      <c r="AF328" t="s">
        <v>3000</v>
      </c>
      <c r="AG328" t="s">
        <v>2214</v>
      </c>
      <c r="AH328" t="s">
        <v>43</v>
      </c>
      <c r="AI328" t="s">
        <v>43</v>
      </c>
      <c r="AJ328" t="s">
        <v>43</v>
      </c>
      <c r="AK328" t="s">
        <v>43</v>
      </c>
      <c r="AL328" t="s">
        <v>43</v>
      </c>
      <c r="AM328" t="s">
        <v>2215</v>
      </c>
      <c r="AN328" t="s">
        <v>1866</v>
      </c>
    </row>
    <row r="329" spans="1:40" x14ac:dyDescent="0.3">
      <c r="A329" t="s">
        <v>3001</v>
      </c>
      <c r="B329">
        <v>2112</v>
      </c>
      <c r="C329" t="str">
        <f>IF(Y329&lt;0, "Down", "Up")</f>
        <v>Down</v>
      </c>
      <c r="D329" s="7" t="str">
        <f>IF(AC329&lt;0.05, "Sig", "N")</f>
        <v>Sig</v>
      </c>
      <c r="E329" s="1" t="str">
        <f>IF(AND(H329&gt;2,J329&gt;2,L329&gt;2,N329&gt;2),"Y","N")</f>
        <v>Y</v>
      </c>
      <c r="F329" s="1" t="str">
        <f>IF(AND(P329&gt;2,R329&gt;2,T329&gt;2,V329&gt;2),"Y","N")</f>
        <v>N</v>
      </c>
      <c r="G329" s="1" t="str">
        <f>IF(OR(E329="Y", F329="Y"), "Expressed", "N")</f>
        <v>Expressed</v>
      </c>
      <c r="H329" s="8">
        <v>9.7696606720233117</v>
      </c>
      <c r="I329" s="8">
        <v>918</v>
      </c>
      <c r="J329" s="8">
        <v>4.7227677968649191</v>
      </c>
      <c r="K329" s="8">
        <v>994</v>
      </c>
      <c r="L329" s="8">
        <v>16.554519260850402</v>
      </c>
      <c r="M329" s="8">
        <v>2702</v>
      </c>
      <c r="N329" s="8">
        <v>8.3995695720615746</v>
      </c>
      <c r="O329" s="8">
        <v>816</v>
      </c>
      <c r="P329" s="9">
        <v>4.0800806001970216</v>
      </c>
      <c r="Q329" s="9">
        <v>1143</v>
      </c>
      <c r="R329" s="9">
        <v>12.29751857439928</v>
      </c>
      <c r="S329" s="9">
        <v>249</v>
      </c>
      <c r="T329" s="9">
        <v>4.5345501215612583</v>
      </c>
      <c r="U329" s="9">
        <v>180</v>
      </c>
      <c r="V329" s="9">
        <v>0.8487314800453859</v>
      </c>
      <c r="W329" s="9">
        <v>1030</v>
      </c>
      <c r="X329">
        <v>857.96458919040754</v>
      </c>
      <c r="Y329">
        <v>-1.162444150599792</v>
      </c>
      <c r="Z329">
        <v>0.29750197918429672</v>
      </c>
      <c r="AA329">
        <v>-3.9073493016316392</v>
      </c>
      <c r="AB329">
        <v>9.3314205167745784E-5</v>
      </c>
      <c r="AC329">
        <v>6.394592575582162E-3</v>
      </c>
      <c r="AD329" t="s">
        <v>3002</v>
      </c>
      <c r="AE329" t="s">
        <v>3003</v>
      </c>
      <c r="AF329" t="s">
        <v>3004</v>
      </c>
      <c r="AG329" t="s">
        <v>3005</v>
      </c>
      <c r="AH329" t="s">
        <v>43</v>
      </c>
      <c r="AI329" t="s">
        <v>43</v>
      </c>
      <c r="AJ329" t="s">
        <v>43</v>
      </c>
      <c r="AK329" t="s">
        <v>43</v>
      </c>
      <c r="AL329" t="s">
        <v>43</v>
      </c>
      <c r="AM329" t="s">
        <v>3006</v>
      </c>
      <c r="AN329" t="s">
        <v>43</v>
      </c>
    </row>
    <row r="330" spans="1:40" x14ac:dyDescent="0.3">
      <c r="A330" t="s">
        <v>3007</v>
      </c>
      <c r="B330">
        <v>385</v>
      </c>
      <c r="C330" t="str">
        <f>IF(Y330&lt;0, "Down", "Up")</f>
        <v>Down</v>
      </c>
      <c r="D330" s="7" t="str">
        <f>IF(AC330&lt;0.05, "Sig", "N")</f>
        <v>Sig</v>
      </c>
      <c r="E330" s="1" t="str">
        <f>IF(AND(H330&gt;2,J330&gt;2,L330&gt;2,N330&gt;2),"Y","N")</f>
        <v>Y</v>
      </c>
      <c r="F330" s="1" t="str">
        <f>IF(AND(P330&gt;2,R330&gt;2,T330&gt;2,V330&gt;2),"Y","N")</f>
        <v>N</v>
      </c>
      <c r="G330" s="1" t="str">
        <f>IF(OR(E330="Y", F330="Y"), "Expressed", "N")</f>
        <v>Expressed</v>
      </c>
      <c r="H330" s="8">
        <v>6.3635063350172381</v>
      </c>
      <c r="I330" s="8">
        <v>109</v>
      </c>
      <c r="J330" s="8">
        <v>4.7176092692339653</v>
      </c>
      <c r="K330" s="8">
        <v>181</v>
      </c>
      <c r="L330" s="8">
        <v>8.9065659299150735</v>
      </c>
      <c r="M330" s="8">
        <v>265</v>
      </c>
      <c r="N330" s="8">
        <v>6.3808494900366934</v>
      </c>
      <c r="O330" s="8">
        <v>113</v>
      </c>
      <c r="P330" s="9">
        <v>3.099489800485804</v>
      </c>
      <c r="Q330" s="9">
        <v>146</v>
      </c>
      <c r="R330" s="9">
        <v>8.6170238889529003</v>
      </c>
      <c r="S330" s="9">
        <v>62</v>
      </c>
      <c r="T330" s="9">
        <v>6.1938364483149986</v>
      </c>
      <c r="U330" s="9">
        <v>27</v>
      </c>
      <c r="V330" s="9">
        <v>0.69838476072306044</v>
      </c>
      <c r="W330" s="9">
        <v>166</v>
      </c>
      <c r="X330">
        <v>116.71804549401411</v>
      </c>
      <c r="Y330">
        <v>-0.74766070980007771</v>
      </c>
      <c r="Z330">
        <v>0.23140848500471059</v>
      </c>
      <c r="AA330">
        <v>-3.2309131179215749</v>
      </c>
      <c r="AB330">
        <v>1.233954417273363E-3</v>
      </c>
      <c r="AC330">
        <v>3.5219616364645198E-2</v>
      </c>
      <c r="AD330" t="s">
        <v>3008</v>
      </c>
      <c r="AE330" t="s">
        <v>3009</v>
      </c>
      <c r="AF330" t="s">
        <v>43</v>
      </c>
      <c r="AG330" t="s">
        <v>3010</v>
      </c>
      <c r="AH330" t="s">
        <v>43</v>
      </c>
      <c r="AI330" t="s">
        <v>43</v>
      </c>
      <c r="AJ330" t="s">
        <v>43</v>
      </c>
      <c r="AK330" t="s">
        <v>43</v>
      </c>
      <c r="AL330" t="s">
        <v>43</v>
      </c>
      <c r="AM330" t="s">
        <v>3011</v>
      </c>
      <c r="AN330" t="s">
        <v>43</v>
      </c>
    </row>
    <row r="331" spans="1:40" x14ac:dyDescent="0.3">
      <c r="A331" t="s">
        <v>3012</v>
      </c>
      <c r="B331">
        <v>896</v>
      </c>
      <c r="C331" t="str">
        <f>IF(Y331&lt;0, "Down", "Up")</f>
        <v>Down</v>
      </c>
      <c r="D331" s="7" t="str">
        <f>IF(AC331&lt;0.05, "Sig", "N")</f>
        <v>Sig</v>
      </c>
      <c r="E331" s="1" t="str">
        <f>IF(AND(H331&gt;2,J331&gt;2,L331&gt;2,N331&gt;2),"Y","N")</f>
        <v>Y</v>
      </c>
      <c r="F331" s="1" t="str">
        <f>IF(AND(P331&gt;2,R331&gt;2,T331&gt;2,V331&gt;2),"Y","N")</f>
        <v>N</v>
      </c>
      <c r="G331" s="1" t="str">
        <f>IF(OR(E331="Y", F331="Y"), "Expressed", "N")</f>
        <v>Expressed</v>
      </c>
      <c r="H331" s="8">
        <v>6.3968016304914537</v>
      </c>
      <c r="I331" s="8">
        <v>255</v>
      </c>
      <c r="J331" s="8">
        <v>4.6925632600784164</v>
      </c>
      <c r="K331" s="8">
        <v>419</v>
      </c>
      <c r="L331" s="8">
        <v>6.1810307190507334</v>
      </c>
      <c r="M331" s="8">
        <v>428</v>
      </c>
      <c r="N331" s="8">
        <v>4.4887405670024441</v>
      </c>
      <c r="O331" s="8">
        <v>185</v>
      </c>
      <c r="P331" s="9">
        <v>2.1804002157040281</v>
      </c>
      <c r="Q331" s="9">
        <v>304</v>
      </c>
      <c r="R331" s="9">
        <v>7.709580448592277</v>
      </c>
      <c r="S331" s="9">
        <v>133</v>
      </c>
      <c r="T331" s="9">
        <v>5.709162502447608</v>
      </c>
      <c r="U331" s="9">
        <v>60</v>
      </c>
      <c r="V331" s="9">
        <v>0.66686044860708893</v>
      </c>
      <c r="W331" s="9">
        <v>299</v>
      </c>
      <c r="X331">
        <v>230.88969879806299</v>
      </c>
      <c r="Y331">
        <v>-0.68573769538450091</v>
      </c>
      <c r="Z331">
        <v>0.18269477692805791</v>
      </c>
      <c r="AA331">
        <v>-3.753460864699667</v>
      </c>
      <c r="AB331">
        <v>1.7440977220171329E-4</v>
      </c>
      <c r="AC331">
        <v>9.8176091295069205E-3</v>
      </c>
      <c r="AD331" t="s">
        <v>3013</v>
      </c>
      <c r="AE331" t="s">
        <v>3014</v>
      </c>
      <c r="AF331" t="s">
        <v>3015</v>
      </c>
      <c r="AG331" t="s">
        <v>3016</v>
      </c>
      <c r="AH331" t="s">
        <v>43</v>
      </c>
      <c r="AI331" t="s">
        <v>43</v>
      </c>
      <c r="AJ331" t="s">
        <v>43</v>
      </c>
      <c r="AK331" t="s">
        <v>43</v>
      </c>
      <c r="AL331" t="s">
        <v>43</v>
      </c>
      <c r="AM331" t="s">
        <v>3017</v>
      </c>
      <c r="AN331" t="s">
        <v>43</v>
      </c>
    </row>
    <row r="332" spans="1:40" x14ac:dyDescent="0.3">
      <c r="A332" t="s">
        <v>3018</v>
      </c>
      <c r="B332">
        <v>1996</v>
      </c>
      <c r="C332" t="str">
        <f>IF(Y332&lt;0, "Down", "Up")</f>
        <v>Down</v>
      </c>
      <c r="D332" s="7" t="str">
        <f>IF(AC332&lt;0.05, "Sig", "N")</f>
        <v>Sig</v>
      </c>
      <c r="E332" s="1" t="str">
        <f>IF(AND(H332&gt;2,J332&gt;2,L332&gt;2,N332&gt;2),"Y","N")</f>
        <v>Y</v>
      </c>
      <c r="F332" s="1" t="str">
        <f>IF(AND(P332&gt;2,R332&gt;2,T332&gt;2,V332&gt;2),"Y","N")</f>
        <v>N</v>
      </c>
      <c r="G332" s="1" t="str">
        <f>IF(OR(E332="Y", F332="Y"), "Expressed", "N")</f>
        <v>Expressed</v>
      </c>
      <c r="H332" s="8">
        <v>7.342057326653431</v>
      </c>
      <c r="I332" s="8">
        <v>652</v>
      </c>
      <c r="J332" s="8">
        <v>4.680510962305485</v>
      </c>
      <c r="K332" s="8">
        <v>931</v>
      </c>
      <c r="L332" s="8">
        <v>15.4356172523617</v>
      </c>
      <c r="M332" s="8">
        <v>2381</v>
      </c>
      <c r="N332" s="8">
        <v>6.2845771630171896</v>
      </c>
      <c r="O332" s="8">
        <v>577</v>
      </c>
      <c r="P332" s="9">
        <v>3.052725635913061</v>
      </c>
      <c r="Q332" s="9">
        <v>1071</v>
      </c>
      <c r="R332" s="9">
        <v>12.19253762748577</v>
      </c>
      <c r="S332" s="9">
        <v>226</v>
      </c>
      <c r="T332" s="9">
        <v>4.3548848452379607</v>
      </c>
      <c r="U332" s="9">
        <v>158</v>
      </c>
      <c r="V332" s="9">
        <v>0.78829408807956214</v>
      </c>
      <c r="W332" s="9">
        <v>823</v>
      </c>
      <c r="X332">
        <v>709.36077306026527</v>
      </c>
      <c r="Y332">
        <v>-1.0303499634400251</v>
      </c>
      <c r="Z332">
        <v>0.30208218900591621</v>
      </c>
      <c r="AA332">
        <v>-3.4108265926921169</v>
      </c>
      <c r="AB332">
        <v>6.4766267576635078E-4</v>
      </c>
      <c r="AC332">
        <v>2.3164963661827631E-2</v>
      </c>
      <c r="AD332" t="s">
        <v>3019</v>
      </c>
      <c r="AE332" t="s">
        <v>3020</v>
      </c>
      <c r="AF332" t="s">
        <v>3021</v>
      </c>
      <c r="AG332" t="s">
        <v>3022</v>
      </c>
      <c r="AH332" t="s">
        <v>43</v>
      </c>
      <c r="AI332" t="s">
        <v>43</v>
      </c>
      <c r="AJ332" t="s">
        <v>43</v>
      </c>
      <c r="AK332" t="s">
        <v>43</v>
      </c>
      <c r="AL332" t="s">
        <v>43</v>
      </c>
      <c r="AM332" t="s">
        <v>192</v>
      </c>
      <c r="AN332" t="s">
        <v>43</v>
      </c>
    </row>
    <row r="333" spans="1:40" x14ac:dyDescent="0.3">
      <c r="A333" t="s">
        <v>3023</v>
      </c>
      <c r="B333">
        <v>1453</v>
      </c>
      <c r="C333" t="str">
        <f>IF(Y333&lt;0, "Down", "Up")</f>
        <v>Down</v>
      </c>
      <c r="D333" s="7" t="str">
        <f>IF(AC333&lt;0.05, "Sig", "N")</f>
        <v>Sig</v>
      </c>
      <c r="E333" s="1" t="str">
        <f>IF(AND(H333&gt;2,J333&gt;2,L333&gt;2,N333&gt;2),"Y","N")</f>
        <v>Y</v>
      </c>
      <c r="F333" s="1" t="str">
        <f>IF(AND(P333&gt;2,R333&gt;2,T333&gt;2,V333&gt;2),"Y","N")</f>
        <v>N</v>
      </c>
      <c r="G333" s="1" t="str">
        <f>IF(OR(E333="Y", F333="Y"), "Expressed", "N")</f>
        <v>Expressed</v>
      </c>
      <c r="H333" s="8">
        <v>8.848326241168202</v>
      </c>
      <c r="I333" s="8">
        <v>572</v>
      </c>
      <c r="J333" s="8">
        <v>4.6754904806572304</v>
      </c>
      <c r="K333" s="8">
        <v>677</v>
      </c>
      <c r="L333" s="8">
        <v>9.1905018251733104</v>
      </c>
      <c r="M333" s="8">
        <v>1032</v>
      </c>
      <c r="N333" s="8">
        <v>5.0123337311115996</v>
      </c>
      <c r="O333" s="8">
        <v>335</v>
      </c>
      <c r="P333" s="9">
        <v>2.4347349519008992</v>
      </c>
      <c r="Q333" s="9">
        <v>608</v>
      </c>
      <c r="R333" s="9">
        <v>9.5083056874586109</v>
      </c>
      <c r="S333" s="9">
        <v>280</v>
      </c>
      <c r="T333" s="9">
        <v>7.4117573111066859</v>
      </c>
      <c r="U333" s="9">
        <v>122</v>
      </c>
      <c r="V333" s="9">
        <v>0.83615335350009301</v>
      </c>
      <c r="W333" s="9">
        <v>474</v>
      </c>
      <c r="X333">
        <v>461.7366486934348</v>
      </c>
      <c r="Y333">
        <v>-0.78071661400470482</v>
      </c>
      <c r="Z333">
        <v>0.23267523910767871</v>
      </c>
      <c r="AA333">
        <v>-3.3553919058976471</v>
      </c>
      <c r="AB333">
        <v>7.925262196296916E-4</v>
      </c>
      <c r="AC333">
        <v>2.6352890132890529E-2</v>
      </c>
      <c r="AD333" t="s">
        <v>3024</v>
      </c>
      <c r="AE333" t="s">
        <v>3025</v>
      </c>
      <c r="AF333" t="s">
        <v>3026</v>
      </c>
      <c r="AG333" t="s">
        <v>3027</v>
      </c>
      <c r="AH333" t="s">
        <v>43</v>
      </c>
      <c r="AI333" t="s">
        <v>43</v>
      </c>
      <c r="AJ333" t="s">
        <v>43</v>
      </c>
      <c r="AK333" t="s">
        <v>43</v>
      </c>
      <c r="AL333" t="s">
        <v>43</v>
      </c>
      <c r="AM333" t="s">
        <v>3028</v>
      </c>
      <c r="AN333" t="s">
        <v>43</v>
      </c>
    </row>
    <row r="334" spans="1:40" x14ac:dyDescent="0.3">
      <c r="A334" t="s">
        <v>3029</v>
      </c>
      <c r="B334">
        <v>1593</v>
      </c>
      <c r="C334" t="str">
        <f>IF(Y334&lt;0, "Down", "Up")</f>
        <v>Down</v>
      </c>
      <c r="D334" s="7" t="str">
        <f>IF(AC334&lt;0.05, "Sig", "N")</f>
        <v>Sig</v>
      </c>
      <c r="E334" s="1" t="str">
        <f>IF(AND(H334&gt;2,J334&gt;2,L334&gt;2,N334&gt;2),"Y","N")</f>
        <v>Y</v>
      </c>
      <c r="F334" s="1" t="str">
        <f>IF(AND(P334&gt;2,R334&gt;2,T334&gt;2,V334&gt;2),"Y","N")</f>
        <v>N</v>
      </c>
      <c r="G334" s="1" t="str">
        <f>IF(OR(E334="Y", F334="Y"), "Expressed", "N")</f>
        <v>Expressed</v>
      </c>
      <c r="H334" s="8">
        <v>7.0689134195465249</v>
      </c>
      <c r="I334" s="8">
        <v>501</v>
      </c>
      <c r="J334" s="8">
        <v>4.648841172073424</v>
      </c>
      <c r="K334" s="8">
        <v>738</v>
      </c>
      <c r="L334" s="8">
        <v>6.3114680147921796</v>
      </c>
      <c r="M334" s="8">
        <v>777</v>
      </c>
      <c r="N334" s="8">
        <v>4.3944131197876146</v>
      </c>
      <c r="O334" s="8">
        <v>322</v>
      </c>
      <c r="P334" s="9">
        <v>2.1345807741069902</v>
      </c>
      <c r="Q334" s="9">
        <v>493</v>
      </c>
      <c r="R334" s="9">
        <v>7.0322825858108038</v>
      </c>
      <c r="S334" s="9">
        <v>174</v>
      </c>
      <c r="T334" s="9">
        <v>4.201092518403315</v>
      </c>
      <c r="U334" s="9">
        <v>148</v>
      </c>
      <c r="V334" s="9">
        <v>0.92520433530957158</v>
      </c>
      <c r="W334" s="9">
        <v>518</v>
      </c>
      <c r="X334">
        <v>413.98661492454312</v>
      </c>
      <c r="Y334">
        <v>-0.78474657706914741</v>
      </c>
      <c r="Z334">
        <v>0.18369511288259319</v>
      </c>
      <c r="AA334">
        <v>-4.2720057423123166</v>
      </c>
      <c r="AB334">
        <v>1.9372258664911329E-5</v>
      </c>
      <c r="AC334">
        <v>2.0913193577891949E-3</v>
      </c>
      <c r="AD334" t="s">
        <v>3030</v>
      </c>
      <c r="AE334" t="s">
        <v>3031</v>
      </c>
      <c r="AF334" t="s">
        <v>43</v>
      </c>
      <c r="AG334" t="s">
        <v>3032</v>
      </c>
      <c r="AH334" t="s">
        <v>43</v>
      </c>
      <c r="AI334" t="s">
        <v>43</v>
      </c>
      <c r="AJ334" t="s">
        <v>43</v>
      </c>
      <c r="AK334" t="s">
        <v>43</v>
      </c>
      <c r="AL334" t="s">
        <v>43</v>
      </c>
      <c r="AM334" t="s">
        <v>597</v>
      </c>
      <c r="AN334" t="s">
        <v>43</v>
      </c>
    </row>
    <row r="335" spans="1:40" x14ac:dyDescent="0.3">
      <c r="A335" t="s">
        <v>3033</v>
      </c>
      <c r="B335">
        <v>1682</v>
      </c>
      <c r="C335" t="str">
        <f>IF(Y335&lt;0, "Down", "Up")</f>
        <v>Down</v>
      </c>
      <c r="D335" s="7" t="str">
        <f>IF(AC335&lt;0.05, "Sig", "N")</f>
        <v>Sig</v>
      </c>
      <c r="E335" s="1" t="str">
        <f>IF(AND(H335&gt;2,J335&gt;2,L335&gt;2,N335&gt;2),"Y","N")</f>
        <v>Y</v>
      </c>
      <c r="F335" s="1" t="str">
        <f>IF(AND(P335&gt;2,R335&gt;2,T335&gt;2,V335&gt;2),"Y","N")</f>
        <v>N</v>
      </c>
      <c r="G335" s="1" t="str">
        <f>IF(OR(E335="Y", F335="Y"), "Expressed", "N")</f>
        <v>Expressed</v>
      </c>
      <c r="H335" s="8">
        <v>6.8552308779280873</v>
      </c>
      <c r="I335" s="8">
        <v>513</v>
      </c>
      <c r="J335" s="8">
        <v>4.6295614444667281</v>
      </c>
      <c r="K335" s="8">
        <v>776</v>
      </c>
      <c r="L335" s="8">
        <v>11.247254537435889</v>
      </c>
      <c r="M335" s="8">
        <v>1462</v>
      </c>
      <c r="N335" s="8">
        <v>5.4027027897235964</v>
      </c>
      <c r="O335" s="8">
        <v>418</v>
      </c>
      <c r="P335" s="9">
        <v>2.62435624252723</v>
      </c>
      <c r="Q335" s="9">
        <v>534</v>
      </c>
      <c r="R335" s="9">
        <v>7.2140713979192519</v>
      </c>
      <c r="S335" s="9">
        <v>145</v>
      </c>
      <c r="T335" s="9">
        <v>3.315666063127467</v>
      </c>
      <c r="U335" s="9">
        <v>149</v>
      </c>
      <c r="V335" s="9">
        <v>0.88216941469323029</v>
      </c>
      <c r="W335" s="9">
        <v>510</v>
      </c>
      <c r="X335">
        <v>488.66795723649852</v>
      </c>
      <c r="Y335">
        <v>-1.1803690703978429</v>
      </c>
      <c r="Z335">
        <v>0.23689811866176949</v>
      </c>
      <c r="AA335">
        <v>-4.9826021289899343</v>
      </c>
      <c r="AB335">
        <v>6.2734859904337774E-7</v>
      </c>
      <c r="AC335">
        <v>1.7048017906417861E-4</v>
      </c>
      <c r="AD335" t="s">
        <v>3034</v>
      </c>
      <c r="AE335" t="s">
        <v>3035</v>
      </c>
      <c r="AF335" t="s">
        <v>3036</v>
      </c>
      <c r="AG335" t="s">
        <v>3037</v>
      </c>
      <c r="AH335" t="s">
        <v>43</v>
      </c>
      <c r="AI335" t="s">
        <v>43</v>
      </c>
      <c r="AJ335" t="s">
        <v>43</v>
      </c>
      <c r="AK335" t="s">
        <v>43</v>
      </c>
      <c r="AL335" t="s">
        <v>43</v>
      </c>
      <c r="AM335" t="s">
        <v>3038</v>
      </c>
      <c r="AN335" t="s">
        <v>43</v>
      </c>
    </row>
    <row r="336" spans="1:40" x14ac:dyDescent="0.3">
      <c r="A336" t="s">
        <v>3039</v>
      </c>
      <c r="B336">
        <v>1642</v>
      </c>
      <c r="C336" t="str">
        <f>IF(Y336&lt;0, "Down", "Up")</f>
        <v>Down</v>
      </c>
      <c r="D336" s="7" t="str">
        <f>IF(AC336&lt;0.05, "Sig", "N")</f>
        <v>Sig</v>
      </c>
      <c r="E336" s="1" t="str">
        <f>IF(AND(H336&gt;2,J336&gt;2,L336&gt;2,N336&gt;2),"Y","N")</f>
        <v>Y</v>
      </c>
      <c r="F336" s="1" t="str">
        <f>IF(AND(P336&gt;2,R336&gt;2,T336&gt;2,V336&gt;2),"Y","N")</f>
        <v>N</v>
      </c>
      <c r="G336" s="1" t="str">
        <f>IF(OR(E336="Y", F336="Y"), "Expressed", "N")</f>
        <v>Expressed</v>
      </c>
      <c r="H336" s="8">
        <v>5.6944382807739551</v>
      </c>
      <c r="I336" s="8">
        <v>416</v>
      </c>
      <c r="J336" s="8">
        <v>4.5528908912054167</v>
      </c>
      <c r="K336" s="8">
        <v>745</v>
      </c>
      <c r="L336" s="8">
        <v>9.5590072440419842</v>
      </c>
      <c r="M336" s="8">
        <v>1213</v>
      </c>
      <c r="N336" s="8">
        <v>4.514836349473808</v>
      </c>
      <c r="O336" s="8">
        <v>341</v>
      </c>
      <c r="P336" s="9">
        <v>2.193076209979083</v>
      </c>
      <c r="Q336" s="9">
        <v>534</v>
      </c>
      <c r="R336" s="9">
        <v>7.3898100434227656</v>
      </c>
      <c r="S336" s="9">
        <v>215</v>
      </c>
      <c r="T336" s="9">
        <v>5.0360969314493937</v>
      </c>
      <c r="U336" s="9">
        <v>76</v>
      </c>
      <c r="V336" s="9">
        <v>0.46092701084397408</v>
      </c>
      <c r="W336" s="9">
        <v>331</v>
      </c>
      <c r="X336">
        <v>414.69353497206117</v>
      </c>
      <c r="Y336">
        <v>-1.1583263167054221</v>
      </c>
      <c r="Z336">
        <v>0.25760530748143817</v>
      </c>
      <c r="AA336">
        <v>-4.4965157279955692</v>
      </c>
      <c r="AB336">
        <v>6.9076072090797752E-6</v>
      </c>
      <c r="AC336">
        <v>9.331979979260804E-4</v>
      </c>
      <c r="AD336" t="s">
        <v>3040</v>
      </c>
      <c r="AE336" t="s">
        <v>3041</v>
      </c>
      <c r="AF336" t="s">
        <v>3042</v>
      </c>
      <c r="AG336" t="s">
        <v>3043</v>
      </c>
      <c r="AH336" t="s">
        <v>43</v>
      </c>
      <c r="AI336" t="s">
        <v>43</v>
      </c>
      <c r="AJ336" t="s">
        <v>43</v>
      </c>
      <c r="AK336" t="s">
        <v>43</v>
      </c>
      <c r="AL336" t="s">
        <v>43</v>
      </c>
      <c r="AM336" t="s">
        <v>3044</v>
      </c>
      <c r="AN336" t="s">
        <v>1866</v>
      </c>
    </row>
    <row r="337" spans="1:40" x14ac:dyDescent="0.3">
      <c r="A337" t="s">
        <v>3045</v>
      </c>
      <c r="B337">
        <v>1740</v>
      </c>
      <c r="C337" t="str">
        <f>IF(Y337&lt;0, "Down", "Up")</f>
        <v>Down</v>
      </c>
      <c r="D337" s="7" t="str">
        <f>IF(AC337&lt;0.05, "Sig", "N")</f>
        <v>Sig</v>
      </c>
      <c r="E337" s="1" t="str">
        <f>IF(AND(H337&gt;2,J337&gt;2,L337&gt;2,N337&gt;2),"Y","N")</f>
        <v>Y</v>
      </c>
      <c r="F337" s="1" t="str">
        <f>IF(AND(P337&gt;2,R337&gt;2,T337&gt;2,V337&gt;2),"Y","N")</f>
        <v>N</v>
      </c>
      <c r="G337" s="1" t="str">
        <f>IF(OR(E337="Y", F337="Y"), "Expressed", "N")</f>
        <v>Expressed</v>
      </c>
      <c r="H337" s="8">
        <v>10.346988828030639</v>
      </c>
      <c r="I337" s="8">
        <v>801</v>
      </c>
      <c r="J337" s="8">
        <v>4.5040780565174794</v>
      </c>
      <c r="K337" s="8">
        <v>781</v>
      </c>
      <c r="L337" s="8">
        <v>11.883727081027221</v>
      </c>
      <c r="M337" s="8">
        <v>1598</v>
      </c>
      <c r="N337" s="8">
        <v>6.7344216352607278</v>
      </c>
      <c r="O337" s="8">
        <v>539</v>
      </c>
      <c r="P337" s="9">
        <v>3.271237035641398</v>
      </c>
      <c r="Q337" s="9">
        <v>758</v>
      </c>
      <c r="R337" s="9">
        <v>9.8988587683558684</v>
      </c>
      <c r="S337" s="9">
        <v>131</v>
      </c>
      <c r="T337" s="9">
        <v>2.895681695131322</v>
      </c>
      <c r="U337" s="9">
        <v>173</v>
      </c>
      <c r="V337" s="9">
        <v>0.99012168982459425</v>
      </c>
      <c r="W337" s="9">
        <v>879</v>
      </c>
      <c r="X337">
        <v>619.14111733444952</v>
      </c>
      <c r="Y337">
        <v>-1.0714497783275001</v>
      </c>
      <c r="Z337">
        <v>0.31192238764677799</v>
      </c>
      <c r="AA337">
        <v>-3.4349883841643738</v>
      </c>
      <c r="AB337">
        <v>5.9257922848708297E-4</v>
      </c>
      <c r="AC337">
        <v>2.1754282794862759E-2</v>
      </c>
      <c r="AD337" t="s">
        <v>3046</v>
      </c>
      <c r="AE337" t="s">
        <v>3047</v>
      </c>
      <c r="AF337" t="s">
        <v>43</v>
      </c>
      <c r="AG337" t="s">
        <v>1392</v>
      </c>
      <c r="AH337" t="s">
        <v>43</v>
      </c>
      <c r="AI337" t="s">
        <v>43</v>
      </c>
      <c r="AJ337" t="s">
        <v>43</v>
      </c>
      <c r="AK337" t="s">
        <v>43</v>
      </c>
      <c r="AL337" t="s">
        <v>43</v>
      </c>
      <c r="AM337" t="s">
        <v>1393</v>
      </c>
      <c r="AN337" t="s">
        <v>43</v>
      </c>
    </row>
    <row r="338" spans="1:40" x14ac:dyDescent="0.3">
      <c r="A338" t="s">
        <v>3048</v>
      </c>
      <c r="B338">
        <v>727</v>
      </c>
      <c r="C338" t="str">
        <f>IF(Y338&lt;0, "Down", "Up")</f>
        <v>Down</v>
      </c>
      <c r="D338" s="7" t="str">
        <f>IF(AC338&lt;0.05, "Sig", "N")</f>
        <v>Sig</v>
      </c>
      <c r="E338" s="1" t="str">
        <f>IF(AND(H338&gt;2,J338&gt;2,L338&gt;2,N338&gt;2),"Y","N")</f>
        <v>Y</v>
      </c>
      <c r="F338" s="1" t="str">
        <f>IF(AND(P338&gt;2,R338&gt;2,T338&gt;2,V338&gt;2),"Y","N")</f>
        <v>N</v>
      </c>
      <c r="G338" s="1" t="str">
        <f>IF(OR(E338="Y", F338="Y"), "Expressed", "N")</f>
        <v>Expressed</v>
      </c>
      <c r="H338" s="8">
        <v>12.30493640718665</v>
      </c>
      <c r="I338" s="8">
        <v>398</v>
      </c>
      <c r="J338" s="8">
        <v>4.430724475353033</v>
      </c>
      <c r="K338" s="8">
        <v>321</v>
      </c>
      <c r="L338" s="8">
        <v>14.701809095908709</v>
      </c>
      <c r="M338" s="8">
        <v>826</v>
      </c>
      <c r="N338" s="8">
        <v>18.181510250974291</v>
      </c>
      <c r="O338" s="8">
        <v>608</v>
      </c>
      <c r="P338" s="9">
        <v>8.8316462672118057</v>
      </c>
      <c r="Q338" s="9">
        <v>186</v>
      </c>
      <c r="R338" s="9">
        <v>5.8135806814259876</v>
      </c>
      <c r="S338" s="9">
        <v>233</v>
      </c>
      <c r="T338" s="9">
        <v>12.32679812299989</v>
      </c>
      <c r="U338" s="9">
        <v>75</v>
      </c>
      <c r="V338" s="9">
        <v>1.02735034723513</v>
      </c>
      <c r="W338" s="9">
        <v>463</v>
      </c>
      <c r="X338">
        <v>377.14149515902722</v>
      </c>
      <c r="Y338">
        <v>-1.2155300765220169</v>
      </c>
      <c r="Z338">
        <v>0.38947037275156587</v>
      </c>
      <c r="AA338">
        <v>-3.120982137702617</v>
      </c>
      <c r="AB338">
        <v>1.802489671126205E-3</v>
      </c>
      <c r="AC338">
        <v>4.3599036191588607E-2</v>
      </c>
      <c r="AD338" t="s">
        <v>3049</v>
      </c>
      <c r="AE338" t="s">
        <v>3050</v>
      </c>
      <c r="AF338" t="s">
        <v>3051</v>
      </c>
      <c r="AG338" t="s">
        <v>3052</v>
      </c>
      <c r="AH338" t="s">
        <v>43</v>
      </c>
      <c r="AI338" t="s">
        <v>43</v>
      </c>
      <c r="AJ338" t="s">
        <v>43</v>
      </c>
      <c r="AK338" t="s">
        <v>43</v>
      </c>
      <c r="AL338" t="s">
        <v>43</v>
      </c>
      <c r="AM338" t="s">
        <v>3053</v>
      </c>
      <c r="AN338" t="s">
        <v>43</v>
      </c>
    </row>
    <row r="339" spans="1:40" x14ac:dyDescent="0.3">
      <c r="A339" t="s">
        <v>3054</v>
      </c>
      <c r="B339">
        <v>2413</v>
      </c>
      <c r="C339" t="str">
        <f>IF(Y339&lt;0, "Down", "Up")</f>
        <v>Down</v>
      </c>
      <c r="D339" s="7" t="str">
        <f>IF(AC339&lt;0.05, "Sig", "N")</f>
        <v>Sig</v>
      </c>
      <c r="E339" s="1" t="str">
        <f>IF(AND(H339&gt;2,J339&gt;2,L339&gt;2,N339&gt;2),"Y","N")</f>
        <v>Y</v>
      </c>
      <c r="F339" s="1" t="str">
        <f>IF(AND(P339&gt;2,R339&gt;2,T339&gt;2,V339&gt;2),"Y","N")</f>
        <v>N</v>
      </c>
      <c r="G339" s="1" t="str">
        <f>IF(OR(E339="Y", F339="Y"), "Expressed", "N")</f>
        <v>Expressed</v>
      </c>
      <c r="H339" s="8">
        <v>6.7904869476787173</v>
      </c>
      <c r="I339" s="8">
        <v>729</v>
      </c>
      <c r="J339" s="8">
        <v>4.4039538668440201</v>
      </c>
      <c r="K339" s="8">
        <v>1059</v>
      </c>
      <c r="L339" s="8">
        <v>7.8507093193899902</v>
      </c>
      <c r="M339" s="8">
        <v>1464</v>
      </c>
      <c r="N339" s="8">
        <v>4.7660559557130551</v>
      </c>
      <c r="O339" s="8">
        <v>529</v>
      </c>
      <c r="P339" s="9">
        <v>2.3151058250697418</v>
      </c>
      <c r="Q339" s="9">
        <v>718</v>
      </c>
      <c r="R339" s="9">
        <v>6.7613324901738006</v>
      </c>
      <c r="S339" s="9">
        <v>308</v>
      </c>
      <c r="T339" s="9">
        <v>4.9093293453550837</v>
      </c>
      <c r="U339" s="9">
        <v>209</v>
      </c>
      <c r="V339" s="9">
        <v>0.86254285846082268</v>
      </c>
      <c r="W339" s="9">
        <v>1215</v>
      </c>
      <c r="X339">
        <v>681.13754136809553</v>
      </c>
      <c r="Y339">
        <v>-0.65683030752878457</v>
      </c>
      <c r="Z339">
        <v>0.20908457728428911</v>
      </c>
      <c r="AA339">
        <v>-3.1414574717086969</v>
      </c>
      <c r="AB339">
        <v>1.6810922144656099E-3</v>
      </c>
      <c r="AC339">
        <v>4.2057547232165031E-2</v>
      </c>
      <c r="AD339" t="s">
        <v>3055</v>
      </c>
      <c r="AE339" t="s">
        <v>3056</v>
      </c>
      <c r="AF339" t="s">
        <v>3057</v>
      </c>
      <c r="AG339" t="s">
        <v>2375</v>
      </c>
      <c r="AH339" t="s">
        <v>43</v>
      </c>
      <c r="AI339" t="s">
        <v>43</v>
      </c>
      <c r="AJ339" t="s">
        <v>43</v>
      </c>
      <c r="AK339" t="s">
        <v>43</v>
      </c>
      <c r="AL339" t="s">
        <v>43</v>
      </c>
      <c r="AM339" t="s">
        <v>2376</v>
      </c>
      <c r="AN339" t="s">
        <v>43</v>
      </c>
    </row>
    <row r="340" spans="1:40" x14ac:dyDescent="0.3">
      <c r="A340" t="s">
        <v>3061</v>
      </c>
      <c r="B340">
        <v>2319</v>
      </c>
      <c r="C340" t="str">
        <f>IF(Y340&lt;0, "Down", "Up")</f>
        <v>Down</v>
      </c>
      <c r="D340" s="7" t="str">
        <f>IF(AC340&lt;0.05, "Sig", "N")</f>
        <v>Sig</v>
      </c>
      <c r="E340" s="1" t="str">
        <f>IF(AND(H340&gt;2,J340&gt;2,L340&gt;2,N340&gt;2),"Y","N")</f>
        <v>Y</v>
      </c>
      <c r="F340" s="1" t="str">
        <f>IF(AND(P340&gt;2,R340&gt;2,T340&gt;2,V340&gt;2),"Y","N")</f>
        <v>N</v>
      </c>
      <c r="G340" s="1" t="str">
        <f>IF(OR(E340="Y", F340="Y"), "Expressed", "N")</f>
        <v>Expressed</v>
      </c>
      <c r="H340" s="8">
        <v>9.2852900116880814</v>
      </c>
      <c r="I340" s="8">
        <v>958</v>
      </c>
      <c r="J340" s="8">
        <v>4.3704358287927203</v>
      </c>
      <c r="K340" s="8">
        <v>1010</v>
      </c>
      <c r="L340" s="8">
        <v>17.788638386843981</v>
      </c>
      <c r="M340" s="8">
        <v>3188</v>
      </c>
      <c r="N340" s="8">
        <v>8.8966447771859869</v>
      </c>
      <c r="O340" s="8">
        <v>949</v>
      </c>
      <c r="P340" s="9">
        <v>4.3215342703961346</v>
      </c>
      <c r="Q340" s="9">
        <v>989</v>
      </c>
      <c r="R340" s="9">
        <v>9.6908241656983432</v>
      </c>
      <c r="S340" s="9">
        <v>243</v>
      </c>
      <c r="T340" s="9">
        <v>4.0302714526708519</v>
      </c>
      <c r="U340" s="9">
        <v>254</v>
      </c>
      <c r="V340" s="9">
        <v>1.090748658443264</v>
      </c>
      <c r="W340" s="9">
        <v>567</v>
      </c>
      <c r="X340">
        <v>901.89843890064378</v>
      </c>
      <c r="Y340">
        <v>-1.4809574229542759</v>
      </c>
      <c r="Z340">
        <v>0.31648439143604379</v>
      </c>
      <c r="AA340">
        <v>-4.679401142768687</v>
      </c>
      <c r="AB340">
        <v>2.877140412530999E-6</v>
      </c>
      <c r="AC340">
        <v>4.8036267020164778E-4</v>
      </c>
      <c r="AD340" t="s">
        <v>3062</v>
      </c>
      <c r="AE340" t="s">
        <v>3063</v>
      </c>
      <c r="AF340" t="s">
        <v>55</v>
      </c>
      <c r="AG340" t="s">
        <v>3064</v>
      </c>
      <c r="AH340" t="s">
        <v>43</v>
      </c>
      <c r="AI340" t="s">
        <v>43</v>
      </c>
      <c r="AJ340" t="s">
        <v>43</v>
      </c>
      <c r="AK340" t="s">
        <v>43</v>
      </c>
      <c r="AL340" t="s">
        <v>43</v>
      </c>
      <c r="AM340" t="s">
        <v>3065</v>
      </c>
      <c r="AN340" t="s">
        <v>43</v>
      </c>
    </row>
    <row r="341" spans="1:40" x14ac:dyDescent="0.3">
      <c r="A341" t="s">
        <v>3066</v>
      </c>
      <c r="B341">
        <v>300</v>
      </c>
      <c r="C341" t="str">
        <f>IF(Y341&lt;0, "Down", "Up")</f>
        <v>Down</v>
      </c>
      <c r="D341" s="7" t="str">
        <f>IF(AC341&lt;0.05, "Sig", "N")</f>
        <v>Sig</v>
      </c>
      <c r="E341" s="1" t="str">
        <f>IF(AND(H341&gt;2,J341&gt;2,L341&gt;2,N341&gt;2),"Y","N")</f>
        <v>Y</v>
      </c>
      <c r="F341" s="1" t="str">
        <f>IF(AND(P341&gt;2,R341&gt;2,T341&gt;2,V341&gt;2),"Y","N")</f>
        <v>N</v>
      </c>
      <c r="G341" s="1" t="str">
        <f>IF(OR(E341="Y", F341="Y"), "Expressed", "N")</f>
        <v>Expressed</v>
      </c>
      <c r="H341" s="8">
        <v>5.8439172856442712</v>
      </c>
      <c r="I341" s="8">
        <v>78</v>
      </c>
      <c r="J341" s="8">
        <v>4.34836729143941</v>
      </c>
      <c r="K341" s="8">
        <v>130</v>
      </c>
      <c r="L341" s="8">
        <v>6.1679369468109986</v>
      </c>
      <c r="M341" s="8">
        <v>143</v>
      </c>
      <c r="N341" s="8">
        <v>6.014750603366446</v>
      </c>
      <c r="O341" s="8">
        <v>83</v>
      </c>
      <c r="P341" s="9">
        <v>2.921657716062652</v>
      </c>
      <c r="Q341" s="9">
        <v>83</v>
      </c>
      <c r="R341" s="9">
        <v>6.2866894605362988</v>
      </c>
      <c r="S341" s="9">
        <v>40</v>
      </c>
      <c r="T341" s="9">
        <v>5.1282301776371497</v>
      </c>
      <c r="U341" s="9">
        <v>31</v>
      </c>
      <c r="V341" s="9">
        <v>1.0290397678061389</v>
      </c>
      <c r="W341" s="9">
        <v>70</v>
      </c>
      <c r="X341">
        <v>77.397781935946114</v>
      </c>
      <c r="Y341">
        <v>-0.85074312591284595</v>
      </c>
      <c r="Z341">
        <v>0.26160457450903568</v>
      </c>
      <c r="AA341">
        <v>-3.2520193024509281</v>
      </c>
      <c r="AB341">
        <v>1.145882397401475E-3</v>
      </c>
      <c r="AC341">
        <v>3.3511686046140257E-2</v>
      </c>
      <c r="AD341" t="s">
        <v>3067</v>
      </c>
      <c r="AE341" t="s">
        <v>3068</v>
      </c>
      <c r="AF341" t="s">
        <v>43</v>
      </c>
      <c r="AG341" t="s">
        <v>43</v>
      </c>
      <c r="AH341" t="s">
        <v>43</v>
      </c>
      <c r="AI341" t="s">
        <v>43</v>
      </c>
      <c r="AJ341" t="s">
        <v>43</v>
      </c>
      <c r="AK341" t="s">
        <v>43</v>
      </c>
      <c r="AL341" t="s">
        <v>43</v>
      </c>
      <c r="AM341" t="s">
        <v>43</v>
      </c>
      <c r="AN341" t="s">
        <v>43</v>
      </c>
    </row>
    <row r="342" spans="1:40" x14ac:dyDescent="0.3">
      <c r="A342" t="s">
        <v>3069</v>
      </c>
      <c r="B342">
        <v>2151</v>
      </c>
      <c r="C342" t="str">
        <f>IF(Y342&lt;0, "Down", "Up")</f>
        <v>Down</v>
      </c>
      <c r="D342" s="7" t="str">
        <f>IF(AC342&lt;0.05, "Sig", "N")</f>
        <v>Sig</v>
      </c>
      <c r="E342" s="1" t="str">
        <f>IF(AND(H342&gt;2,J342&gt;2,L342&gt;2,N342&gt;2),"Y","N")</f>
        <v>Y</v>
      </c>
      <c r="F342" s="1" t="str">
        <f>IF(AND(P342&gt;2,R342&gt;2,T342&gt;2,V342&gt;2),"Y","N")</f>
        <v>N</v>
      </c>
      <c r="G342" s="1" t="str">
        <f>IF(OR(E342="Y", F342="Y"), "Expressed", "N")</f>
        <v>Expressed</v>
      </c>
      <c r="H342" s="8">
        <v>10.553868430606</v>
      </c>
      <c r="I342" s="8">
        <v>1010</v>
      </c>
      <c r="J342" s="8">
        <v>4.3479007784803461</v>
      </c>
      <c r="K342" s="8">
        <v>932</v>
      </c>
      <c r="L342" s="8">
        <v>18.149306813089488</v>
      </c>
      <c r="M342" s="8">
        <v>3017</v>
      </c>
      <c r="N342" s="8">
        <v>6.0641736183560484</v>
      </c>
      <c r="O342" s="8">
        <v>600</v>
      </c>
      <c r="P342" s="9">
        <v>2.9456648848743781</v>
      </c>
      <c r="Q342" s="9">
        <v>1018</v>
      </c>
      <c r="R342" s="9">
        <v>10.754062057142299</v>
      </c>
      <c r="S342" s="9">
        <v>207</v>
      </c>
      <c r="T342" s="9">
        <v>3.7013376805121689</v>
      </c>
      <c r="U342" s="9">
        <v>184</v>
      </c>
      <c r="V342" s="9">
        <v>0.85186177746132885</v>
      </c>
      <c r="W342" s="9">
        <v>947</v>
      </c>
      <c r="X342">
        <v>835.0249682400655</v>
      </c>
      <c r="Y342">
        <v>-1.291726690306358</v>
      </c>
      <c r="Z342">
        <v>0.33843565769050721</v>
      </c>
      <c r="AA342">
        <v>-3.816757073179379</v>
      </c>
      <c r="AB342">
        <v>1.3521718267144181E-4</v>
      </c>
      <c r="AC342">
        <v>8.2297680819042925E-3</v>
      </c>
      <c r="AD342" t="s">
        <v>3070</v>
      </c>
      <c r="AE342" t="s">
        <v>3071</v>
      </c>
      <c r="AF342" t="s">
        <v>3072</v>
      </c>
      <c r="AG342" t="s">
        <v>3073</v>
      </c>
      <c r="AH342" t="s">
        <v>43</v>
      </c>
      <c r="AI342" t="s">
        <v>43</v>
      </c>
      <c r="AJ342" t="s">
        <v>43</v>
      </c>
      <c r="AK342" t="s">
        <v>43</v>
      </c>
      <c r="AL342" t="s">
        <v>43</v>
      </c>
      <c r="AM342" t="s">
        <v>2210</v>
      </c>
      <c r="AN342" t="s">
        <v>43</v>
      </c>
    </row>
    <row r="343" spans="1:40" x14ac:dyDescent="0.3">
      <c r="A343" t="s">
        <v>3075</v>
      </c>
      <c r="B343">
        <v>4263</v>
      </c>
      <c r="C343" t="str">
        <f>IF(Y343&lt;0, "Down", "Up")</f>
        <v>Down</v>
      </c>
      <c r="D343" s="7" t="str">
        <f>IF(AC343&lt;0.05, "Sig", "N")</f>
        <v>Sig</v>
      </c>
      <c r="E343" s="1" t="str">
        <f>IF(AND(H343&gt;2,J343&gt;2,L343&gt;2,N343&gt;2),"Y","N")</f>
        <v>Y</v>
      </c>
      <c r="F343" s="1" t="str">
        <f>IF(AND(P343&gt;2,R343&gt;2,T343&gt;2,V343&gt;2),"Y","N")</f>
        <v>N</v>
      </c>
      <c r="G343" s="1" t="str">
        <f>IF(OR(E343="Y", F343="Y"), "Expressed", "N")</f>
        <v>Expressed</v>
      </c>
      <c r="H343" s="8">
        <v>4.080903642332653</v>
      </c>
      <c r="I343" s="8">
        <v>774</v>
      </c>
      <c r="J343" s="8">
        <v>4.3076447481914801</v>
      </c>
      <c r="K343" s="8">
        <v>1830</v>
      </c>
      <c r="L343" s="8">
        <v>4.2191465460978863</v>
      </c>
      <c r="M343" s="8">
        <v>1390</v>
      </c>
      <c r="N343" s="8">
        <v>2.5141568787123081</v>
      </c>
      <c r="O343" s="8">
        <v>493</v>
      </c>
      <c r="P343" s="9">
        <v>1.2212486150249591</v>
      </c>
      <c r="Q343" s="9">
        <v>955</v>
      </c>
      <c r="R343" s="9">
        <v>5.0904152300790768</v>
      </c>
      <c r="S343" s="9">
        <v>298</v>
      </c>
      <c r="T343" s="9">
        <v>2.688621732821729</v>
      </c>
      <c r="U343" s="9">
        <v>268</v>
      </c>
      <c r="V343" s="9">
        <v>0.62605311518931528</v>
      </c>
      <c r="W343" s="9">
        <v>1066</v>
      </c>
      <c r="X343">
        <v>761.01742525000111</v>
      </c>
      <c r="Y343">
        <v>-0.72689688320657897</v>
      </c>
      <c r="Z343">
        <v>0.2013178901955078</v>
      </c>
      <c r="AA343">
        <v>-3.6106919385090932</v>
      </c>
      <c r="AB343">
        <v>3.0538121083960882E-4</v>
      </c>
      <c r="AC343">
        <v>1.388427420513467E-2</v>
      </c>
      <c r="AD343" t="s">
        <v>3076</v>
      </c>
      <c r="AE343" t="s">
        <v>3077</v>
      </c>
      <c r="AF343" t="s">
        <v>43</v>
      </c>
      <c r="AG343" t="s">
        <v>3078</v>
      </c>
      <c r="AH343" t="s">
        <v>43</v>
      </c>
      <c r="AI343" t="s">
        <v>43</v>
      </c>
      <c r="AJ343" t="s">
        <v>43</v>
      </c>
      <c r="AK343" t="s">
        <v>43</v>
      </c>
      <c r="AL343" t="s">
        <v>43</v>
      </c>
      <c r="AM343" t="s">
        <v>3079</v>
      </c>
      <c r="AN343" t="s">
        <v>43</v>
      </c>
    </row>
    <row r="344" spans="1:40" x14ac:dyDescent="0.3">
      <c r="A344" t="s">
        <v>3080</v>
      </c>
      <c r="B344">
        <v>1800</v>
      </c>
      <c r="C344" t="str">
        <f>IF(Y344&lt;0, "Down", "Up")</f>
        <v>Down</v>
      </c>
      <c r="D344" s="7" t="str">
        <f>IF(AC344&lt;0.05, "Sig", "N")</f>
        <v>Sig</v>
      </c>
      <c r="E344" s="1" t="str">
        <f>IF(AND(H344&gt;2,J344&gt;2,L344&gt;2,N344&gt;2),"Y","N")</f>
        <v>Y</v>
      </c>
      <c r="F344" s="1" t="str">
        <f>IF(AND(P344&gt;2,R344&gt;2,T344&gt;2,V344&gt;2),"Y","N")</f>
        <v>N</v>
      </c>
      <c r="G344" s="1" t="str">
        <f>IF(OR(E344="Y", F344="Y"), "Expressed", "N")</f>
        <v>Expressed</v>
      </c>
      <c r="H344" s="8">
        <v>4.6576520246694724</v>
      </c>
      <c r="I344" s="8">
        <v>373</v>
      </c>
      <c r="J344" s="8">
        <v>4.259170013666294</v>
      </c>
      <c r="K344" s="8">
        <v>764</v>
      </c>
      <c r="L344" s="8">
        <v>5.2765334719805042</v>
      </c>
      <c r="M344" s="8">
        <v>734</v>
      </c>
      <c r="N344" s="8">
        <v>2.983219676770104</v>
      </c>
      <c r="O344" s="8">
        <v>247</v>
      </c>
      <c r="P344" s="9">
        <v>1.4490952929065759</v>
      </c>
      <c r="Q344" s="9">
        <v>506</v>
      </c>
      <c r="R344" s="9">
        <v>6.3876804558862794</v>
      </c>
      <c r="S344" s="9">
        <v>155</v>
      </c>
      <c r="T344" s="9">
        <v>3.3119819897239919</v>
      </c>
      <c r="U344" s="9">
        <v>133</v>
      </c>
      <c r="V344" s="9">
        <v>0.73581875870008862</v>
      </c>
      <c r="W344" s="9">
        <v>570</v>
      </c>
      <c r="X344">
        <v>375.13804133301761</v>
      </c>
      <c r="Y344">
        <v>-0.59684674765986701</v>
      </c>
      <c r="Z344">
        <v>0.19359903160226619</v>
      </c>
      <c r="AA344">
        <v>-3.082901514125552</v>
      </c>
      <c r="AB344">
        <v>2.049929845943863E-3</v>
      </c>
      <c r="AC344">
        <v>4.7098582524591648E-2</v>
      </c>
      <c r="AD344" t="s">
        <v>3081</v>
      </c>
      <c r="AE344" t="s">
        <v>3082</v>
      </c>
      <c r="AF344" t="s">
        <v>1577</v>
      </c>
      <c r="AG344" t="s">
        <v>3083</v>
      </c>
      <c r="AH344" t="s">
        <v>43</v>
      </c>
      <c r="AI344" t="s">
        <v>43</v>
      </c>
      <c r="AJ344" t="s">
        <v>43</v>
      </c>
      <c r="AK344" t="s">
        <v>43</v>
      </c>
      <c r="AL344" t="s">
        <v>43</v>
      </c>
      <c r="AM344" t="s">
        <v>3084</v>
      </c>
      <c r="AN344" t="s">
        <v>43</v>
      </c>
    </row>
    <row r="345" spans="1:40" x14ac:dyDescent="0.3">
      <c r="A345" t="s">
        <v>3085</v>
      </c>
      <c r="B345">
        <v>1089</v>
      </c>
      <c r="C345" t="str">
        <f>IF(Y345&lt;0, "Down", "Up")</f>
        <v>Down</v>
      </c>
      <c r="D345" s="7" t="str">
        <f>IF(AC345&lt;0.05, "Sig", "N")</f>
        <v>Sig</v>
      </c>
      <c r="E345" s="1" t="str">
        <f>IF(AND(H345&gt;2,J345&gt;2,L345&gt;2,N345&gt;2),"Y","N")</f>
        <v>Y</v>
      </c>
      <c r="F345" s="1" t="str">
        <f>IF(AND(P345&gt;2,R345&gt;2,T345&gt;2,V345&gt;2),"Y","N")</f>
        <v>N</v>
      </c>
      <c r="G345" s="1" t="str">
        <f>IF(OR(E345="Y", F345="Y"), "Expressed", "N")</f>
        <v>Expressed</v>
      </c>
      <c r="H345" s="8">
        <v>10.42303535088775</v>
      </c>
      <c r="I345" s="8">
        <v>505</v>
      </c>
      <c r="J345" s="8">
        <v>4.257142802807814</v>
      </c>
      <c r="K345" s="8">
        <v>462</v>
      </c>
      <c r="L345" s="8">
        <v>16.456862338579501</v>
      </c>
      <c r="M345" s="8">
        <v>1385</v>
      </c>
      <c r="N345" s="8">
        <v>5.0307582463684302</v>
      </c>
      <c r="O345" s="8">
        <v>252</v>
      </c>
      <c r="P345" s="9">
        <v>2.4436846375511569</v>
      </c>
      <c r="Q345" s="9">
        <v>379</v>
      </c>
      <c r="R345" s="9">
        <v>7.9081791813311337</v>
      </c>
      <c r="S345" s="9">
        <v>75</v>
      </c>
      <c r="T345" s="9">
        <v>2.648879223986131</v>
      </c>
      <c r="U345" s="9">
        <v>78</v>
      </c>
      <c r="V345" s="9">
        <v>0.71327736504824346</v>
      </c>
      <c r="W345" s="9">
        <v>414</v>
      </c>
      <c r="X345">
        <v>375.07177944712271</v>
      </c>
      <c r="Y345">
        <v>-1.5134995123818471</v>
      </c>
      <c r="Z345">
        <v>0.35897264694669462</v>
      </c>
      <c r="AA345">
        <v>-4.2161973210359758</v>
      </c>
      <c r="AB345">
        <v>2.4845638108739171E-5</v>
      </c>
      <c r="AC345">
        <v>2.4995769198587719E-3</v>
      </c>
      <c r="AD345" t="s">
        <v>3086</v>
      </c>
      <c r="AE345" t="s">
        <v>3087</v>
      </c>
      <c r="AF345" t="s">
        <v>3088</v>
      </c>
      <c r="AG345" t="s">
        <v>3089</v>
      </c>
      <c r="AH345" t="s">
        <v>43</v>
      </c>
      <c r="AI345" t="s">
        <v>43</v>
      </c>
      <c r="AJ345" t="s">
        <v>43</v>
      </c>
      <c r="AK345" t="s">
        <v>43</v>
      </c>
      <c r="AL345" t="s">
        <v>43</v>
      </c>
      <c r="AM345" t="s">
        <v>3090</v>
      </c>
      <c r="AN345" t="s">
        <v>43</v>
      </c>
    </row>
    <row r="346" spans="1:40" x14ac:dyDescent="0.3">
      <c r="A346" t="s">
        <v>3091</v>
      </c>
      <c r="B346">
        <v>2347</v>
      </c>
      <c r="C346" t="str">
        <f>IF(Y346&lt;0, "Down", "Up")</f>
        <v>Down</v>
      </c>
      <c r="D346" s="7" t="str">
        <f>IF(AC346&lt;0.05, "Sig", "N")</f>
        <v>Sig</v>
      </c>
      <c r="E346" s="1" t="str">
        <f>IF(AND(H346&gt;2,J346&gt;2,L346&gt;2,N346&gt;2),"Y","N")</f>
        <v>Y</v>
      </c>
      <c r="F346" s="1" t="str">
        <f>IF(AND(P346&gt;2,R346&gt;2,T346&gt;2,V346&gt;2),"Y","N")</f>
        <v>N</v>
      </c>
      <c r="G346" s="1" t="str">
        <f>IF(OR(E346="Y", F346="Y"), "Expressed", "N")</f>
        <v>Expressed</v>
      </c>
      <c r="H346" s="8">
        <v>4.5106437703425843</v>
      </c>
      <c r="I346" s="8">
        <v>471</v>
      </c>
      <c r="J346" s="8">
        <v>4.2541628805829506</v>
      </c>
      <c r="K346" s="8">
        <v>995</v>
      </c>
      <c r="L346" s="8">
        <v>8.0769924650824407</v>
      </c>
      <c r="M346" s="8">
        <v>1465</v>
      </c>
      <c r="N346" s="8">
        <v>9.5130141061760565</v>
      </c>
      <c r="O346" s="8">
        <v>1027</v>
      </c>
      <c r="P346" s="9">
        <v>4.6209349147021994</v>
      </c>
      <c r="Q346" s="9">
        <v>650</v>
      </c>
      <c r="R346" s="9">
        <v>6.2931116616679503</v>
      </c>
      <c r="S346" s="9">
        <v>234</v>
      </c>
      <c r="T346" s="9">
        <v>3.8347013045390699</v>
      </c>
      <c r="U346" s="9">
        <v>174</v>
      </c>
      <c r="V346" s="9">
        <v>0.73829151668541115</v>
      </c>
      <c r="W346" s="9">
        <v>762</v>
      </c>
      <c r="X346">
        <v>654.12295176551902</v>
      </c>
      <c r="Y346">
        <v>-1.168864991811799</v>
      </c>
      <c r="Z346">
        <v>0.25127041578838327</v>
      </c>
      <c r="AA346">
        <v>-4.6518209799764163</v>
      </c>
      <c r="AB346">
        <v>3.290166520646046E-6</v>
      </c>
      <c r="AC346">
        <v>5.1513984689479351E-4</v>
      </c>
      <c r="AD346" t="s">
        <v>3092</v>
      </c>
      <c r="AE346" t="s">
        <v>3093</v>
      </c>
      <c r="AF346" t="s">
        <v>3094</v>
      </c>
      <c r="AG346" t="s">
        <v>3095</v>
      </c>
      <c r="AH346" t="s">
        <v>43</v>
      </c>
      <c r="AI346" t="s">
        <v>43</v>
      </c>
      <c r="AJ346" t="s">
        <v>43</v>
      </c>
      <c r="AK346" t="s">
        <v>43</v>
      </c>
      <c r="AL346" t="s">
        <v>43</v>
      </c>
      <c r="AM346" t="s">
        <v>3096</v>
      </c>
      <c r="AN346" t="s">
        <v>43</v>
      </c>
    </row>
    <row r="347" spans="1:40" x14ac:dyDescent="0.3">
      <c r="A347" t="s">
        <v>3097</v>
      </c>
      <c r="B347">
        <v>1452</v>
      </c>
      <c r="C347" t="str">
        <f>IF(Y347&lt;0, "Down", "Up")</f>
        <v>Down</v>
      </c>
      <c r="D347" s="7" t="str">
        <f>IF(AC347&lt;0.05, "Sig", "N")</f>
        <v>Sig</v>
      </c>
      <c r="E347" s="1" t="str">
        <f>IF(AND(H347&gt;2,J347&gt;2,L347&gt;2,N347&gt;2),"Y","N")</f>
        <v>Y</v>
      </c>
      <c r="F347" s="1" t="str">
        <f>IF(AND(P347&gt;2,R347&gt;2,T347&gt;2,V347&gt;2),"Y","N")</f>
        <v>N</v>
      </c>
      <c r="G347" s="1" t="str">
        <f>IF(OR(E347="Y", F347="Y"), "Expressed", "N")</f>
        <v>Expressed</v>
      </c>
      <c r="H347" s="8">
        <v>4.8142039516724102</v>
      </c>
      <c r="I347" s="8">
        <v>311</v>
      </c>
      <c r="J347" s="8">
        <v>4.2294990183739971</v>
      </c>
      <c r="K347" s="8">
        <v>612</v>
      </c>
      <c r="L347" s="8">
        <v>6.9065351872197356</v>
      </c>
      <c r="M347" s="8">
        <v>775</v>
      </c>
      <c r="N347" s="8">
        <v>3.1741688935419861</v>
      </c>
      <c r="O347" s="8">
        <v>212</v>
      </c>
      <c r="P347" s="9">
        <v>1.541848640359659</v>
      </c>
      <c r="Q347" s="9">
        <v>284</v>
      </c>
      <c r="R347" s="9">
        <v>4.4444384317243566</v>
      </c>
      <c r="S347" s="9">
        <v>96</v>
      </c>
      <c r="T347" s="9">
        <v>2.5429240550266861</v>
      </c>
      <c r="U347" s="9">
        <v>71</v>
      </c>
      <c r="V347" s="9">
        <v>0.48694897036947388</v>
      </c>
      <c r="W347" s="9">
        <v>460</v>
      </c>
      <c r="X347">
        <v>295.44020913384691</v>
      </c>
      <c r="Y347">
        <v>-1.072344265189328</v>
      </c>
      <c r="Z347">
        <v>0.25085774238287573</v>
      </c>
      <c r="AA347">
        <v>-4.2747106587312143</v>
      </c>
      <c r="AB347">
        <v>1.913856752567028E-5</v>
      </c>
      <c r="AC347">
        <v>2.0755688689995258E-3</v>
      </c>
      <c r="AD347" t="s">
        <v>3098</v>
      </c>
      <c r="AE347" t="s">
        <v>3099</v>
      </c>
      <c r="AF347" t="s">
        <v>3100</v>
      </c>
      <c r="AG347" t="s">
        <v>3101</v>
      </c>
      <c r="AH347" t="s">
        <v>43</v>
      </c>
      <c r="AI347" t="s">
        <v>43</v>
      </c>
      <c r="AJ347" t="s">
        <v>43</v>
      </c>
      <c r="AK347" t="s">
        <v>43</v>
      </c>
      <c r="AL347" t="s">
        <v>43</v>
      </c>
      <c r="AM347" t="s">
        <v>2442</v>
      </c>
      <c r="AN347" t="s">
        <v>43</v>
      </c>
    </row>
    <row r="348" spans="1:40" x14ac:dyDescent="0.3">
      <c r="A348" t="s">
        <v>3102</v>
      </c>
      <c r="B348">
        <v>902</v>
      </c>
      <c r="C348" t="str">
        <f>IF(Y348&lt;0, "Down", "Up")</f>
        <v>Down</v>
      </c>
      <c r="D348" s="7" t="str">
        <f>IF(AC348&lt;0.05, "Sig", "N")</f>
        <v>Sig</v>
      </c>
      <c r="E348" s="1" t="str">
        <f>IF(AND(H348&gt;2,J348&gt;2,L348&gt;2,N348&gt;2),"Y","N")</f>
        <v>Y</v>
      </c>
      <c r="F348" s="1" t="str">
        <f>IF(AND(P348&gt;2,R348&gt;2,T348&gt;2,V348&gt;2),"Y","N")</f>
        <v>N</v>
      </c>
      <c r="G348" s="1" t="str">
        <f>IF(OR(E348="Y", F348="Y"), "Expressed", "N")</f>
        <v>Expressed</v>
      </c>
      <c r="H348" s="8">
        <v>5.1830751979106617</v>
      </c>
      <c r="I348" s="8">
        <v>208</v>
      </c>
      <c r="J348" s="8">
        <v>4.2274763024398156</v>
      </c>
      <c r="K348" s="8">
        <v>380</v>
      </c>
      <c r="L348" s="8">
        <v>9.324637593445372</v>
      </c>
      <c r="M348" s="8">
        <v>650</v>
      </c>
      <c r="N348" s="8">
        <v>5.0373315367600267</v>
      </c>
      <c r="O348" s="8">
        <v>209</v>
      </c>
      <c r="P348" s="9">
        <v>2.4468776052831491</v>
      </c>
      <c r="Q348" s="9">
        <v>316</v>
      </c>
      <c r="R348" s="9">
        <v>7.9605984139508079</v>
      </c>
      <c r="S348" s="9">
        <v>82</v>
      </c>
      <c r="T348" s="9">
        <v>3.4965205756616928</v>
      </c>
      <c r="U348" s="9">
        <v>73</v>
      </c>
      <c r="V348" s="9">
        <v>0.80594989324635025</v>
      </c>
      <c r="W348" s="9">
        <v>307</v>
      </c>
      <c r="X348">
        <v>237.89644391594911</v>
      </c>
      <c r="Y348">
        <v>-0.8705120775904055</v>
      </c>
      <c r="Z348">
        <v>0.2372800876842536</v>
      </c>
      <c r="AA348">
        <v>-3.6687110413950439</v>
      </c>
      <c r="AB348">
        <v>2.437764165800901E-4</v>
      </c>
      <c r="AC348">
        <v>1.2204018341467801E-2</v>
      </c>
      <c r="AD348" t="s">
        <v>3103</v>
      </c>
      <c r="AE348" t="s">
        <v>3104</v>
      </c>
      <c r="AF348" t="s">
        <v>3105</v>
      </c>
      <c r="AG348" t="s">
        <v>3106</v>
      </c>
      <c r="AH348" t="s">
        <v>43</v>
      </c>
      <c r="AI348" t="s">
        <v>43</v>
      </c>
      <c r="AJ348" t="s">
        <v>43</v>
      </c>
      <c r="AK348" t="s">
        <v>43</v>
      </c>
      <c r="AL348" t="s">
        <v>43</v>
      </c>
      <c r="AM348" t="s">
        <v>3107</v>
      </c>
      <c r="AN348" t="s">
        <v>43</v>
      </c>
    </row>
    <row r="349" spans="1:40" x14ac:dyDescent="0.3">
      <c r="A349" t="s">
        <v>3108</v>
      </c>
      <c r="B349">
        <v>3713</v>
      </c>
      <c r="C349" t="str">
        <f>IF(Y349&lt;0, "Down", "Up")</f>
        <v>Down</v>
      </c>
      <c r="D349" s="7" t="str">
        <f>IF(AC349&lt;0.05, "Sig", "N")</f>
        <v>Sig</v>
      </c>
      <c r="E349" s="1" t="str">
        <f>IF(AND(H349&gt;2,J349&gt;2,L349&gt;2,N349&gt;2),"Y","N")</f>
        <v>Y</v>
      </c>
      <c r="F349" s="1" t="str">
        <f>IF(AND(P349&gt;2,R349&gt;2,T349&gt;2,V349&gt;2),"Y","N")</f>
        <v>N</v>
      </c>
      <c r="G349" s="1" t="str">
        <f>IF(OR(E349="Y", F349="Y"), "Expressed", "N")</f>
        <v>Expressed</v>
      </c>
      <c r="H349" s="8">
        <v>7.1128496660714111</v>
      </c>
      <c r="I349" s="8">
        <v>1175</v>
      </c>
      <c r="J349" s="8">
        <v>4.2214359377001962</v>
      </c>
      <c r="K349" s="8">
        <v>1562</v>
      </c>
      <c r="L349" s="8">
        <v>8.5138042453706984</v>
      </c>
      <c r="M349" s="8">
        <v>2443</v>
      </c>
      <c r="N349" s="8">
        <v>4.613834955126169</v>
      </c>
      <c r="O349" s="8">
        <v>788</v>
      </c>
      <c r="P349" s="9">
        <v>2.2411646610483218</v>
      </c>
      <c r="Q349" s="9">
        <v>1245</v>
      </c>
      <c r="R349" s="9">
        <v>7.6192034937822104</v>
      </c>
      <c r="S349" s="9">
        <v>363</v>
      </c>
      <c r="T349" s="9">
        <v>3.7601957066030538</v>
      </c>
      <c r="U349" s="9">
        <v>257</v>
      </c>
      <c r="V349" s="9">
        <v>0.68928669190076119</v>
      </c>
      <c r="W349" s="9">
        <v>1217</v>
      </c>
      <c r="X349">
        <v>986.27165439716271</v>
      </c>
      <c r="Y349">
        <v>-0.99121863612799299</v>
      </c>
      <c r="Z349">
        <v>0.20670785668304151</v>
      </c>
      <c r="AA349">
        <v>-4.7952634797422933</v>
      </c>
      <c r="AB349">
        <v>1.6246115364835561E-6</v>
      </c>
      <c r="AC349">
        <v>3.2404707667927469E-4</v>
      </c>
      <c r="AD349" t="s">
        <v>3109</v>
      </c>
      <c r="AE349" t="s">
        <v>3110</v>
      </c>
      <c r="AF349" t="s">
        <v>3111</v>
      </c>
      <c r="AG349" t="s">
        <v>2868</v>
      </c>
      <c r="AH349" t="s">
        <v>43</v>
      </c>
      <c r="AI349" t="s">
        <v>43</v>
      </c>
      <c r="AJ349" t="s">
        <v>43</v>
      </c>
      <c r="AK349" t="s">
        <v>43</v>
      </c>
      <c r="AL349" t="s">
        <v>43</v>
      </c>
      <c r="AM349" t="s">
        <v>2869</v>
      </c>
      <c r="AN349" t="s">
        <v>43</v>
      </c>
    </row>
    <row r="350" spans="1:40" x14ac:dyDescent="0.3">
      <c r="A350" t="s">
        <v>3118</v>
      </c>
      <c r="B350">
        <v>1710</v>
      </c>
      <c r="C350" t="str">
        <f>IF(Y350&lt;0, "Down", "Up")</f>
        <v>Down</v>
      </c>
      <c r="D350" s="7" t="str">
        <f>IF(AC350&lt;0.05, "Sig", "N")</f>
        <v>Sig</v>
      </c>
      <c r="E350" s="1" t="str">
        <f>IF(AND(H350&gt;2,J350&gt;2,L350&gt;2,N350&gt;2),"Y","N")</f>
        <v>Y</v>
      </c>
      <c r="F350" s="1" t="str">
        <f>IF(AND(P350&gt;2,R350&gt;2,T350&gt;2,V350&gt;2),"Y","N")</f>
        <v>N</v>
      </c>
      <c r="G350" s="1" t="str">
        <f>IF(OR(E350="Y", F350="Y"), "Expressed", "N")</f>
        <v>Expressed</v>
      </c>
      <c r="H350" s="8">
        <v>4.3244462145230882</v>
      </c>
      <c r="I350" s="8">
        <v>329</v>
      </c>
      <c r="J350" s="8">
        <v>4.2016612424704691</v>
      </c>
      <c r="K350" s="8">
        <v>716</v>
      </c>
      <c r="L350" s="8">
        <v>6.6287728688583423</v>
      </c>
      <c r="M350" s="8">
        <v>876</v>
      </c>
      <c r="N350" s="8">
        <v>3.7631920917278969</v>
      </c>
      <c r="O350" s="8">
        <v>296</v>
      </c>
      <c r="P350" s="9">
        <v>1.8279659352241491</v>
      </c>
      <c r="Q350" s="9">
        <v>463</v>
      </c>
      <c r="R350" s="9">
        <v>6.1524777430317199</v>
      </c>
      <c r="S350" s="9">
        <v>189</v>
      </c>
      <c r="T350" s="9">
        <v>4.2510329104097426</v>
      </c>
      <c r="U350" s="9">
        <v>106</v>
      </c>
      <c r="V350" s="9">
        <v>0.61730738759168502</v>
      </c>
      <c r="W350" s="9">
        <v>407</v>
      </c>
      <c r="X350">
        <v>366.56368266155198</v>
      </c>
      <c r="Y350">
        <v>-0.83022832550479142</v>
      </c>
      <c r="Z350">
        <v>0.16503931227226901</v>
      </c>
      <c r="AA350">
        <v>-5.030488276242604</v>
      </c>
      <c r="AB350">
        <v>4.8923230383108267E-7</v>
      </c>
      <c r="AC350">
        <v>1.427954336688204E-4</v>
      </c>
      <c r="AD350" t="s">
        <v>3119</v>
      </c>
      <c r="AE350" t="s">
        <v>3120</v>
      </c>
      <c r="AF350" t="s">
        <v>3121</v>
      </c>
      <c r="AG350" t="s">
        <v>3122</v>
      </c>
      <c r="AH350" t="s">
        <v>43</v>
      </c>
      <c r="AI350" t="s">
        <v>43</v>
      </c>
      <c r="AJ350" t="s">
        <v>43</v>
      </c>
      <c r="AK350" t="s">
        <v>43</v>
      </c>
      <c r="AL350" t="s">
        <v>43</v>
      </c>
      <c r="AM350" t="s">
        <v>2022</v>
      </c>
      <c r="AN350" t="s">
        <v>43</v>
      </c>
    </row>
    <row r="351" spans="1:40" x14ac:dyDescent="0.3">
      <c r="A351" t="s">
        <v>3123</v>
      </c>
      <c r="B351">
        <v>3101</v>
      </c>
      <c r="C351" t="str">
        <f>IF(Y351&lt;0, "Down", "Up")</f>
        <v>Down</v>
      </c>
      <c r="D351" s="7" t="str">
        <f>IF(AC351&lt;0.05, "Sig", "N")</f>
        <v>Sig</v>
      </c>
      <c r="E351" s="1" t="str">
        <f>IF(AND(H351&gt;2,J351&gt;2,L351&gt;2,N351&gt;2),"Y","N")</f>
        <v>Y</v>
      </c>
      <c r="F351" s="1" t="str">
        <f>IF(AND(P351&gt;2,R351&gt;2,T351&gt;2,V351&gt;2),"Y","N")</f>
        <v>N</v>
      </c>
      <c r="G351" s="1" t="str">
        <f>IF(OR(E351="Y", F351="Y"), "Expressed", "N")</f>
        <v>Expressed</v>
      </c>
      <c r="H351" s="8">
        <v>6.8930188011903128</v>
      </c>
      <c r="I351" s="8">
        <v>951</v>
      </c>
      <c r="J351" s="8">
        <v>4.197032503408515</v>
      </c>
      <c r="K351" s="8">
        <v>1297</v>
      </c>
      <c r="L351" s="8">
        <v>7.5234857569745586</v>
      </c>
      <c r="M351" s="8">
        <v>1803</v>
      </c>
      <c r="N351" s="8">
        <v>6.9195232538932432</v>
      </c>
      <c r="O351" s="8">
        <v>987</v>
      </c>
      <c r="P351" s="9">
        <v>3.361149919482449</v>
      </c>
      <c r="Q351" s="9">
        <v>1474</v>
      </c>
      <c r="R351" s="9">
        <v>10.80092344657243</v>
      </c>
      <c r="S351" s="9">
        <v>338</v>
      </c>
      <c r="T351" s="9">
        <v>4.1922165431506526</v>
      </c>
      <c r="U351" s="9">
        <v>267</v>
      </c>
      <c r="V351" s="9">
        <v>0.85743501473272654</v>
      </c>
      <c r="W351" s="9">
        <v>868</v>
      </c>
      <c r="X351">
        <v>899.2117825433279</v>
      </c>
      <c r="Y351">
        <v>-0.85373162304192152</v>
      </c>
      <c r="Z351">
        <v>0.23230502390705629</v>
      </c>
      <c r="AA351">
        <v>-3.675045888734175</v>
      </c>
      <c r="AB351">
        <v>2.3780666817788441E-4</v>
      </c>
      <c r="AC351">
        <v>1.2090806987229131E-2</v>
      </c>
      <c r="AD351" t="s">
        <v>3124</v>
      </c>
      <c r="AE351" t="s">
        <v>3125</v>
      </c>
      <c r="AF351" t="s">
        <v>3126</v>
      </c>
      <c r="AG351" t="s">
        <v>3127</v>
      </c>
      <c r="AH351" t="s">
        <v>43</v>
      </c>
      <c r="AI351" t="s">
        <v>43</v>
      </c>
      <c r="AJ351" t="s">
        <v>43</v>
      </c>
      <c r="AK351" t="s">
        <v>43</v>
      </c>
      <c r="AL351" t="s">
        <v>43</v>
      </c>
      <c r="AM351" t="s">
        <v>3128</v>
      </c>
      <c r="AN351" t="s">
        <v>43</v>
      </c>
    </row>
    <row r="352" spans="1:40" x14ac:dyDescent="0.3">
      <c r="A352" t="s">
        <v>3129</v>
      </c>
      <c r="B352">
        <v>1009</v>
      </c>
      <c r="C352" t="str">
        <f>IF(Y352&lt;0, "Down", "Up")</f>
        <v>Down</v>
      </c>
      <c r="D352" s="7" t="str">
        <f>IF(AC352&lt;0.05, "Sig", "N")</f>
        <v>Sig</v>
      </c>
      <c r="E352" s="1" t="str">
        <f>IF(AND(H352&gt;2,J352&gt;2,L352&gt;2,N352&gt;2),"Y","N")</f>
        <v>Y</v>
      </c>
      <c r="F352" s="1" t="str">
        <f>IF(AND(P352&gt;2,R352&gt;2,T352&gt;2,V352&gt;2),"Y","N")</f>
        <v>N</v>
      </c>
      <c r="G352" s="1" t="str">
        <f>IF(OR(E352="Y", F352="Y"), "Expressed", "N")</f>
        <v>Expressed</v>
      </c>
      <c r="H352" s="8">
        <v>8.1530598709529745</v>
      </c>
      <c r="I352" s="8">
        <v>366</v>
      </c>
      <c r="J352" s="8">
        <v>4.1769785676706999</v>
      </c>
      <c r="K352" s="8">
        <v>420</v>
      </c>
      <c r="L352" s="8">
        <v>15.722602930527939</v>
      </c>
      <c r="M352" s="8">
        <v>1226</v>
      </c>
      <c r="N352" s="8">
        <v>4.6970600673476728</v>
      </c>
      <c r="O352" s="8">
        <v>218</v>
      </c>
      <c r="P352" s="9">
        <v>2.2815911570623109</v>
      </c>
      <c r="Q352" s="9">
        <v>273</v>
      </c>
      <c r="R352" s="9">
        <v>6.1480395335704312</v>
      </c>
      <c r="S352" s="9">
        <v>92</v>
      </c>
      <c r="T352" s="9">
        <v>3.5069165734089531</v>
      </c>
      <c r="U352" s="9">
        <v>78</v>
      </c>
      <c r="V352" s="9">
        <v>0.76983057535930344</v>
      </c>
      <c r="W352" s="9">
        <v>270</v>
      </c>
      <c r="X352">
        <v>313.43166952074472</v>
      </c>
      <c r="Y352">
        <v>-1.5233285973077151</v>
      </c>
      <c r="Z352">
        <v>0.31940394527503962</v>
      </c>
      <c r="AA352">
        <v>-4.7692854764081654</v>
      </c>
      <c r="AB352">
        <v>1.8488050634013751E-6</v>
      </c>
      <c r="AC352">
        <v>3.4690039134075638E-4</v>
      </c>
      <c r="AD352" t="s">
        <v>3130</v>
      </c>
      <c r="AE352" t="s">
        <v>3131</v>
      </c>
      <c r="AF352" t="s">
        <v>3132</v>
      </c>
      <c r="AG352" t="s">
        <v>3133</v>
      </c>
      <c r="AH352" t="s">
        <v>43</v>
      </c>
      <c r="AI352" t="s">
        <v>43</v>
      </c>
      <c r="AJ352" t="s">
        <v>43</v>
      </c>
      <c r="AK352" t="s">
        <v>43</v>
      </c>
      <c r="AL352" t="s">
        <v>43</v>
      </c>
      <c r="AM352" t="s">
        <v>1009</v>
      </c>
      <c r="AN352" t="s">
        <v>43</v>
      </c>
    </row>
    <row r="353" spans="1:40" x14ac:dyDescent="0.3">
      <c r="A353" t="s">
        <v>3134</v>
      </c>
      <c r="B353">
        <v>2706</v>
      </c>
      <c r="C353" t="str">
        <f>IF(Y353&lt;0, "Down", "Up")</f>
        <v>Down</v>
      </c>
      <c r="D353" s="7" t="str">
        <f>IF(AC353&lt;0.05, "Sig", "N")</f>
        <v>Sig</v>
      </c>
      <c r="E353" s="1" t="str">
        <f>IF(AND(H353&gt;2,J353&gt;2,L353&gt;2,N353&gt;2),"Y","N")</f>
        <v>Y</v>
      </c>
      <c r="F353" s="1" t="str">
        <f>IF(AND(P353&gt;2,R353&gt;2,T353&gt;2,V353&gt;2),"Y","N")</f>
        <v>N</v>
      </c>
      <c r="G353" s="1" t="str">
        <f>IF(OR(E353="Y", F353="Y"), "Expressed", "N")</f>
        <v>Expressed</v>
      </c>
      <c r="H353" s="8">
        <v>4.2112485983024124</v>
      </c>
      <c r="I353" s="8">
        <v>507</v>
      </c>
      <c r="J353" s="8">
        <v>4.1718516142498174</v>
      </c>
      <c r="K353" s="8">
        <v>1125</v>
      </c>
      <c r="L353" s="8">
        <v>3.5911809398346022</v>
      </c>
      <c r="M353" s="8">
        <v>751</v>
      </c>
      <c r="N353" s="8">
        <v>3.3341189597374981</v>
      </c>
      <c r="O353" s="8">
        <v>415</v>
      </c>
      <c r="P353" s="9">
        <v>1.6195441885047961</v>
      </c>
      <c r="Q353" s="9">
        <v>697</v>
      </c>
      <c r="R353" s="9">
        <v>5.8528872305102464</v>
      </c>
      <c r="S353" s="9">
        <v>269</v>
      </c>
      <c r="T353" s="9">
        <v>3.8234310359877859</v>
      </c>
      <c r="U353" s="9">
        <v>184</v>
      </c>
      <c r="V353" s="9">
        <v>0.67714511578688785</v>
      </c>
      <c r="W353" s="9">
        <v>765</v>
      </c>
      <c r="X353">
        <v>521.81730846770517</v>
      </c>
      <c r="Y353">
        <v>-0.5179324085483703</v>
      </c>
      <c r="Z353">
        <v>0.16401244693759251</v>
      </c>
      <c r="AA353">
        <v>-3.1578847716688609</v>
      </c>
      <c r="AB353">
        <v>1.58918360394381E-3</v>
      </c>
      <c r="AC353">
        <v>4.0634152204542758E-2</v>
      </c>
      <c r="AD353" t="s">
        <v>3135</v>
      </c>
      <c r="AE353" t="s">
        <v>3136</v>
      </c>
      <c r="AF353" t="s">
        <v>3137</v>
      </c>
      <c r="AG353" t="s">
        <v>3138</v>
      </c>
      <c r="AH353" t="s">
        <v>43</v>
      </c>
      <c r="AI353" t="s">
        <v>43</v>
      </c>
      <c r="AJ353" t="s">
        <v>43</v>
      </c>
      <c r="AK353" t="s">
        <v>43</v>
      </c>
      <c r="AL353" t="s">
        <v>43</v>
      </c>
      <c r="AM353" t="s">
        <v>3139</v>
      </c>
      <c r="AN353" t="s">
        <v>43</v>
      </c>
    </row>
    <row r="354" spans="1:40" x14ac:dyDescent="0.3">
      <c r="A354" t="s">
        <v>3140</v>
      </c>
      <c r="B354">
        <v>1373</v>
      </c>
      <c r="C354" t="str">
        <f>IF(Y354&lt;0, "Down", "Up")</f>
        <v>Down</v>
      </c>
      <c r="D354" s="7" t="str">
        <f>IF(AC354&lt;0.05, "Sig", "N")</f>
        <v>Sig</v>
      </c>
      <c r="E354" s="1" t="str">
        <f>IF(AND(H354&gt;2,J354&gt;2,L354&gt;2,N354&gt;2),"Y","N")</f>
        <v>Y</v>
      </c>
      <c r="F354" s="1" t="str">
        <f>IF(AND(P354&gt;2,R354&gt;2,T354&gt;2,V354&gt;2),"Y","N")</f>
        <v>N</v>
      </c>
      <c r="G354" s="1" t="str">
        <f>IF(OR(E354="Y", F354="Y"), "Expressed", "N")</f>
        <v>Expressed</v>
      </c>
      <c r="H354" s="8">
        <v>5.2221682282495454</v>
      </c>
      <c r="I354" s="8">
        <v>319</v>
      </c>
      <c r="J354" s="8">
        <v>4.1293532181017421</v>
      </c>
      <c r="K354" s="8">
        <v>565</v>
      </c>
      <c r="L354" s="8">
        <v>7.4075936622781704</v>
      </c>
      <c r="M354" s="8">
        <v>786</v>
      </c>
      <c r="N354" s="8">
        <v>4.5601878932849624</v>
      </c>
      <c r="O354" s="8">
        <v>288</v>
      </c>
      <c r="P354" s="9">
        <v>2.2151056666679509</v>
      </c>
      <c r="Q354" s="9">
        <v>472</v>
      </c>
      <c r="R354" s="9">
        <v>7.8115394800931908</v>
      </c>
      <c r="S354" s="9">
        <v>231</v>
      </c>
      <c r="T354" s="9">
        <v>6.470982361803614</v>
      </c>
      <c r="U354" s="9">
        <v>101</v>
      </c>
      <c r="V354" s="9">
        <v>0.7325589118371828</v>
      </c>
      <c r="W354" s="9">
        <v>336</v>
      </c>
      <c r="X354">
        <v>345.78838730158071</v>
      </c>
      <c r="Y354">
        <v>-0.66841365228369465</v>
      </c>
      <c r="Z354">
        <v>0.20732158345624771</v>
      </c>
      <c r="AA354">
        <v>-3.224042770369608</v>
      </c>
      <c r="AB354">
        <v>1.263945203268998E-3</v>
      </c>
      <c r="AC354">
        <v>3.5701544200341287E-2</v>
      </c>
    </row>
    <row r="355" spans="1:40" x14ac:dyDescent="0.3">
      <c r="A355" t="s">
        <v>3141</v>
      </c>
      <c r="B355">
        <v>835</v>
      </c>
      <c r="C355" t="str">
        <f>IF(Y355&lt;0, "Down", "Up")</f>
        <v>Down</v>
      </c>
      <c r="D355" s="7" t="str">
        <f>IF(AC355&lt;0.05, "Sig", "N")</f>
        <v>Sig</v>
      </c>
      <c r="E355" s="1" t="str">
        <f>IF(AND(H355&gt;2,J355&gt;2,L355&gt;2,N355&gt;2),"Y","N")</f>
        <v>Y</v>
      </c>
      <c r="F355" s="1" t="str">
        <f>IF(AND(P355&gt;2,R355&gt;2,T355&gt;2,V355&gt;2),"Y","N")</f>
        <v>N</v>
      </c>
      <c r="G355" s="1" t="str">
        <f>IF(OR(E355="Y", F355="Y"), "Expressed", "N")</f>
        <v>Expressed</v>
      </c>
      <c r="H355" s="8">
        <v>4.1723039119063197</v>
      </c>
      <c r="I355" s="8">
        <v>155</v>
      </c>
      <c r="J355" s="8">
        <v>4.1220358755330748</v>
      </c>
      <c r="K355" s="8">
        <v>343</v>
      </c>
      <c r="L355" s="8">
        <v>5.1448977840322891</v>
      </c>
      <c r="M355" s="8">
        <v>332</v>
      </c>
      <c r="N355" s="8">
        <v>4.3219764814609194</v>
      </c>
      <c r="O355" s="8">
        <v>166</v>
      </c>
      <c r="P355" s="9">
        <v>2.099394766033043</v>
      </c>
      <c r="Q355" s="9">
        <v>247</v>
      </c>
      <c r="R355" s="9">
        <v>6.7216461875151827</v>
      </c>
      <c r="S355" s="9">
        <v>80</v>
      </c>
      <c r="T355" s="9">
        <v>3.684955816266215</v>
      </c>
      <c r="U355" s="9">
        <v>40</v>
      </c>
      <c r="V355" s="9">
        <v>0.47705146662830472</v>
      </c>
      <c r="W355" s="9">
        <v>287</v>
      </c>
      <c r="X355">
        <v>175.93189370973511</v>
      </c>
      <c r="Y355">
        <v>-0.66638447061423456</v>
      </c>
      <c r="Z355">
        <v>0.21444331059449959</v>
      </c>
      <c r="AA355">
        <v>-3.107508780604169</v>
      </c>
      <c r="AB355">
        <v>1.886713805865686E-3</v>
      </c>
      <c r="AC355">
        <v>4.4871220308882742E-2</v>
      </c>
      <c r="AD355" t="s">
        <v>3142</v>
      </c>
      <c r="AE355" t="s">
        <v>3143</v>
      </c>
      <c r="AF355" t="s">
        <v>3144</v>
      </c>
      <c r="AG355" t="s">
        <v>43</v>
      </c>
      <c r="AH355" t="s">
        <v>43</v>
      </c>
      <c r="AI355" t="s">
        <v>43</v>
      </c>
      <c r="AJ355" t="s">
        <v>43</v>
      </c>
      <c r="AK355" t="s">
        <v>43</v>
      </c>
      <c r="AL355" t="s">
        <v>43</v>
      </c>
      <c r="AM355" t="s">
        <v>43</v>
      </c>
      <c r="AN355" t="s">
        <v>43</v>
      </c>
    </row>
    <row r="356" spans="1:40" x14ac:dyDescent="0.3">
      <c r="A356" t="s">
        <v>3145</v>
      </c>
      <c r="B356">
        <v>2017</v>
      </c>
      <c r="C356" t="str">
        <f>IF(Y356&lt;0, "Down", "Up")</f>
        <v>Down</v>
      </c>
      <c r="D356" s="7" t="str">
        <f>IF(AC356&lt;0.05, "Sig", "N")</f>
        <v>Sig</v>
      </c>
      <c r="E356" s="1" t="str">
        <f>IF(AND(H356&gt;2,J356&gt;2,L356&gt;2,N356&gt;2),"Y","N")</f>
        <v>Y</v>
      </c>
      <c r="F356" s="1" t="str">
        <f>IF(AND(P356&gt;2,R356&gt;2,T356&gt;2,V356&gt;2),"Y","N")</f>
        <v>N</v>
      </c>
      <c r="G356" s="1" t="str">
        <f>IF(OR(E356="Y", F356="Y"), "Expressed", "N")</f>
        <v>Expressed</v>
      </c>
      <c r="H356" s="8">
        <v>3.7999614705859739</v>
      </c>
      <c r="I356" s="8">
        <v>341</v>
      </c>
      <c r="J356" s="8">
        <v>4.1193487479255158</v>
      </c>
      <c r="K356" s="8">
        <v>828</v>
      </c>
      <c r="L356" s="8">
        <v>6.0753209141493274</v>
      </c>
      <c r="M356" s="8">
        <v>947</v>
      </c>
      <c r="N356" s="8">
        <v>2.7269389155761159</v>
      </c>
      <c r="O356" s="8">
        <v>253</v>
      </c>
      <c r="P356" s="9">
        <v>1.3246072280146179</v>
      </c>
      <c r="Q356" s="9">
        <v>399</v>
      </c>
      <c r="R356" s="9">
        <v>4.4950255862888042</v>
      </c>
      <c r="S356" s="9">
        <v>126</v>
      </c>
      <c r="T356" s="9">
        <v>2.4026660971081339</v>
      </c>
      <c r="U356" s="9">
        <v>71</v>
      </c>
      <c r="V356" s="9">
        <v>0.35054531729126243</v>
      </c>
      <c r="W356" s="9">
        <v>268</v>
      </c>
      <c r="X356">
        <v>338.96482600613768</v>
      </c>
      <c r="Y356">
        <v>-1.3568561845458429</v>
      </c>
      <c r="Z356">
        <v>0.22935150658556891</v>
      </c>
      <c r="AA356">
        <v>-5.916055249628859</v>
      </c>
      <c r="AB356">
        <v>3.2975448296791829E-9</v>
      </c>
      <c r="AC356">
        <v>2.9984828793567398E-6</v>
      </c>
      <c r="AD356" t="s">
        <v>3146</v>
      </c>
      <c r="AE356" t="s">
        <v>3147</v>
      </c>
      <c r="AF356" t="s">
        <v>43</v>
      </c>
      <c r="AG356" t="s">
        <v>3148</v>
      </c>
      <c r="AH356" t="s">
        <v>43</v>
      </c>
      <c r="AI356" t="s">
        <v>43</v>
      </c>
      <c r="AJ356" t="s">
        <v>43</v>
      </c>
      <c r="AK356" t="s">
        <v>43</v>
      </c>
      <c r="AL356" t="s">
        <v>43</v>
      </c>
      <c r="AM356" t="s">
        <v>3149</v>
      </c>
      <c r="AN356" t="s">
        <v>43</v>
      </c>
    </row>
    <row r="357" spans="1:40" x14ac:dyDescent="0.3">
      <c r="A357" t="s">
        <v>3150</v>
      </c>
      <c r="B357">
        <v>2637</v>
      </c>
      <c r="C357" t="str">
        <f>IF(Y357&lt;0, "Down", "Up")</f>
        <v>Down</v>
      </c>
      <c r="D357" s="7" t="str">
        <f>IF(AC357&lt;0.05, "Sig", "N")</f>
        <v>Sig</v>
      </c>
      <c r="E357" s="1" t="str">
        <f>IF(AND(H357&gt;2,J357&gt;2,L357&gt;2,N357&gt;2),"Y","N")</f>
        <v>Y</v>
      </c>
      <c r="F357" s="1" t="str">
        <f>IF(AND(P357&gt;2,R357&gt;2,T357&gt;2,V357&gt;2),"Y","N")</f>
        <v>N</v>
      </c>
      <c r="G357" s="1" t="str">
        <f>IF(OR(E357="Y", F357="Y"), "Expressed", "N")</f>
        <v>Expressed</v>
      </c>
      <c r="H357" s="8">
        <v>10.08336126267783</v>
      </c>
      <c r="I357" s="8">
        <v>1183</v>
      </c>
      <c r="J357" s="8">
        <v>4.1135775287004481</v>
      </c>
      <c r="K357" s="8">
        <v>1081</v>
      </c>
      <c r="L357" s="8">
        <v>13.54328740797183</v>
      </c>
      <c r="M357" s="8">
        <v>2760</v>
      </c>
      <c r="N357" s="8">
        <v>6.315088287866411</v>
      </c>
      <c r="O357" s="8">
        <v>766</v>
      </c>
      <c r="P357" s="9">
        <v>3.067546377323616</v>
      </c>
      <c r="Q357" s="9">
        <v>957</v>
      </c>
      <c r="R357" s="9">
        <v>8.2464490230317011</v>
      </c>
      <c r="S357" s="9">
        <v>133</v>
      </c>
      <c r="T357" s="9">
        <v>1.939859538184701</v>
      </c>
      <c r="U357" s="9">
        <v>187</v>
      </c>
      <c r="V357" s="9">
        <v>0.70619265506898599</v>
      </c>
      <c r="W357" s="9">
        <v>658</v>
      </c>
      <c r="X357">
        <v>844.67304569648945</v>
      </c>
      <c r="Y357">
        <v>-1.659387101906429</v>
      </c>
      <c r="Z357">
        <v>0.33714848673733189</v>
      </c>
      <c r="AA357">
        <v>-4.9218287110368566</v>
      </c>
      <c r="AB357">
        <v>8.573924242338985E-7</v>
      </c>
      <c r="AC357">
        <v>2.1148069001828619E-4</v>
      </c>
      <c r="AD357" t="s">
        <v>3151</v>
      </c>
      <c r="AE357" t="s">
        <v>3152</v>
      </c>
      <c r="AF357" t="s">
        <v>1973</v>
      </c>
      <c r="AG357" t="s">
        <v>1079</v>
      </c>
      <c r="AH357" t="s">
        <v>1080</v>
      </c>
      <c r="AJ357" t="s">
        <v>1081</v>
      </c>
      <c r="AK357" t="s">
        <v>1082</v>
      </c>
      <c r="AL357" t="s">
        <v>1083</v>
      </c>
      <c r="AM357" t="s">
        <v>1084</v>
      </c>
      <c r="AN357" t="s">
        <v>43</v>
      </c>
    </row>
    <row r="358" spans="1:40" x14ac:dyDescent="0.3">
      <c r="A358" t="s">
        <v>3156</v>
      </c>
      <c r="B358">
        <v>1236</v>
      </c>
      <c r="C358" t="str">
        <f>IF(Y358&lt;0, "Down", "Up")</f>
        <v>Down</v>
      </c>
      <c r="D358" s="7" t="str">
        <f>IF(AC358&lt;0.05, "Sig", "N")</f>
        <v>Sig</v>
      </c>
      <c r="E358" s="1" t="str">
        <f>IF(AND(H358&gt;2,J358&gt;2,L358&gt;2,N358&gt;2),"Y","N")</f>
        <v>Y</v>
      </c>
      <c r="F358" s="1" t="str">
        <f>IF(AND(P358&gt;2,R358&gt;2,T358&gt;2,V358&gt;2),"Y","N")</f>
        <v>N</v>
      </c>
      <c r="G358" s="1" t="str">
        <f>IF(OR(E358="Y", F358="Y"), "Expressed", "N")</f>
        <v>Expressed</v>
      </c>
      <c r="H358" s="8">
        <v>5.14634239431581</v>
      </c>
      <c r="I358" s="8">
        <v>283</v>
      </c>
      <c r="J358" s="8">
        <v>4.0999355529815196</v>
      </c>
      <c r="K358" s="8">
        <v>505</v>
      </c>
      <c r="L358" s="8">
        <v>8.4694497080081774</v>
      </c>
      <c r="M358" s="8">
        <v>809</v>
      </c>
      <c r="N358" s="8">
        <v>2.726302326359221</v>
      </c>
      <c r="O358" s="8">
        <v>155</v>
      </c>
      <c r="P358" s="9">
        <v>1.324298005584603</v>
      </c>
      <c r="Q358" s="9">
        <v>151</v>
      </c>
      <c r="R358" s="9">
        <v>2.7760267532488632</v>
      </c>
      <c r="S358" s="9">
        <v>125</v>
      </c>
      <c r="T358" s="9">
        <v>3.8897376954165268</v>
      </c>
      <c r="U358" s="9">
        <v>62</v>
      </c>
      <c r="V358" s="9">
        <v>0.49953386786705778</v>
      </c>
      <c r="W358" s="9">
        <v>173</v>
      </c>
      <c r="X358">
        <v>246.07610122379941</v>
      </c>
      <c r="Y358">
        <v>-1.4789688307222999</v>
      </c>
      <c r="Z358">
        <v>0.30307477458436388</v>
      </c>
      <c r="AA358">
        <v>-4.8798809889425936</v>
      </c>
      <c r="AB358">
        <v>1.061498763064701E-6</v>
      </c>
      <c r="AC358">
        <v>2.3675428072052521E-4</v>
      </c>
      <c r="AD358" t="s">
        <v>3157</v>
      </c>
      <c r="AE358" t="s">
        <v>3158</v>
      </c>
      <c r="AF358" t="s">
        <v>43</v>
      </c>
      <c r="AG358" t="s">
        <v>3159</v>
      </c>
      <c r="AH358" t="s">
        <v>43</v>
      </c>
      <c r="AI358" t="s">
        <v>43</v>
      </c>
      <c r="AJ358" t="s">
        <v>43</v>
      </c>
      <c r="AK358" t="s">
        <v>43</v>
      </c>
      <c r="AL358" t="s">
        <v>43</v>
      </c>
      <c r="AM358" t="s">
        <v>3160</v>
      </c>
      <c r="AN358" t="s">
        <v>43</v>
      </c>
    </row>
    <row r="359" spans="1:40" x14ac:dyDescent="0.3">
      <c r="A359" t="s">
        <v>3161</v>
      </c>
      <c r="B359">
        <v>1206</v>
      </c>
      <c r="C359" t="str">
        <f>IF(Y359&lt;0, "Down", "Up")</f>
        <v>Down</v>
      </c>
      <c r="D359" s="7" t="str">
        <f>IF(AC359&lt;0.05, "Sig", "N")</f>
        <v>Sig</v>
      </c>
      <c r="E359" s="1" t="str">
        <f>IF(AND(H359&gt;2,J359&gt;2,L359&gt;2,N359&gt;2),"Y","N")</f>
        <v>Y</v>
      </c>
      <c r="F359" s="1" t="str">
        <f>IF(AND(P359&gt;2,R359&gt;2,T359&gt;2,V359&gt;2),"Y","N")</f>
        <v>N</v>
      </c>
      <c r="G359" s="1" t="str">
        <f>IF(OR(E359="Y", F359="Y"), "Expressed", "N")</f>
        <v>Expressed</v>
      </c>
      <c r="H359" s="8">
        <v>4.3984069377855848</v>
      </c>
      <c r="I359" s="8">
        <v>236</v>
      </c>
      <c r="J359" s="8">
        <v>4.0771143758234043</v>
      </c>
      <c r="K359" s="8">
        <v>490</v>
      </c>
      <c r="L359" s="8">
        <v>7.2638439150246077</v>
      </c>
      <c r="M359" s="8">
        <v>677</v>
      </c>
      <c r="N359" s="8">
        <v>37.693590815918107</v>
      </c>
      <c r="O359" s="8">
        <v>2091</v>
      </c>
      <c r="P359" s="9">
        <v>18.309615429739871</v>
      </c>
      <c r="Q359" s="9">
        <v>190</v>
      </c>
      <c r="R359" s="9">
        <v>3.5799046859134949</v>
      </c>
      <c r="S359" s="9">
        <v>12</v>
      </c>
      <c r="T359" s="9">
        <v>0.38270374459978729</v>
      </c>
      <c r="U359" s="9">
        <v>29</v>
      </c>
      <c r="V359" s="9">
        <v>0.239465200340058</v>
      </c>
      <c r="W359" s="9">
        <v>92</v>
      </c>
      <c r="X359">
        <v>521.93168441608282</v>
      </c>
      <c r="Y359">
        <v>-3.9131436704391671</v>
      </c>
      <c r="Z359">
        <v>0.91871430740302695</v>
      </c>
      <c r="AA359">
        <v>-4.2593694676429221</v>
      </c>
      <c r="AD359" t="s">
        <v>3162</v>
      </c>
      <c r="AE359" t="s">
        <v>3163</v>
      </c>
      <c r="AF359" t="s">
        <v>3164</v>
      </c>
      <c r="AG359" t="s">
        <v>43</v>
      </c>
      <c r="AH359" t="s">
        <v>43</v>
      </c>
      <c r="AI359" t="s">
        <v>43</v>
      </c>
      <c r="AJ359" t="s">
        <v>43</v>
      </c>
      <c r="AK359" t="s">
        <v>43</v>
      </c>
      <c r="AL359" t="s">
        <v>43</v>
      </c>
      <c r="AM359" t="s">
        <v>43</v>
      </c>
      <c r="AN359" t="s">
        <v>43</v>
      </c>
    </row>
    <row r="360" spans="1:40" x14ac:dyDescent="0.3">
      <c r="A360" t="s">
        <v>3165</v>
      </c>
      <c r="B360">
        <v>1880</v>
      </c>
      <c r="C360" t="str">
        <f>IF(Y360&lt;0, "Down", "Up")</f>
        <v>Down</v>
      </c>
      <c r="D360" s="7" t="str">
        <f>IF(AC360&lt;0.05, "Sig", "N")</f>
        <v>Sig</v>
      </c>
      <c r="E360" s="1" t="str">
        <f>IF(AND(H360&gt;2,J360&gt;2,L360&gt;2,N360&gt;2),"Y","N")</f>
        <v>Y</v>
      </c>
      <c r="F360" s="1" t="str">
        <f>IF(AND(P360&gt;2,R360&gt;2,T360&gt;2,V360&gt;2),"Y","N")</f>
        <v>N</v>
      </c>
      <c r="G360" s="1" t="str">
        <f>IF(OR(E360="Y", F360="Y"), "Expressed", "N")</f>
        <v>Expressed</v>
      </c>
      <c r="H360" s="8">
        <v>5.9778204640387376</v>
      </c>
      <c r="I360" s="8">
        <v>500</v>
      </c>
      <c r="J360" s="8">
        <v>4.0672535303725406</v>
      </c>
      <c r="K360" s="8">
        <v>762</v>
      </c>
      <c r="L360" s="8">
        <v>8.541596954685815</v>
      </c>
      <c r="M360" s="8">
        <v>1241</v>
      </c>
      <c r="N360" s="8">
        <v>4.6602367850999951</v>
      </c>
      <c r="O360" s="8">
        <v>403</v>
      </c>
      <c r="P360" s="9">
        <v>2.2637042929503619</v>
      </c>
      <c r="Q360" s="9">
        <v>839</v>
      </c>
      <c r="R360" s="9">
        <v>10.14073146127266</v>
      </c>
      <c r="S360" s="9">
        <v>195</v>
      </c>
      <c r="T360" s="9">
        <v>3.9893811887203889</v>
      </c>
      <c r="U360" s="9">
        <v>159</v>
      </c>
      <c r="V360" s="9">
        <v>0.84223055807057023</v>
      </c>
      <c r="W360" s="9">
        <v>550</v>
      </c>
      <c r="X360">
        <v>503.8513507412564</v>
      </c>
      <c r="Y360">
        <v>-0.7360107953776529</v>
      </c>
      <c r="Z360">
        <v>0.23353283214786169</v>
      </c>
      <c r="AA360">
        <v>-3.1516373462710638</v>
      </c>
      <c r="AB360">
        <v>1.62357784909773E-3</v>
      </c>
      <c r="AC360">
        <v>4.1318221214605523E-2</v>
      </c>
      <c r="AD360" t="s">
        <v>3166</v>
      </c>
      <c r="AE360" t="s">
        <v>3167</v>
      </c>
      <c r="AF360" t="s">
        <v>3168</v>
      </c>
      <c r="AG360" t="s">
        <v>2386</v>
      </c>
      <c r="AH360" t="s">
        <v>43</v>
      </c>
      <c r="AI360" t="s">
        <v>43</v>
      </c>
      <c r="AJ360" t="s">
        <v>43</v>
      </c>
      <c r="AK360" t="s">
        <v>43</v>
      </c>
      <c r="AL360" t="s">
        <v>43</v>
      </c>
      <c r="AM360" t="s">
        <v>2387</v>
      </c>
      <c r="AN360" t="s">
        <v>43</v>
      </c>
    </row>
    <row r="361" spans="1:40" x14ac:dyDescent="0.3">
      <c r="A361" t="s">
        <v>3169</v>
      </c>
      <c r="B361">
        <v>2238</v>
      </c>
      <c r="C361" t="str">
        <f>IF(Y361&lt;0, "Down", "Up")</f>
        <v>Down</v>
      </c>
      <c r="D361" s="7" t="str">
        <f>IF(AC361&lt;0.05, "Sig", "N")</f>
        <v>Sig</v>
      </c>
      <c r="E361" s="1" t="str">
        <f>IF(AND(H361&gt;2,J361&gt;2,L361&gt;2,N361&gt;2),"Y","N")</f>
        <v>Y</v>
      </c>
      <c r="F361" s="1" t="str">
        <f>IF(AND(P361&gt;2,R361&gt;2,T361&gt;2,V361&gt;2),"Y","N")</f>
        <v>N</v>
      </c>
      <c r="G361" s="1" t="str">
        <f>IF(OR(E361="Y", F361="Y"), "Expressed", "N")</f>
        <v>Expressed</v>
      </c>
      <c r="H361" s="8">
        <v>4.9814102111768026</v>
      </c>
      <c r="I361" s="8">
        <v>496</v>
      </c>
      <c r="J361" s="8">
        <v>4.062302295364101</v>
      </c>
      <c r="K361" s="8">
        <v>906</v>
      </c>
      <c r="L361" s="8">
        <v>4.6370249079870458</v>
      </c>
      <c r="M361" s="8">
        <v>802</v>
      </c>
      <c r="N361" s="8">
        <v>4.2741856414632844</v>
      </c>
      <c r="O361" s="8">
        <v>440</v>
      </c>
      <c r="P361" s="9">
        <v>2.0761804242184292</v>
      </c>
      <c r="Q361" s="9">
        <v>629</v>
      </c>
      <c r="R361" s="9">
        <v>6.3863943775272656</v>
      </c>
      <c r="S361" s="9">
        <v>284</v>
      </c>
      <c r="T361" s="9">
        <v>4.8807552628986279</v>
      </c>
      <c r="U361" s="9">
        <v>203</v>
      </c>
      <c r="V361" s="9">
        <v>0.90329098358836901</v>
      </c>
      <c r="W361" s="9">
        <v>645</v>
      </c>
      <c r="X361">
        <v>504.82472846104361</v>
      </c>
      <c r="Y361">
        <v>-0.51575243990939945</v>
      </c>
      <c r="Z361">
        <v>0.1413775714581971</v>
      </c>
      <c r="AA361">
        <v>-3.648049931752424</v>
      </c>
      <c r="AB361">
        <v>2.6423829279188132E-4</v>
      </c>
      <c r="AC361">
        <v>1.2716349677261001E-2</v>
      </c>
    </row>
    <row r="362" spans="1:40" x14ac:dyDescent="0.3">
      <c r="A362" t="s">
        <v>3176</v>
      </c>
      <c r="B362">
        <v>1329</v>
      </c>
      <c r="C362" t="str">
        <f>IF(Y362&lt;0, "Down", "Up")</f>
        <v>Down</v>
      </c>
      <c r="D362" s="7" t="str">
        <f>IF(AC362&lt;0.05, "Sig", "N")</f>
        <v>Sig</v>
      </c>
      <c r="E362" s="1" t="str">
        <f>IF(AND(H362&gt;2,J362&gt;2,L362&gt;2,N362&gt;2),"Y","N")</f>
        <v>Y</v>
      </c>
      <c r="F362" s="1" t="str">
        <f>IF(AND(P362&gt;2,R362&gt;2,T362&gt;2,V362&gt;2),"Y","N")</f>
        <v>N</v>
      </c>
      <c r="G362" s="1" t="str">
        <f>IF(OR(E362="Y", F362="Y"), "Expressed", "N")</f>
        <v>Expressed</v>
      </c>
      <c r="H362" s="8">
        <v>7.1539532668505146</v>
      </c>
      <c r="I362" s="8">
        <v>423</v>
      </c>
      <c r="J362" s="8">
        <v>4.0470999621662163</v>
      </c>
      <c r="K362" s="8">
        <v>536</v>
      </c>
      <c r="L362" s="8">
        <v>7.7988878978288687</v>
      </c>
      <c r="M362" s="8">
        <v>801</v>
      </c>
      <c r="N362" s="8">
        <v>3.8114631634920229</v>
      </c>
      <c r="O362" s="8">
        <v>233</v>
      </c>
      <c r="P362" s="9">
        <v>1.8514135490293391</v>
      </c>
      <c r="Q362" s="9">
        <v>369</v>
      </c>
      <c r="R362" s="9">
        <v>6.3090875763221579</v>
      </c>
      <c r="S362" s="9">
        <v>147</v>
      </c>
      <c r="T362" s="9">
        <v>4.2542315807712248</v>
      </c>
      <c r="U362" s="9">
        <v>142</v>
      </c>
      <c r="V362" s="9">
        <v>1.0640329645996629</v>
      </c>
      <c r="W362" s="9">
        <v>374</v>
      </c>
      <c r="X362">
        <v>344.28124814588381</v>
      </c>
      <c r="Y362">
        <v>-0.82261506078993063</v>
      </c>
      <c r="Z362">
        <v>0.24007979384516301</v>
      </c>
      <c r="AA362">
        <v>-3.4264235553303908</v>
      </c>
      <c r="AB362">
        <v>6.1158588509579624E-4</v>
      </c>
      <c r="AC362">
        <v>2.2244789992976639E-2</v>
      </c>
      <c r="AD362" t="s">
        <v>3177</v>
      </c>
      <c r="AE362" t="s">
        <v>3178</v>
      </c>
      <c r="AF362" t="s">
        <v>43</v>
      </c>
      <c r="AG362" t="s">
        <v>3179</v>
      </c>
      <c r="AH362" t="s">
        <v>43</v>
      </c>
      <c r="AI362" t="s">
        <v>43</v>
      </c>
      <c r="AJ362" t="s">
        <v>43</v>
      </c>
      <c r="AK362" t="s">
        <v>43</v>
      </c>
      <c r="AL362" t="s">
        <v>43</v>
      </c>
      <c r="AM362" t="s">
        <v>2028</v>
      </c>
      <c r="AN362" t="s">
        <v>43</v>
      </c>
    </row>
    <row r="363" spans="1:40" x14ac:dyDescent="0.3">
      <c r="A363" t="s">
        <v>3180</v>
      </c>
      <c r="B363">
        <v>1764</v>
      </c>
      <c r="C363" t="str">
        <f>IF(Y363&lt;0, "Down", "Up")</f>
        <v>Down</v>
      </c>
      <c r="D363" s="7" t="str">
        <f>IF(AC363&lt;0.05, "Sig", "N")</f>
        <v>Sig</v>
      </c>
      <c r="E363" s="1" t="str">
        <f>IF(AND(H363&gt;2,J363&gt;2,L363&gt;2,N363&gt;2),"Y","N")</f>
        <v>Y</v>
      </c>
      <c r="F363" s="1" t="str">
        <f>IF(AND(P363&gt;2,R363&gt;2,T363&gt;2,V363&gt;2),"Y","N")</f>
        <v>Y</v>
      </c>
      <c r="G363" s="1" t="str">
        <f>IF(OR(E363="Y", F363="Y"), "Expressed", "N")</f>
        <v>Expressed</v>
      </c>
      <c r="H363" s="8">
        <v>7.3520414133454217</v>
      </c>
      <c r="I363" s="8">
        <v>577</v>
      </c>
      <c r="J363" s="8">
        <v>4.0445959500437212</v>
      </c>
      <c r="K363" s="8">
        <v>711</v>
      </c>
      <c r="L363" s="8">
        <v>6.3158195509303434</v>
      </c>
      <c r="M363" s="8">
        <v>861</v>
      </c>
      <c r="N363" s="8">
        <v>310.85577917529679</v>
      </c>
      <c r="O363" s="8">
        <v>25223</v>
      </c>
      <c r="P363" s="9">
        <v>150.99781282732619</v>
      </c>
      <c r="Q363" s="9">
        <v>748</v>
      </c>
      <c r="R363" s="9">
        <v>9.6353653726767305</v>
      </c>
      <c r="S363" s="9">
        <v>5279</v>
      </c>
      <c r="T363" s="9">
        <v>115.1017309002828</v>
      </c>
      <c r="U363" s="9">
        <v>1284</v>
      </c>
      <c r="V363" s="9">
        <v>7.2486672254941986</v>
      </c>
      <c r="W363" s="9">
        <v>1444</v>
      </c>
      <c r="X363">
        <v>6013.5990530192412</v>
      </c>
      <c r="Y363">
        <v>-1.5852937833676659</v>
      </c>
      <c r="Z363">
        <v>1.5063547427562911</v>
      </c>
      <c r="AA363">
        <v>-1.052404017706303</v>
      </c>
      <c r="AD363" t="s">
        <v>3181</v>
      </c>
      <c r="AE363" t="s">
        <v>3182</v>
      </c>
      <c r="AF363" t="s">
        <v>3183</v>
      </c>
      <c r="AG363" t="s">
        <v>3184</v>
      </c>
      <c r="AH363" t="s">
        <v>43</v>
      </c>
      <c r="AI363" t="s">
        <v>43</v>
      </c>
      <c r="AJ363" t="s">
        <v>43</v>
      </c>
      <c r="AK363" t="s">
        <v>43</v>
      </c>
      <c r="AL363" t="s">
        <v>43</v>
      </c>
      <c r="AM363" t="s">
        <v>3185</v>
      </c>
      <c r="AN363" t="s">
        <v>43</v>
      </c>
    </row>
    <row r="364" spans="1:40" x14ac:dyDescent="0.3">
      <c r="A364" t="s">
        <v>3186</v>
      </c>
      <c r="B364">
        <v>2102</v>
      </c>
      <c r="C364" t="str">
        <f>IF(Y364&lt;0, "Down", "Up")</f>
        <v>Down</v>
      </c>
      <c r="D364" s="7" t="str">
        <f>IF(AC364&lt;0.05, "Sig", "N")</f>
        <v>Sig</v>
      </c>
      <c r="E364" s="1" t="str">
        <f>IF(AND(H364&gt;2,J364&gt;2,L364&gt;2,N364&gt;2),"Y","N")</f>
        <v>Y</v>
      </c>
      <c r="F364" s="1" t="str">
        <f>IF(AND(P364&gt;2,R364&gt;2,T364&gt;2,V364&gt;2),"Y","N")</f>
        <v>N</v>
      </c>
      <c r="G364" s="1" t="str">
        <f>IF(OR(E364="Y", F364="Y"), "Expressed", "N")</f>
        <v>Expressed</v>
      </c>
      <c r="H364" s="8">
        <v>3.2934321232131221</v>
      </c>
      <c r="I364" s="8">
        <v>308</v>
      </c>
      <c r="J364" s="8">
        <v>4.0434755498600383</v>
      </c>
      <c r="K364" s="8">
        <v>847</v>
      </c>
      <c r="L364" s="8">
        <v>4.7400525464038266</v>
      </c>
      <c r="M364" s="8">
        <v>770</v>
      </c>
      <c r="N364" s="8">
        <v>3.5578408530453909</v>
      </c>
      <c r="O364" s="8">
        <v>344</v>
      </c>
      <c r="P364" s="9">
        <v>1.728216823321826</v>
      </c>
      <c r="Q364" s="9">
        <v>558</v>
      </c>
      <c r="R364" s="9">
        <v>6.032073961079961</v>
      </c>
      <c r="S364" s="9">
        <v>245</v>
      </c>
      <c r="T364" s="9">
        <v>4.4829319464359001</v>
      </c>
      <c r="U364" s="9">
        <v>136</v>
      </c>
      <c r="V364" s="9">
        <v>0.64431451653556482</v>
      </c>
      <c r="W364" s="9">
        <v>575</v>
      </c>
      <c r="X364">
        <v>411.89995822071478</v>
      </c>
      <c r="Y364">
        <v>-0.49608559667160351</v>
      </c>
      <c r="Z364">
        <v>0.13994772644283829</v>
      </c>
      <c r="AA364">
        <v>-3.544792111176096</v>
      </c>
      <c r="AB364">
        <v>3.9292285405364169E-4</v>
      </c>
      <c r="AC364">
        <v>1.6383566341333679E-2</v>
      </c>
      <c r="AD364" t="s">
        <v>3187</v>
      </c>
      <c r="AE364" t="s">
        <v>3188</v>
      </c>
      <c r="AF364" t="s">
        <v>43</v>
      </c>
      <c r="AG364" t="s">
        <v>3189</v>
      </c>
      <c r="AH364" t="s">
        <v>830</v>
      </c>
      <c r="AI364" t="s">
        <v>3190</v>
      </c>
      <c r="AJ364" t="s">
        <v>3191</v>
      </c>
      <c r="AK364" t="s">
        <v>3192</v>
      </c>
      <c r="AL364" t="s">
        <v>834</v>
      </c>
      <c r="AM364" t="s">
        <v>3193</v>
      </c>
      <c r="AN364" t="s">
        <v>43</v>
      </c>
    </row>
    <row r="365" spans="1:40" x14ac:dyDescent="0.3">
      <c r="A365" t="s">
        <v>3194</v>
      </c>
      <c r="B365">
        <v>3884</v>
      </c>
      <c r="C365" t="str">
        <f>IF(Y365&lt;0, "Down", "Up")</f>
        <v>Down</v>
      </c>
      <c r="D365" s="7" t="str">
        <f>IF(AC365&lt;0.05, "Sig", "N")</f>
        <v>Sig</v>
      </c>
      <c r="E365" s="1" t="str">
        <f>IF(AND(H365&gt;2,J365&gt;2,L365&gt;2,N365&gt;2),"Y","N")</f>
        <v>Y</v>
      </c>
      <c r="F365" s="1" t="str">
        <f>IF(AND(P365&gt;2,R365&gt;2,T365&gt;2,V365&gt;2),"Y","N")</f>
        <v>N</v>
      </c>
      <c r="G365" s="1" t="str">
        <f>IF(OR(E365="Y", F365="Y"), "Expressed", "N")</f>
        <v>Expressed</v>
      </c>
      <c r="H365" s="8">
        <v>4.201342736847165</v>
      </c>
      <c r="I365" s="8">
        <v>726</v>
      </c>
      <c r="J365" s="8">
        <v>4.0329961233087932</v>
      </c>
      <c r="K365" s="8">
        <v>1561</v>
      </c>
      <c r="L365" s="8">
        <v>5.4770629769741834</v>
      </c>
      <c r="M365" s="8">
        <v>1644</v>
      </c>
      <c r="N365" s="8">
        <v>4.2987559062686236</v>
      </c>
      <c r="O365" s="8">
        <v>768</v>
      </c>
      <c r="P365" s="9">
        <v>2.0881154001614131</v>
      </c>
      <c r="Q365" s="9">
        <v>1314</v>
      </c>
      <c r="R365" s="9">
        <v>7.687432485896446</v>
      </c>
      <c r="S365" s="9">
        <v>444</v>
      </c>
      <c r="T365" s="9">
        <v>4.396757593082314</v>
      </c>
      <c r="U365" s="9">
        <v>327</v>
      </c>
      <c r="V365" s="9">
        <v>0.83841733847531841</v>
      </c>
      <c r="W365" s="9">
        <v>1327</v>
      </c>
      <c r="X365">
        <v>890.22819987673722</v>
      </c>
      <c r="Y365">
        <v>-0.43394585066683949</v>
      </c>
      <c r="Z365">
        <v>0.1212279033607724</v>
      </c>
      <c r="AA365">
        <v>-3.5795871959892209</v>
      </c>
      <c r="AB365">
        <v>3.4413740654778849E-4</v>
      </c>
      <c r="AC365">
        <v>1.4983603251570559E-2</v>
      </c>
      <c r="AD365" t="s">
        <v>3195</v>
      </c>
      <c r="AE365" t="s">
        <v>3196</v>
      </c>
      <c r="AF365" t="s">
        <v>3197</v>
      </c>
      <c r="AG365" t="s">
        <v>3198</v>
      </c>
      <c r="AH365" t="s">
        <v>43</v>
      </c>
      <c r="AI365" t="s">
        <v>43</v>
      </c>
      <c r="AJ365" t="s">
        <v>43</v>
      </c>
      <c r="AK365" t="s">
        <v>43</v>
      </c>
      <c r="AL365" t="s">
        <v>43</v>
      </c>
      <c r="AM365" t="s">
        <v>3199</v>
      </c>
      <c r="AN365" t="s">
        <v>43</v>
      </c>
    </row>
    <row r="366" spans="1:40" x14ac:dyDescent="0.3">
      <c r="A366" t="s">
        <v>3200</v>
      </c>
      <c r="B366">
        <v>1670</v>
      </c>
      <c r="C366" t="str">
        <f>IF(Y366&lt;0, "Down", "Up")</f>
        <v>Down</v>
      </c>
      <c r="D366" s="7" t="str">
        <f>IF(AC366&lt;0.05, "Sig", "N")</f>
        <v>Sig</v>
      </c>
      <c r="E366" s="1" t="str">
        <f>IF(AND(H366&gt;2,J366&gt;2,L366&gt;2,N366&gt;2),"Y","N")</f>
        <v>Y</v>
      </c>
      <c r="F366" s="1" t="str">
        <f>IF(AND(P366&gt;2,R366&gt;2,T366&gt;2,V366&gt;2),"Y","N")</f>
        <v>N</v>
      </c>
      <c r="G366" s="1" t="str">
        <f>IF(OR(E366="Y", F366="Y"), "Expressed", "N")</f>
        <v>Expressed</v>
      </c>
      <c r="H366" s="8">
        <v>7.8600822082364221</v>
      </c>
      <c r="I366" s="8">
        <v>584</v>
      </c>
      <c r="J366" s="8">
        <v>3.977824707875941</v>
      </c>
      <c r="K366" s="8">
        <v>662</v>
      </c>
      <c r="L366" s="8">
        <v>12.56005919866919</v>
      </c>
      <c r="M366" s="8">
        <v>1621</v>
      </c>
      <c r="N366" s="8">
        <v>4.556300507564222</v>
      </c>
      <c r="O366" s="8">
        <v>350</v>
      </c>
      <c r="P366" s="9">
        <v>2.2132173738300152</v>
      </c>
      <c r="Q366" s="9">
        <v>553</v>
      </c>
      <c r="R366" s="9">
        <v>7.5244338900726646</v>
      </c>
      <c r="S366" s="9">
        <v>174</v>
      </c>
      <c r="T366" s="9">
        <v>4.0073894501895104</v>
      </c>
      <c r="U366" s="9">
        <v>107</v>
      </c>
      <c r="V366" s="9">
        <v>0.63805633661535754</v>
      </c>
      <c r="W366" s="9">
        <v>670</v>
      </c>
      <c r="X366">
        <v>499.54531125748508</v>
      </c>
      <c r="Y366">
        <v>-1.1297630523420861</v>
      </c>
      <c r="Z366">
        <v>0.29279181263049792</v>
      </c>
      <c r="AA366">
        <v>-3.8585882651296761</v>
      </c>
      <c r="AB366">
        <v>1.140438806050713E-4</v>
      </c>
      <c r="AC366">
        <v>7.3869189733290286E-3</v>
      </c>
      <c r="AD366" t="s">
        <v>3201</v>
      </c>
      <c r="AE366" t="s">
        <v>3202</v>
      </c>
      <c r="AF366" t="s">
        <v>3203</v>
      </c>
      <c r="AG366" t="s">
        <v>1736</v>
      </c>
      <c r="AH366" t="s">
        <v>43</v>
      </c>
      <c r="AI366" t="s">
        <v>43</v>
      </c>
      <c r="AJ366" t="s">
        <v>43</v>
      </c>
      <c r="AK366" t="s">
        <v>43</v>
      </c>
      <c r="AL366" t="s">
        <v>43</v>
      </c>
      <c r="AM366" t="s">
        <v>1737</v>
      </c>
      <c r="AN366" t="s">
        <v>43</v>
      </c>
    </row>
    <row r="367" spans="1:40" x14ac:dyDescent="0.3">
      <c r="A367" t="s">
        <v>3204</v>
      </c>
      <c r="B367">
        <v>2259</v>
      </c>
      <c r="C367" t="str">
        <f>IF(Y367&lt;0, "Down", "Up")</f>
        <v>Down</v>
      </c>
      <c r="D367" s="7" t="str">
        <f>IF(AC367&lt;0.05, "Sig", "N")</f>
        <v>Sig</v>
      </c>
      <c r="E367" s="1" t="str">
        <f>IF(AND(H367&gt;2,J367&gt;2,L367&gt;2,N367&gt;2),"Y","N")</f>
        <v>Y</v>
      </c>
      <c r="F367" s="1" t="str">
        <f>IF(AND(P367&gt;2,R367&gt;2,T367&gt;2,V367&gt;2),"Y","N")</f>
        <v>N</v>
      </c>
      <c r="G367" s="1" t="str">
        <f>IF(OR(E367="Y", F367="Y"), "Expressed", "N")</f>
        <v>Expressed</v>
      </c>
      <c r="H367" s="8">
        <v>6.4574221377449721</v>
      </c>
      <c r="I367" s="8">
        <v>649</v>
      </c>
      <c r="J367" s="8">
        <v>3.9756754784332129</v>
      </c>
      <c r="K367" s="8">
        <v>895</v>
      </c>
      <c r="L367" s="8">
        <v>5.5906039804302923</v>
      </c>
      <c r="M367" s="8">
        <v>976</v>
      </c>
      <c r="N367" s="8">
        <v>5.0139763265874944</v>
      </c>
      <c r="O367" s="8">
        <v>521</v>
      </c>
      <c r="P367" s="9">
        <v>2.4355328406352759</v>
      </c>
      <c r="Q367" s="9">
        <v>639</v>
      </c>
      <c r="R367" s="9">
        <v>6.4276141462786516</v>
      </c>
      <c r="S367" s="9">
        <v>357</v>
      </c>
      <c r="T367" s="9">
        <v>6.0782807882352667</v>
      </c>
      <c r="U367" s="9">
        <v>169</v>
      </c>
      <c r="V367" s="9">
        <v>0.74501015618916799</v>
      </c>
      <c r="W367" s="9">
        <v>548</v>
      </c>
      <c r="X367">
        <v>554.9158484955567</v>
      </c>
      <c r="Y367">
        <v>-0.76891423595049424</v>
      </c>
      <c r="Z367">
        <v>0.19632808439784599</v>
      </c>
      <c r="AA367">
        <v>-3.9164760268955701</v>
      </c>
      <c r="AB367">
        <v>8.9852746181021695E-5</v>
      </c>
      <c r="AC367">
        <v>6.1932904525122887E-3</v>
      </c>
      <c r="AD367" t="s">
        <v>3205</v>
      </c>
      <c r="AE367" t="s">
        <v>3206</v>
      </c>
      <c r="AF367" t="s">
        <v>3207</v>
      </c>
      <c r="AG367" t="s">
        <v>1386</v>
      </c>
      <c r="AH367" t="s">
        <v>43</v>
      </c>
      <c r="AI367" t="s">
        <v>43</v>
      </c>
      <c r="AJ367" t="s">
        <v>43</v>
      </c>
      <c r="AK367" t="s">
        <v>43</v>
      </c>
      <c r="AL367" t="s">
        <v>43</v>
      </c>
      <c r="AM367" t="s">
        <v>1387</v>
      </c>
      <c r="AN367" t="s">
        <v>43</v>
      </c>
    </row>
    <row r="368" spans="1:40" x14ac:dyDescent="0.3">
      <c r="A368" t="s">
        <v>3208</v>
      </c>
      <c r="B368">
        <v>5199</v>
      </c>
      <c r="C368" t="str">
        <f>IF(Y368&lt;0, "Down", "Up")</f>
        <v>Down</v>
      </c>
      <c r="D368" s="7" t="str">
        <f>IF(AC368&lt;0.05, "Sig", "N")</f>
        <v>Sig</v>
      </c>
      <c r="E368" s="1" t="str">
        <f>IF(AND(H368&gt;2,J368&gt;2,L368&gt;2,N368&gt;2),"Y","N")</f>
        <v>Y</v>
      </c>
      <c r="F368" s="1" t="str">
        <f>IF(AND(P368&gt;2,R368&gt;2,T368&gt;2,V368&gt;2),"Y","N")</f>
        <v>N</v>
      </c>
      <c r="G368" s="1" t="str">
        <f>IF(OR(E368="Y", F368="Y"), "Expressed", "N")</f>
        <v>Expressed</v>
      </c>
      <c r="H368" s="8">
        <v>14.98872655194689</v>
      </c>
      <c r="I368" s="8">
        <v>3467</v>
      </c>
      <c r="J368" s="8">
        <v>3.9335845088346209</v>
      </c>
      <c r="K368" s="8">
        <v>2038</v>
      </c>
      <c r="L368" s="8">
        <v>24.63501180278157</v>
      </c>
      <c r="M368" s="8">
        <v>9898</v>
      </c>
      <c r="N368" s="8">
        <v>6.7825314960896383</v>
      </c>
      <c r="O368" s="8">
        <v>1622</v>
      </c>
      <c r="P368" s="9">
        <v>3.2946063414328659</v>
      </c>
      <c r="Q368" s="9">
        <v>2557</v>
      </c>
      <c r="R368" s="9">
        <v>11.17573464122478</v>
      </c>
      <c r="S368" s="9">
        <v>447</v>
      </c>
      <c r="T368" s="9">
        <v>3.306865103006067</v>
      </c>
      <c r="U368" s="9">
        <v>416</v>
      </c>
      <c r="V368" s="9">
        <v>0.79682918565112493</v>
      </c>
      <c r="W368" s="9">
        <v>2454</v>
      </c>
      <c r="X368">
        <v>2418.334760199516</v>
      </c>
      <c r="Y368">
        <v>-1.643301860763686</v>
      </c>
      <c r="Z368">
        <v>0.53596283957242552</v>
      </c>
      <c r="AA368">
        <v>-3.0660742488689339</v>
      </c>
      <c r="AB368">
        <v>2.1688944831906162E-3</v>
      </c>
      <c r="AC368">
        <v>4.8764222900632467E-2</v>
      </c>
      <c r="AD368" t="s">
        <v>3209</v>
      </c>
      <c r="AE368" t="s">
        <v>3210</v>
      </c>
      <c r="AF368" t="s">
        <v>3211</v>
      </c>
      <c r="AG368" t="s">
        <v>3212</v>
      </c>
      <c r="AH368" t="s">
        <v>43</v>
      </c>
      <c r="AI368" t="s">
        <v>43</v>
      </c>
      <c r="AJ368" t="s">
        <v>43</v>
      </c>
      <c r="AK368" t="s">
        <v>43</v>
      </c>
      <c r="AL368" t="s">
        <v>43</v>
      </c>
      <c r="AM368" t="s">
        <v>3213</v>
      </c>
      <c r="AN368" t="s">
        <v>43</v>
      </c>
    </row>
    <row r="369" spans="1:40" x14ac:dyDescent="0.3">
      <c r="A369" t="s">
        <v>3214</v>
      </c>
      <c r="B369">
        <v>1922</v>
      </c>
      <c r="C369" t="str">
        <f>IF(Y369&lt;0, "Down", "Up")</f>
        <v>Down</v>
      </c>
      <c r="D369" s="7" t="str">
        <f>IF(AC369&lt;0.05, "Sig", "N")</f>
        <v>Sig</v>
      </c>
      <c r="E369" s="1" t="str">
        <f>IF(AND(H369&gt;2,J369&gt;2,L369&gt;2,N369&gt;2),"Y","N")</f>
        <v>Y</v>
      </c>
      <c r="F369" s="1" t="str">
        <f>IF(AND(P369&gt;2,R369&gt;2,T369&gt;2,V369&gt;2),"Y","N")</f>
        <v>N</v>
      </c>
      <c r="G369" s="1" t="str">
        <f>IF(OR(E369="Y", F369="Y"), "Expressed", "N")</f>
        <v>Expressed</v>
      </c>
      <c r="H369" s="8">
        <v>6.9581581384742286</v>
      </c>
      <c r="I369" s="8">
        <v>595</v>
      </c>
      <c r="J369" s="8">
        <v>3.920944331871044</v>
      </c>
      <c r="K369" s="8">
        <v>751</v>
      </c>
      <c r="L369" s="8">
        <v>10.11884025715157</v>
      </c>
      <c r="M369" s="8">
        <v>1503</v>
      </c>
      <c r="N369" s="8">
        <v>3.6082621813508071</v>
      </c>
      <c r="O369" s="8">
        <v>319</v>
      </c>
      <c r="P369" s="9">
        <v>1.7527089216002141</v>
      </c>
      <c r="Q369" s="9">
        <v>560</v>
      </c>
      <c r="R369" s="9">
        <v>6.6206375723712636</v>
      </c>
      <c r="S369" s="9">
        <v>74</v>
      </c>
      <c r="T369" s="9">
        <v>1.4808364977047961</v>
      </c>
      <c r="U369" s="9">
        <v>153</v>
      </c>
      <c r="V369" s="9">
        <v>0.79273816492064353</v>
      </c>
      <c r="W369" s="9">
        <v>525</v>
      </c>
      <c r="X369">
        <v>478.47270325903651</v>
      </c>
      <c r="Y369">
        <v>-1.258188344438494</v>
      </c>
      <c r="Z369">
        <v>0.35281773649851739</v>
      </c>
      <c r="AA369">
        <v>-3.5661142121855351</v>
      </c>
      <c r="AB369">
        <v>3.6231352051892078E-4</v>
      </c>
      <c r="AC369">
        <v>1.5412997168917499E-2</v>
      </c>
      <c r="AD369" t="s">
        <v>3215</v>
      </c>
      <c r="AE369" t="s">
        <v>3216</v>
      </c>
      <c r="AF369" t="s">
        <v>3217</v>
      </c>
      <c r="AG369" t="s">
        <v>3218</v>
      </c>
      <c r="AH369" t="s">
        <v>43</v>
      </c>
      <c r="AI369" t="s">
        <v>43</v>
      </c>
      <c r="AJ369" t="s">
        <v>43</v>
      </c>
      <c r="AK369" t="s">
        <v>43</v>
      </c>
      <c r="AL369" t="s">
        <v>43</v>
      </c>
      <c r="AM369" t="s">
        <v>3219</v>
      </c>
      <c r="AN369" t="s">
        <v>43</v>
      </c>
    </row>
    <row r="370" spans="1:40" x14ac:dyDescent="0.3">
      <c r="A370" t="s">
        <v>3220</v>
      </c>
      <c r="B370">
        <v>2011</v>
      </c>
      <c r="C370" t="str">
        <f>IF(Y370&lt;0, "Down", "Up")</f>
        <v>Down</v>
      </c>
      <c r="D370" s="7" t="str">
        <f>IF(AC370&lt;0.05, "Sig", "N")</f>
        <v>Sig</v>
      </c>
      <c r="E370" s="1" t="str">
        <f>IF(AND(H370&gt;2,J370&gt;2,L370&gt;2,N370&gt;2),"Y","N")</f>
        <v>Y</v>
      </c>
      <c r="F370" s="1" t="str">
        <f>IF(AND(P370&gt;2,R370&gt;2,T370&gt;2,V370&gt;2),"Y","N")</f>
        <v>N</v>
      </c>
      <c r="G370" s="1" t="str">
        <f>IF(OR(E370="Y", F370="Y"), "Expressed", "N")</f>
        <v>Expressed</v>
      </c>
      <c r="H370" s="8">
        <v>3.5095245910804058</v>
      </c>
      <c r="I370" s="8">
        <v>314</v>
      </c>
      <c r="J370" s="8">
        <v>3.9021036857731919</v>
      </c>
      <c r="K370" s="8">
        <v>782</v>
      </c>
      <c r="L370" s="8">
        <v>6.9556667414910534</v>
      </c>
      <c r="M370" s="8">
        <v>1081</v>
      </c>
      <c r="N370" s="8">
        <v>2.8648018606557448</v>
      </c>
      <c r="O370" s="8">
        <v>265</v>
      </c>
      <c r="P370" s="9">
        <v>1.391573984213218</v>
      </c>
      <c r="Q370" s="9">
        <v>200</v>
      </c>
      <c r="R370" s="9">
        <v>2.259868120710657</v>
      </c>
      <c r="S370" s="9">
        <v>21</v>
      </c>
      <c r="T370" s="9">
        <v>0.40163911137635561</v>
      </c>
      <c r="U370" s="9">
        <v>67</v>
      </c>
      <c r="V370" s="9">
        <v>0.33178324590403419</v>
      </c>
      <c r="W370" s="9">
        <v>101</v>
      </c>
      <c r="X370">
        <v>295.18986953524382</v>
      </c>
      <c r="Y370">
        <v>-2.433820939785484</v>
      </c>
      <c r="Z370">
        <v>0.390289502476449</v>
      </c>
      <c r="AA370">
        <v>-6.2359374883067638</v>
      </c>
      <c r="AB370">
        <v>4.4908041861948878E-10</v>
      </c>
      <c r="AC370">
        <v>7.0771594720942927E-7</v>
      </c>
      <c r="AD370" t="s">
        <v>3221</v>
      </c>
      <c r="AE370" t="s">
        <v>3222</v>
      </c>
      <c r="AF370" t="s">
        <v>43</v>
      </c>
      <c r="AG370" t="s">
        <v>1023</v>
      </c>
      <c r="AH370" t="s">
        <v>43</v>
      </c>
      <c r="AI370" t="s">
        <v>43</v>
      </c>
      <c r="AJ370" t="s">
        <v>43</v>
      </c>
      <c r="AK370" t="s">
        <v>43</v>
      </c>
      <c r="AL370" t="s">
        <v>43</v>
      </c>
      <c r="AM370" t="s">
        <v>1024</v>
      </c>
      <c r="AN370" t="s">
        <v>43</v>
      </c>
    </row>
    <row r="371" spans="1:40" x14ac:dyDescent="0.3">
      <c r="A371" t="s">
        <v>3223</v>
      </c>
      <c r="B371">
        <v>1362</v>
      </c>
      <c r="C371" t="str">
        <f>IF(Y371&lt;0, "Down", "Up")</f>
        <v>Down</v>
      </c>
      <c r="D371" s="7" t="str">
        <f>IF(AC371&lt;0.05, "Sig", "N")</f>
        <v>Sig</v>
      </c>
      <c r="E371" s="1" t="str">
        <f>IF(AND(H371&gt;2,J371&gt;2,L371&gt;2,N371&gt;2),"Y","N")</f>
        <v>Y</v>
      </c>
      <c r="F371" s="1" t="str">
        <f>IF(AND(P371&gt;2,R371&gt;2,T371&gt;2,V371&gt;2),"Y","N")</f>
        <v>N</v>
      </c>
      <c r="G371" s="1" t="str">
        <f>IF(OR(E371="Y", F371="Y"), "Expressed", "N")</f>
        <v>Expressed</v>
      </c>
      <c r="H371" s="8">
        <v>3.9936405261660268</v>
      </c>
      <c r="I371" s="8">
        <v>242</v>
      </c>
      <c r="J371" s="8">
        <v>3.8974691582030632</v>
      </c>
      <c r="K371" s="8">
        <v>529</v>
      </c>
      <c r="L371" s="8">
        <v>5.7953259874229213</v>
      </c>
      <c r="M371" s="8">
        <v>610</v>
      </c>
      <c r="N371" s="8">
        <v>4.389513337736247</v>
      </c>
      <c r="O371" s="8">
        <v>275</v>
      </c>
      <c r="P371" s="9">
        <v>2.1322007109952481</v>
      </c>
      <c r="Q371" s="9">
        <v>377</v>
      </c>
      <c r="R371" s="9">
        <v>6.2896924967416403</v>
      </c>
      <c r="S371" s="9">
        <v>100</v>
      </c>
      <c r="T371" s="9">
        <v>2.823915296055699</v>
      </c>
      <c r="U371" s="9">
        <v>85</v>
      </c>
      <c r="V371" s="9">
        <v>0.62148913076255374</v>
      </c>
      <c r="W371" s="9">
        <v>375</v>
      </c>
      <c r="X371">
        <v>280.16080728521439</v>
      </c>
      <c r="Y371">
        <v>-0.82538603072383399</v>
      </c>
      <c r="Z371">
        <v>0.1875380720563149</v>
      </c>
      <c r="AA371">
        <v>-4.401165169683428</v>
      </c>
      <c r="AB371">
        <v>1.076711214605559E-5</v>
      </c>
      <c r="AC371">
        <v>1.305415719779724E-3</v>
      </c>
      <c r="AD371" t="s">
        <v>3224</v>
      </c>
      <c r="AE371" t="s">
        <v>3225</v>
      </c>
      <c r="AF371" t="s">
        <v>3226</v>
      </c>
      <c r="AG371" t="s">
        <v>3227</v>
      </c>
      <c r="AH371" t="s">
        <v>43</v>
      </c>
      <c r="AI371" t="s">
        <v>43</v>
      </c>
      <c r="AJ371" t="s">
        <v>43</v>
      </c>
      <c r="AK371" t="s">
        <v>43</v>
      </c>
      <c r="AL371" t="s">
        <v>43</v>
      </c>
      <c r="AM371" t="s">
        <v>3228</v>
      </c>
      <c r="AN371" t="s">
        <v>43</v>
      </c>
    </row>
    <row r="372" spans="1:40" x14ac:dyDescent="0.3">
      <c r="A372" t="s">
        <v>3229</v>
      </c>
      <c r="B372">
        <v>840</v>
      </c>
      <c r="C372" t="str">
        <f>IF(Y372&lt;0, "Down", "Up")</f>
        <v>Down</v>
      </c>
      <c r="D372" s="7" t="str">
        <f>IF(AC372&lt;0.05, "Sig", "N")</f>
        <v>Sig</v>
      </c>
      <c r="E372" s="1" t="str">
        <f>IF(AND(H372&gt;2,J372&gt;2,L372&gt;2,N372&gt;2),"Y","N")</f>
        <v>Y</v>
      </c>
      <c r="F372" s="1" t="str">
        <f>IF(AND(P372&gt;2,R372&gt;2,T372&gt;2,V372&gt;2),"Y","N")</f>
        <v>N</v>
      </c>
      <c r="G372" s="1" t="str">
        <f>IF(OR(E372="Y", F372="Y"), "Expressed", "N")</f>
        <v>Expressed</v>
      </c>
      <c r="H372" s="8">
        <v>6.9838022507012578</v>
      </c>
      <c r="I372" s="8">
        <v>261</v>
      </c>
      <c r="J372" s="8">
        <v>3.8585786679531031</v>
      </c>
      <c r="K372" s="8">
        <v>323</v>
      </c>
      <c r="L372" s="8">
        <v>11.830608329547569</v>
      </c>
      <c r="M372" s="8">
        <v>768</v>
      </c>
      <c r="N372" s="8">
        <v>4.9691571249843269</v>
      </c>
      <c r="O372" s="8">
        <v>192</v>
      </c>
      <c r="P372" s="9">
        <v>2.413761968519919</v>
      </c>
      <c r="Q372" s="9">
        <v>312</v>
      </c>
      <c r="R372" s="9">
        <v>8.4399617542483885</v>
      </c>
      <c r="S372" s="9">
        <v>49</v>
      </c>
      <c r="T372" s="9">
        <v>2.243600702716253</v>
      </c>
      <c r="U372" s="9">
        <v>74</v>
      </c>
      <c r="V372" s="9">
        <v>0.87729196794532582</v>
      </c>
      <c r="W372" s="9">
        <v>210</v>
      </c>
      <c r="X372">
        <v>235.7837426574259</v>
      </c>
      <c r="Y372">
        <v>-1.2260724781542169</v>
      </c>
      <c r="Z372">
        <v>0.33805031815614789</v>
      </c>
      <c r="AA372">
        <v>-3.6268934306634351</v>
      </c>
      <c r="AB372">
        <v>2.8685161348419728E-4</v>
      </c>
      <c r="AC372">
        <v>1.3349893397624791E-2</v>
      </c>
      <c r="AD372" t="s">
        <v>3230</v>
      </c>
      <c r="AE372" t="s">
        <v>3231</v>
      </c>
      <c r="AF372" t="s">
        <v>3232</v>
      </c>
      <c r="AG372" t="s">
        <v>3233</v>
      </c>
      <c r="AH372" t="s">
        <v>43</v>
      </c>
      <c r="AI372" t="s">
        <v>43</v>
      </c>
      <c r="AJ372" t="s">
        <v>43</v>
      </c>
      <c r="AK372" t="s">
        <v>43</v>
      </c>
      <c r="AL372" t="s">
        <v>43</v>
      </c>
      <c r="AM372" t="s">
        <v>3234</v>
      </c>
      <c r="AN372" t="s">
        <v>43</v>
      </c>
    </row>
    <row r="373" spans="1:40" x14ac:dyDescent="0.3">
      <c r="A373" t="s">
        <v>3241</v>
      </c>
      <c r="B373">
        <v>1656</v>
      </c>
      <c r="C373" t="str">
        <f>IF(Y373&lt;0, "Down", "Up")</f>
        <v>Down</v>
      </c>
      <c r="D373" s="7" t="str">
        <f>IF(AC373&lt;0.05, "Sig", "N")</f>
        <v>Sig</v>
      </c>
      <c r="E373" s="1" t="str">
        <f>IF(AND(H373&gt;2,J373&gt;2,L373&gt;2,N373&gt;2),"Y","N")</f>
        <v>Y</v>
      </c>
      <c r="F373" s="1" t="str">
        <f>IF(AND(P373&gt;2,R373&gt;2,T373&gt;2,V373&gt;2),"Y","N")</f>
        <v>N</v>
      </c>
      <c r="G373" s="1" t="str">
        <f>IF(OR(E373="Y", F373="Y"), "Expressed", "N")</f>
        <v>Expressed</v>
      </c>
      <c r="H373" s="8">
        <v>5.5512870908317238</v>
      </c>
      <c r="I373" s="8">
        <v>409</v>
      </c>
      <c r="J373" s="8">
        <v>3.8357253281509851</v>
      </c>
      <c r="K373" s="8">
        <v>633</v>
      </c>
      <c r="L373" s="8">
        <v>7.4778499773210267</v>
      </c>
      <c r="M373" s="8">
        <v>957</v>
      </c>
      <c r="N373" s="8">
        <v>3.8596487632917209</v>
      </c>
      <c r="O373" s="8">
        <v>294</v>
      </c>
      <c r="P373" s="9">
        <v>1.8748196449328169</v>
      </c>
      <c r="Q373" s="9">
        <v>473</v>
      </c>
      <c r="R373" s="9">
        <v>6.4903180435517491</v>
      </c>
      <c r="S373" s="9">
        <v>99</v>
      </c>
      <c r="T373" s="9">
        <v>2.299342335081874</v>
      </c>
      <c r="U373" s="9">
        <v>92</v>
      </c>
      <c r="V373" s="9">
        <v>0.55324718699254782</v>
      </c>
      <c r="W373" s="9">
        <v>537</v>
      </c>
      <c r="X373">
        <v>369.74558284983209</v>
      </c>
      <c r="Y373">
        <v>-1.0110245695794731</v>
      </c>
      <c r="Z373">
        <v>0.2626300397095519</v>
      </c>
      <c r="AA373">
        <v>-3.8496151114228461</v>
      </c>
      <c r="AB373">
        <v>1.183035761571305E-4</v>
      </c>
      <c r="AC373">
        <v>7.579764627389917E-3</v>
      </c>
      <c r="AD373" t="s">
        <v>3242</v>
      </c>
      <c r="AE373" t="s">
        <v>3243</v>
      </c>
      <c r="AF373" t="s">
        <v>3244</v>
      </c>
      <c r="AG373" t="s">
        <v>2841</v>
      </c>
      <c r="AH373" t="s">
        <v>43</v>
      </c>
      <c r="AI373" t="s">
        <v>43</v>
      </c>
      <c r="AJ373" t="s">
        <v>43</v>
      </c>
      <c r="AK373" t="s">
        <v>43</v>
      </c>
      <c r="AL373" t="s">
        <v>43</v>
      </c>
      <c r="AM373" t="s">
        <v>2842</v>
      </c>
      <c r="AN373" t="s">
        <v>43</v>
      </c>
    </row>
    <row r="374" spans="1:40" x14ac:dyDescent="0.3">
      <c r="A374" t="s">
        <v>3254</v>
      </c>
      <c r="B374">
        <v>4595</v>
      </c>
      <c r="C374" t="str">
        <f>IF(Y374&lt;0, "Down", "Up")</f>
        <v>Down</v>
      </c>
      <c r="D374" s="7" t="str">
        <f>IF(AC374&lt;0.05, "Sig", "N")</f>
        <v>Sig</v>
      </c>
      <c r="E374" s="1" t="str">
        <f>IF(AND(H374&gt;2,J374&gt;2,L374&gt;2,N374&gt;2),"Y","N")</f>
        <v>Y</v>
      </c>
      <c r="F374" s="1" t="str">
        <f>IF(AND(P374&gt;2,R374&gt;2,T374&gt;2,V374&gt;2),"Y","N")</f>
        <v>N</v>
      </c>
      <c r="G374" s="1" t="str">
        <f>IF(OR(E374="Y", F374="Y"), "Expressed", "N")</f>
        <v>Expressed</v>
      </c>
      <c r="H374" s="8">
        <v>6.0850699785230384</v>
      </c>
      <c r="I374" s="8">
        <v>1244</v>
      </c>
      <c r="J374" s="8">
        <v>3.7343474018722982</v>
      </c>
      <c r="K374" s="8">
        <v>1710</v>
      </c>
      <c r="L374" s="8">
        <v>7.1583869904777426</v>
      </c>
      <c r="M374" s="8">
        <v>2542</v>
      </c>
      <c r="N374" s="8">
        <v>4.0310191911597562</v>
      </c>
      <c r="O374" s="8">
        <v>852</v>
      </c>
      <c r="P374" s="9">
        <v>1.958062619729706</v>
      </c>
      <c r="Q374" s="9">
        <v>1527</v>
      </c>
      <c r="R374" s="9">
        <v>7.5512472747267951</v>
      </c>
      <c r="S374" s="9">
        <v>497</v>
      </c>
      <c r="T374" s="9">
        <v>4.1600604977459144</v>
      </c>
      <c r="U374" s="9">
        <v>273</v>
      </c>
      <c r="V374" s="9">
        <v>0.59165542478376065</v>
      </c>
      <c r="W374" s="9">
        <v>1831</v>
      </c>
      <c r="X374">
        <v>1125.7648952932</v>
      </c>
      <c r="Y374">
        <v>-0.70825757114501475</v>
      </c>
      <c r="Z374">
        <v>0.21811118047404771</v>
      </c>
      <c r="AA374">
        <v>-3.2472318457296501</v>
      </c>
      <c r="AB374">
        <v>1.165334189113723E-3</v>
      </c>
      <c r="AC374">
        <v>3.3763273160571872E-2</v>
      </c>
      <c r="AD374" t="s">
        <v>3255</v>
      </c>
      <c r="AE374" t="s">
        <v>3256</v>
      </c>
      <c r="AF374" t="s">
        <v>3257</v>
      </c>
      <c r="AG374" t="s">
        <v>3258</v>
      </c>
      <c r="AH374" t="s">
        <v>43</v>
      </c>
      <c r="AI374" t="s">
        <v>43</v>
      </c>
      <c r="AJ374" t="s">
        <v>43</v>
      </c>
      <c r="AK374" t="s">
        <v>43</v>
      </c>
      <c r="AL374" t="s">
        <v>43</v>
      </c>
      <c r="AM374" t="s">
        <v>3259</v>
      </c>
      <c r="AN374" t="s">
        <v>43</v>
      </c>
    </row>
    <row r="375" spans="1:40" x14ac:dyDescent="0.3">
      <c r="A375" t="s">
        <v>3260</v>
      </c>
      <c r="B375">
        <v>1125</v>
      </c>
      <c r="C375" t="str">
        <f>IF(Y375&lt;0, "Down", "Up")</f>
        <v>Down</v>
      </c>
      <c r="D375" s="7" t="str">
        <f>IF(AC375&lt;0.05, "Sig", "N")</f>
        <v>Sig</v>
      </c>
      <c r="E375" s="1" t="str">
        <f>IF(AND(H375&gt;2,J375&gt;2,L375&gt;2,N375&gt;2),"Y","N")</f>
        <v>Y</v>
      </c>
      <c r="F375" s="1" t="str">
        <f>IF(AND(P375&gt;2,R375&gt;2,T375&gt;2,V375&gt;2),"Y","N")</f>
        <v>N</v>
      </c>
      <c r="G375" s="1" t="str">
        <f>IF(OR(E375="Y", F375="Y"), "Expressed", "N")</f>
        <v>Expressed</v>
      </c>
      <c r="H375" s="8">
        <v>4.8949050768644318</v>
      </c>
      <c r="I375" s="8">
        <v>245</v>
      </c>
      <c r="J375" s="8">
        <v>3.719526483138941</v>
      </c>
      <c r="K375" s="8">
        <v>417</v>
      </c>
      <c r="L375" s="8">
        <v>6.5676307629446713</v>
      </c>
      <c r="M375" s="8">
        <v>571</v>
      </c>
      <c r="N375" s="8">
        <v>3.3238139880450719</v>
      </c>
      <c r="O375" s="8">
        <v>172</v>
      </c>
      <c r="P375" s="9">
        <v>1.6145385611655461</v>
      </c>
      <c r="Q375" s="9">
        <v>262</v>
      </c>
      <c r="R375" s="9">
        <v>5.2919281563389893</v>
      </c>
      <c r="S375" s="9">
        <v>128</v>
      </c>
      <c r="T375" s="9">
        <v>4.3760897515837014</v>
      </c>
      <c r="U375" s="9">
        <v>56</v>
      </c>
      <c r="V375" s="9">
        <v>0.49570947954532291</v>
      </c>
      <c r="W375" s="9">
        <v>319</v>
      </c>
      <c r="X375">
        <v>234.55381950521419</v>
      </c>
      <c r="Y375">
        <v>-0.83175899002552978</v>
      </c>
      <c r="Z375">
        <v>0.21092833052922391</v>
      </c>
      <c r="AA375">
        <v>-3.9433251471655231</v>
      </c>
      <c r="AB375">
        <v>8.035958687030342E-5</v>
      </c>
      <c r="AC375">
        <v>5.7397623951290439E-3</v>
      </c>
      <c r="AD375" t="s">
        <v>3261</v>
      </c>
      <c r="AE375" t="s">
        <v>3262</v>
      </c>
      <c r="AF375" t="s">
        <v>43</v>
      </c>
      <c r="AG375" t="s">
        <v>3263</v>
      </c>
      <c r="AH375" t="s">
        <v>43</v>
      </c>
      <c r="AI375" t="s">
        <v>43</v>
      </c>
      <c r="AJ375" t="s">
        <v>43</v>
      </c>
      <c r="AK375" t="s">
        <v>43</v>
      </c>
      <c r="AL375" t="s">
        <v>43</v>
      </c>
      <c r="AM375" t="s">
        <v>3264</v>
      </c>
      <c r="AN375" t="s">
        <v>43</v>
      </c>
    </row>
    <row r="376" spans="1:40" x14ac:dyDescent="0.3">
      <c r="A376" t="s">
        <v>3271</v>
      </c>
      <c r="B376">
        <v>1348</v>
      </c>
      <c r="C376" t="str">
        <f>IF(Y376&lt;0, "Down", "Up")</f>
        <v>Down</v>
      </c>
      <c r="D376" s="7" t="str">
        <f>IF(AC376&lt;0.05, "Sig", "N")</f>
        <v>Sig</v>
      </c>
      <c r="E376" s="1" t="str">
        <f>IF(AND(H376&gt;2,J376&gt;2,L376&gt;2,N376&gt;2),"Y","N")</f>
        <v>Y</v>
      </c>
      <c r="F376" s="1" t="str">
        <f>IF(AND(P376&gt;2,R376&gt;2,T376&gt;2,V376&gt;2),"Y","N")</f>
        <v>N</v>
      </c>
      <c r="G376" s="1" t="str">
        <f>IF(OR(E376="Y", F376="Y"), "Expressed", "N")</f>
        <v>Expressed</v>
      </c>
      <c r="H376" s="8">
        <v>5.4190627648778484</v>
      </c>
      <c r="I376" s="8">
        <v>325</v>
      </c>
      <c r="J376" s="8">
        <v>3.6922908751779522</v>
      </c>
      <c r="K376" s="8">
        <v>496</v>
      </c>
      <c r="L376" s="8">
        <v>6.9786217763663272</v>
      </c>
      <c r="M376" s="8">
        <v>727</v>
      </c>
      <c r="N376" s="8">
        <v>4.1609318285059782</v>
      </c>
      <c r="O376" s="8">
        <v>258</v>
      </c>
      <c r="P376" s="9">
        <v>2.0211675237142859</v>
      </c>
      <c r="Q376" s="9">
        <v>438</v>
      </c>
      <c r="R376" s="9">
        <v>7.3832808544069728</v>
      </c>
      <c r="S376" s="9">
        <v>140</v>
      </c>
      <c r="T376" s="9">
        <v>3.994541310474041</v>
      </c>
      <c r="U376" s="9">
        <v>57</v>
      </c>
      <c r="V376" s="9">
        <v>0.42109170167236948</v>
      </c>
      <c r="W376" s="9">
        <v>382</v>
      </c>
      <c r="X376">
        <v>302.77716924302422</v>
      </c>
      <c r="Y376">
        <v>-0.89381222031763041</v>
      </c>
      <c r="Z376">
        <v>0.23575928289148751</v>
      </c>
      <c r="AA376">
        <v>-3.7912069011892262</v>
      </c>
      <c r="AB376">
        <v>1.4991699686400911E-4</v>
      </c>
      <c r="AC376">
        <v>8.8115422435509037E-3</v>
      </c>
      <c r="AD376" t="s">
        <v>3272</v>
      </c>
      <c r="AE376" t="s">
        <v>3273</v>
      </c>
      <c r="AF376" t="s">
        <v>3274</v>
      </c>
      <c r="AG376" t="s">
        <v>1958</v>
      </c>
      <c r="AH376" t="s">
        <v>43</v>
      </c>
      <c r="AI376" t="s">
        <v>43</v>
      </c>
      <c r="AJ376" t="s">
        <v>43</v>
      </c>
      <c r="AK376" t="s">
        <v>43</v>
      </c>
      <c r="AL376" t="s">
        <v>43</v>
      </c>
      <c r="AM376" t="s">
        <v>345</v>
      </c>
      <c r="AN376" t="s">
        <v>43</v>
      </c>
    </row>
    <row r="377" spans="1:40" x14ac:dyDescent="0.3">
      <c r="A377" s="13" t="s">
        <v>3280</v>
      </c>
      <c r="B377" s="13">
        <v>3665</v>
      </c>
      <c r="C377" s="13" t="str">
        <f>IF(Y377&lt;0, "Down", "Up")</f>
        <v>Down</v>
      </c>
      <c r="D377" s="14" t="str">
        <f>IF(AC377&lt;0.05, "Sig", "N")</f>
        <v>Sig</v>
      </c>
      <c r="E377" s="15" t="str">
        <f>IF(AND(H377&gt;2,J377&gt;2,L377&gt;2,N377&gt;2),"Y","N")</f>
        <v>Y</v>
      </c>
      <c r="F377" s="15" t="str">
        <f>IF(AND(P377&gt;2,R377&gt;2,T377&gt;2,V377&gt;2),"Y","N")</f>
        <v>N</v>
      </c>
      <c r="G377" s="15" t="str">
        <f>IF(OR(E377="Y", F377="Y"), "Expressed", "N")</f>
        <v>Expressed</v>
      </c>
      <c r="H377" s="13">
        <v>7.3470594062355303</v>
      </c>
      <c r="I377" s="13">
        <v>1198</v>
      </c>
      <c r="J377" s="13">
        <v>3.6524642460574079</v>
      </c>
      <c r="K377" s="13">
        <v>1334</v>
      </c>
      <c r="L377" s="13">
        <v>10.358843531388469</v>
      </c>
      <c r="M377" s="13">
        <v>2934</v>
      </c>
      <c r="N377" s="13">
        <v>4.7691705831193367</v>
      </c>
      <c r="O377" s="13">
        <v>804</v>
      </c>
      <c r="P377" s="13">
        <v>2.316618751505815</v>
      </c>
      <c r="Q377" s="13">
        <v>1413</v>
      </c>
      <c r="R377" s="13">
        <v>8.7605899581562401</v>
      </c>
      <c r="S377" s="13">
        <v>367</v>
      </c>
      <c r="T377" s="13">
        <v>3.851419799166782</v>
      </c>
      <c r="U377" s="13">
        <v>253</v>
      </c>
      <c r="V377" s="13">
        <v>0.68744548146359152</v>
      </c>
      <c r="W377" s="13">
        <v>1663</v>
      </c>
      <c r="X377" s="13">
        <v>1060.611968118076</v>
      </c>
      <c r="Y377" s="13">
        <v>-0.86404485650849494</v>
      </c>
      <c r="Z377" s="13">
        <v>0.27587463706830789</v>
      </c>
      <c r="AA377" s="13">
        <v>-3.1320199119810819</v>
      </c>
      <c r="AB377" s="13">
        <v>1.736081005337349E-3</v>
      </c>
      <c r="AC377" s="13">
        <v>4.2754611591860017E-2</v>
      </c>
      <c r="AD377" s="13" t="s">
        <v>3281</v>
      </c>
      <c r="AE377" s="13" t="s">
        <v>3282</v>
      </c>
      <c r="AF377" s="13" t="s">
        <v>3283</v>
      </c>
      <c r="AG377" s="13" t="s">
        <v>3284</v>
      </c>
      <c r="AH377" s="13" t="s">
        <v>43</v>
      </c>
      <c r="AI377" s="13" t="s">
        <v>43</v>
      </c>
      <c r="AJ377" s="13" t="s">
        <v>43</v>
      </c>
      <c r="AK377" s="13" t="s">
        <v>43</v>
      </c>
      <c r="AL377" s="13" t="s">
        <v>43</v>
      </c>
      <c r="AM377" s="13" t="s">
        <v>3285</v>
      </c>
      <c r="AN377" s="13" t="s">
        <v>43</v>
      </c>
    </row>
    <row r="378" spans="1:40" x14ac:dyDescent="0.3">
      <c r="A378" t="s">
        <v>3297</v>
      </c>
      <c r="B378">
        <v>6168</v>
      </c>
      <c r="C378" t="str">
        <f>IF(Y378&lt;0, "Down", "Up")</f>
        <v>Down</v>
      </c>
      <c r="D378" s="7" t="str">
        <f>IF(AC378&lt;0.05, "Sig", "N")</f>
        <v>Sig</v>
      </c>
      <c r="E378" s="1" t="str">
        <f>IF(AND(H378&gt;2,J378&gt;2,L378&gt;2,N378&gt;2),"Y","N")</f>
        <v>Y</v>
      </c>
      <c r="F378" s="1" t="str">
        <f>IF(AND(P378&gt;2,R378&gt;2,T378&gt;2,V378&gt;2),"Y","N")</f>
        <v>N</v>
      </c>
      <c r="G378" s="1" t="str">
        <f>IF(OR(E378="Y", F378="Y"), "Expressed", "N")</f>
        <v>Expressed</v>
      </c>
      <c r="H378" s="8">
        <v>3.0318637020203738</v>
      </c>
      <c r="I378" s="8">
        <v>832</v>
      </c>
      <c r="J378" s="8">
        <v>3.6393660696460488</v>
      </c>
      <c r="K378" s="8">
        <v>2237</v>
      </c>
      <c r="L378" s="8">
        <v>3.6272356470015161</v>
      </c>
      <c r="M378" s="8">
        <v>1729</v>
      </c>
      <c r="N378" s="8">
        <v>2.5553737444568192</v>
      </c>
      <c r="O378" s="8">
        <v>725</v>
      </c>
      <c r="P378" s="9">
        <v>1.241269656922684</v>
      </c>
      <c r="Q378" s="9">
        <v>1472</v>
      </c>
      <c r="R378" s="9">
        <v>5.4228627853297038</v>
      </c>
      <c r="S378" s="9">
        <v>580</v>
      </c>
      <c r="T378" s="9">
        <v>3.616699298430869</v>
      </c>
      <c r="U378" s="9">
        <v>342</v>
      </c>
      <c r="V378" s="9">
        <v>0.55217083059762073</v>
      </c>
      <c r="W378" s="9">
        <v>1363</v>
      </c>
      <c r="X378">
        <v>1006.113895971145</v>
      </c>
      <c r="Y378">
        <v>-0.46648633552868651</v>
      </c>
      <c r="Z378">
        <v>0.14699941174668121</v>
      </c>
      <c r="AA378">
        <v>-3.173389131193026</v>
      </c>
      <c r="AB378">
        <v>1.506704343697776E-3</v>
      </c>
      <c r="AC378">
        <v>3.9481017139851513E-2</v>
      </c>
      <c r="AD378" t="s">
        <v>3298</v>
      </c>
      <c r="AE378" t="s">
        <v>3299</v>
      </c>
      <c r="AF378" t="s">
        <v>43</v>
      </c>
      <c r="AG378" t="s">
        <v>43</v>
      </c>
      <c r="AH378" t="s">
        <v>43</v>
      </c>
      <c r="AI378" t="s">
        <v>43</v>
      </c>
      <c r="AJ378" t="s">
        <v>43</v>
      </c>
      <c r="AK378" t="s">
        <v>43</v>
      </c>
      <c r="AL378" t="s">
        <v>43</v>
      </c>
      <c r="AM378" t="s">
        <v>43</v>
      </c>
      <c r="AN378" t="s">
        <v>43</v>
      </c>
    </row>
    <row r="379" spans="1:40" x14ac:dyDescent="0.3">
      <c r="A379" t="s">
        <v>3300</v>
      </c>
      <c r="B379">
        <v>3947</v>
      </c>
      <c r="C379" t="str">
        <f>IF(Y379&lt;0, "Down", "Up")</f>
        <v>Down</v>
      </c>
      <c r="D379" s="7" t="str">
        <f>IF(AC379&lt;0.05, "Sig", "N")</f>
        <v>Sig</v>
      </c>
      <c r="E379" s="1" t="str">
        <f>IF(AND(H379&gt;2,J379&gt;2,L379&gt;2,N379&gt;2),"Y","N")</f>
        <v>Y</v>
      </c>
      <c r="F379" s="1" t="str">
        <f>IF(AND(P379&gt;2,R379&gt;2,T379&gt;2,V379&gt;2),"Y","N")</f>
        <v>N</v>
      </c>
      <c r="G379" s="1" t="str">
        <f>IF(OR(E379="Y", F379="Y"), "Expressed", "N")</f>
        <v>Expressed</v>
      </c>
      <c r="H379" s="8">
        <v>3.76413373916983</v>
      </c>
      <c r="I379" s="8">
        <v>661</v>
      </c>
      <c r="J379" s="8">
        <v>3.6279472968081139</v>
      </c>
      <c r="K379" s="8">
        <v>1427</v>
      </c>
      <c r="L379" s="8">
        <v>5.6781374852512494</v>
      </c>
      <c r="M379" s="8">
        <v>1732</v>
      </c>
      <c r="N379" s="8">
        <v>3.4590218395982868</v>
      </c>
      <c r="O379" s="8">
        <v>628</v>
      </c>
      <c r="P379" s="9">
        <v>1.680215608945649</v>
      </c>
      <c r="Q379" s="9">
        <v>1136</v>
      </c>
      <c r="R379" s="9">
        <v>6.5399793289726551</v>
      </c>
      <c r="S379" s="9">
        <v>361</v>
      </c>
      <c r="T379" s="9">
        <v>3.5177814051057981</v>
      </c>
      <c r="U379" s="9">
        <v>262</v>
      </c>
      <c r="V379" s="9">
        <v>0.66103717604683443</v>
      </c>
      <c r="W379" s="9">
        <v>1094</v>
      </c>
      <c r="X379">
        <v>786.48805001758444</v>
      </c>
      <c r="Y379">
        <v>-0.59622701736750594</v>
      </c>
      <c r="Z379">
        <v>0.15217248565785171</v>
      </c>
      <c r="AA379">
        <v>-3.9181000086183602</v>
      </c>
      <c r="AB379">
        <v>8.9249678722557797E-5</v>
      </c>
      <c r="AC379">
        <v>6.1697102466628994E-3</v>
      </c>
      <c r="AD379" t="s">
        <v>3301</v>
      </c>
      <c r="AE379" t="s">
        <v>3302</v>
      </c>
      <c r="AF379" t="s">
        <v>43</v>
      </c>
      <c r="AG379" t="s">
        <v>3303</v>
      </c>
      <c r="AH379" t="s">
        <v>43</v>
      </c>
      <c r="AI379" t="s">
        <v>43</v>
      </c>
      <c r="AJ379" t="s">
        <v>43</v>
      </c>
      <c r="AK379" t="s">
        <v>43</v>
      </c>
      <c r="AL379" t="s">
        <v>43</v>
      </c>
      <c r="AM379" t="s">
        <v>267</v>
      </c>
      <c r="AN379" t="s">
        <v>43</v>
      </c>
    </row>
    <row r="380" spans="1:40" x14ac:dyDescent="0.3">
      <c r="A380" t="s">
        <v>3304</v>
      </c>
      <c r="B380">
        <v>3600</v>
      </c>
      <c r="C380" t="str">
        <f>IF(Y380&lt;0, "Down", "Up")</f>
        <v>Down</v>
      </c>
      <c r="D380" s="7" t="str">
        <f>IF(AC380&lt;0.05, "Sig", "N")</f>
        <v>Sig</v>
      </c>
      <c r="E380" s="1" t="str">
        <f>IF(AND(H380&gt;2,J380&gt;2,L380&gt;2,N380&gt;2),"Y","N")</f>
        <v>Y</v>
      </c>
      <c r="F380" s="1" t="str">
        <f>IF(AND(P380&gt;2,R380&gt;2,T380&gt;2,V380&gt;2),"Y","N")</f>
        <v>N</v>
      </c>
      <c r="G380" s="1" t="str">
        <f>IF(OR(E380="Y", F380="Y"), "Expressed", "N")</f>
        <v>Expressed</v>
      </c>
      <c r="H380" s="8">
        <v>3.6586918049012209</v>
      </c>
      <c r="I380" s="8">
        <v>586</v>
      </c>
      <c r="J380" s="8">
        <v>3.620851994602432</v>
      </c>
      <c r="K380" s="8">
        <v>1299</v>
      </c>
      <c r="L380" s="8">
        <v>4.5468765954055437</v>
      </c>
      <c r="M380" s="8">
        <v>1265</v>
      </c>
      <c r="N380" s="8">
        <v>3.097958895107416</v>
      </c>
      <c r="O380" s="8">
        <v>513</v>
      </c>
      <c r="P380" s="9">
        <v>1.5048297272491371</v>
      </c>
      <c r="Q380" s="9">
        <v>984</v>
      </c>
      <c r="R380" s="9">
        <v>6.2109462140238136</v>
      </c>
      <c r="S380" s="9">
        <v>417</v>
      </c>
      <c r="T380" s="9">
        <v>4.4551499668222743</v>
      </c>
      <c r="U380" s="9">
        <v>259</v>
      </c>
      <c r="V380" s="9">
        <v>0.71645510715534944</v>
      </c>
      <c r="W380" s="9">
        <v>1059</v>
      </c>
      <c r="X380">
        <v>700.82014389995197</v>
      </c>
      <c r="Y380">
        <v>-0.35520473104538702</v>
      </c>
      <c r="Z380">
        <v>0.115269949509912</v>
      </c>
      <c r="AA380">
        <v>-3.0815033107552741</v>
      </c>
      <c r="AB380">
        <v>2.0595818625536661E-3</v>
      </c>
      <c r="AC380">
        <v>4.7274402324751233E-2</v>
      </c>
      <c r="AD380" t="s">
        <v>3305</v>
      </c>
      <c r="AE380" t="s">
        <v>3306</v>
      </c>
      <c r="AF380" t="s">
        <v>43</v>
      </c>
      <c r="AG380" t="s">
        <v>3307</v>
      </c>
      <c r="AH380" t="s">
        <v>43</v>
      </c>
      <c r="AI380" t="s">
        <v>43</v>
      </c>
      <c r="AJ380" t="s">
        <v>43</v>
      </c>
      <c r="AK380" t="s">
        <v>43</v>
      </c>
      <c r="AL380" t="s">
        <v>43</v>
      </c>
      <c r="AM380" t="s">
        <v>3308</v>
      </c>
      <c r="AN380" t="s">
        <v>43</v>
      </c>
    </row>
    <row r="381" spans="1:40" x14ac:dyDescent="0.3">
      <c r="A381" t="s">
        <v>3309</v>
      </c>
      <c r="B381">
        <v>2113</v>
      </c>
      <c r="C381" t="str">
        <f>IF(Y381&lt;0, "Down", "Up")</f>
        <v>Down</v>
      </c>
      <c r="D381" s="7" t="str">
        <f>IF(AC381&lt;0.05, "Sig", "N")</f>
        <v>Sig</v>
      </c>
      <c r="E381" s="1" t="str">
        <f>IF(AND(H381&gt;2,J381&gt;2,L381&gt;2,N381&gt;2),"Y","N")</f>
        <v>Y</v>
      </c>
      <c r="F381" s="1" t="str">
        <f>IF(AND(P381&gt;2,R381&gt;2,T381&gt;2,V381&gt;2),"Y","N")</f>
        <v>N</v>
      </c>
      <c r="G381" s="1" t="str">
        <f>IF(OR(E381="Y", F381="Y"), "Expressed", "N")</f>
        <v>Expressed</v>
      </c>
      <c r="H381" s="8">
        <v>3.9251619614888349</v>
      </c>
      <c r="I381" s="8">
        <v>369</v>
      </c>
      <c r="J381" s="8">
        <v>3.6187584652628391</v>
      </c>
      <c r="K381" s="8">
        <v>762</v>
      </c>
      <c r="L381" s="8">
        <v>5.168542505543587</v>
      </c>
      <c r="M381" s="8">
        <v>844</v>
      </c>
      <c r="N381" s="8">
        <v>2.0886098777220559</v>
      </c>
      <c r="O381" s="8">
        <v>203</v>
      </c>
      <c r="P381" s="9">
        <v>1.01453968210684</v>
      </c>
      <c r="Q381" s="9">
        <v>417</v>
      </c>
      <c r="R381" s="9">
        <v>4.4843729951310651</v>
      </c>
      <c r="S381" s="9">
        <v>115</v>
      </c>
      <c r="T381" s="9">
        <v>2.0932790005736122</v>
      </c>
      <c r="U381" s="9">
        <v>79</v>
      </c>
      <c r="V381" s="9">
        <v>0.37232252716677849</v>
      </c>
      <c r="W381" s="9">
        <v>287</v>
      </c>
      <c r="X381">
        <v>324.73061718613371</v>
      </c>
      <c r="Y381">
        <v>-1.204078545899731</v>
      </c>
      <c r="Z381">
        <v>0.2480994966418742</v>
      </c>
      <c r="AA381">
        <v>-4.8532083385795426</v>
      </c>
      <c r="AB381">
        <v>1.2147995188389219E-6</v>
      </c>
      <c r="AC381">
        <v>2.5874135337288097E-4</v>
      </c>
      <c r="AD381" t="s">
        <v>3310</v>
      </c>
      <c r="AE381" t="s">
        <v>3311</v>
      </c>
      <c r="AF381" t="s">
        <v>3312</v>
      </c>
      <c r="AG381" t="s">
        <v>3313</v>
      </c>
      <c r="AH381" t="s">
        <v>43</v>
      </c>
      <c r="AI381" t="s">
        <v>43</v>
      </c>
      <c r="AJ381" t="s">
        <v>43</v>
      </c>
      <c r="AK381" t="s">
        <v>43</v>
      </c>
      <c r="AL381" t="s">
        <v>43</v>
      </c>
      <c r="AM381" t="s">
        <v>3314</v>
      </c>
      <c r="AN381" t="s">
        <v>1866</v>
      </c>
    </row>
    <row r="382" spans="1:40" x14ac:dyDescent="0.3">
      <c r="A382" t="s">
        <v>3315</v>
      </c>
      <c r="B382">
        <v>1172</v>
      </c>
      <c r="C382" t="str">
        <f>IF(Y382&lt;0, "Down", "Up")</f>
        <v>Down</v>
      </c>
      <c r="D382" s="7" t="str">
        <f>IF(AC382&lt;0.05, "Sig", "N")</f>
        <v>Sig</v>
      </c>
      <c r="E382" s="1" t="str">
        <f>IF(AND(H382&gt;2,J382&gt;2,L382&gt;2,N382&gt;2),"Y","N")</f>
        <v>Y</v>
      </c>
      <c r="F382" s="1" t="str">
        <f>IF(AND(P382&gt;2,R382&gt;2,T382&gt;2,V382&gt;2),"Y","N")</f>
        <v>N</v>
      </c>
      <c r="G382" s="1" t="str">
        <f>IF(OR(E382="Y", F382="Y"), "Expressed", "N")</f>
        <v>Expressed</v>
      </c>
      <c r="H382" s="8">
        <v>6.501338802288684</v>
      </c>
      <c r="I382" s="8">
        <v>339</v>
      </c>
      <c r="J382" s="8">
        <v>3.6131747118418831</v>
      </c>
      <c r="K382" s="8">
        <v>422</v>
      </c>
      <c r="L382" s="8">
        <v>9.3073298518371654</v>
      </c>
      <c r="M382" s="8">
        <v>843</v>
      </c>
      <c r="N382" s="8">
        <v>6.455240377806005</v>
      </c>
      <c r="O382" s="8">
        <v>348</v>
      </c>
      <c r="P382" s="9">
        <v>3.1356250828255772</v>
      </c>
      <c r="Q382" s="9">
        <v>448</v>
      </c>
      <c r="R382" s="9">
        <v>8.6859149584283752</v>
      </c>
      <c r="S382" s="9">
        <v>83</v>
      </c>
      <c r="T382" s="9">
        <v>2.7238253289924281</v>
      </c>
      <c r="U382" s="9">
        <v>81</v>
      </c>
      <c r="V382" s="9">
        <v>0.68825460634397162</v>
      </c>
      <c r="W382" s="9">
        <v>487</v>
      </c>
      <c r="X382">
        <v>329.11480982443243</v>
      </c>
      <c r="Y382">
        <v>-0.97817347358651019</v>
      </c>
      <c r="Z382">
        <v>0.29764538135320301</v>
      </c>
      <c r="AA382">
        <v>-3.2863720886223109</v>
      </c>
      <c r="AB382">
        <v>1.014868541852473E-3</v>
      </c>
      <c r="AC382">
        <v>3.1097364507554289E-2</v>
      </c>
      <c r="AD382" t="s">
        <v>3316</v>
      </c>
      <c r="AE382" t="s">
        <v>3317</v>
      </c>
      <c r="AF382" t="s">
        <v>43</v>
      </c>
      <c r="AG382" t="s">
        <v>43</v>
      </c>
      <c r="AH382" t="s">
        <v>43</v>
      </c>
      <c r="AI382" t="s">
        <v>43</v>
      </c>
      <c r="AJ382" t="s">
        <v>43</v>
      </c>
      <c r="AK382" t="s">
        <v>43</v>
      </c>
      <c r="AL382" t="s">
        <v>43</v>
      </c>
      <c r="AM382" t="s">
        <v>43</v>
      </c>
      <c r="AN382" t="s">
        <v>43</v>
      </c>
    </row>
    <row r="383" spans="1:40" x14ac:dyDescent="0.3">
      <c r="A383" t="s">
        <v>3318</v>
      </c>
      <c r="B383">
        <v>3731</v>
      </c>
      <c r="C383" t="str">
        <f>IF(Y383&lt;0, "Down", "Up")</f>
        <v>Down</v>
      </c>
      <c r="D383" s="7" t="str">
        <f>IF(AC383&lt;0.05, "Sig", "N")</f>
        <v>Sig</v>
      </c>
      <c r="E383" s="1" t="str">
        <f>IF(AND(H383&gt;2,J383&gt;2,L383&gt;2,N383&gt;2),"Y","N")</f>
        <v>Y</v>
      </c>
      <c r="F383" s="1" t="str">
        <f>IF(AND(P383&gt;2,R383&gt;2,T383&gt;2,V383&gt;2),"Y","N")</f>
        <v>N</v>
      </c>
      <c r="G383" s="1" t="str">
        <f>IF(OR(E383="Y", F383="Y"), "Expressed", "N")</f>
        <v>Expressed</v>
      </c>
      <c r="H383" s="8">
        <v>3.6567406061337162</v>
      </c>
      <c r="I383" s="8">
        <v>607</v>
      </c>
      <c r="J383" s="8">
        <v>3.5582685152924598</v>
      </c>
      <c r="K383" s="8">
        <v>1323</v>
      </c>
      <c r="L383" s="8">
        <v>3.7941737548443482</v>
      </c>
      <c r="M383" s="8">
        <v>1094</v>
      </c>
      <c r="N383" s="8">
        <v>2.7968989446440871</v>
      </c>
      <c r="O383" s="8">
        <v>480</v>
      </c>
      <c r="P383" s="9">
        <v>1.358590226183819</v>
      </c>
      <c r="Q383" s="9">
        <v>1024</v>
      </c>
      <c r="R383" s="9">
        <v>6.2364849446892414</v>
      </c>
      <c r="S383" s="9">
        <v>318</v>
      </c>
      <c r="T383" s="9">
        <v>3.278163756007666</v>
      </c>
      <c r="U383" s="9">
        <v>221</v>
      </c>
      <c r="V383" s="9">
        <v>0.5898733073857827</v>
      </c>
      <c r="W383" s="9">
        <v>844</v>
      </c>
      <c r="X383">
        <v>644.83949712011247</v>
      </c>
      <c r="Y383">
        <v>-0.51023006066276733</v>
      </c>
      <c r="Z383">
        <v>0.15915484398571739</v>
      </c>
      <c r="AA383">
        <v>-3.2058720167421071</v>
      </c>
      <c r="AB383">
        <v>1.3465386380697799E-3</v>
      </c>
      <c r="AC383">
        <v>3.6999377481573573E-2</v>
      </c>
      <c r="AD383" t="s">
        <v>3319</v>
      </c>
      <c r="AE383" t="s">
        <v>3320</v>
      </c>
      <c r="AF383" t="s">
        <v>43</v>
      </c>
      <c r="AG383" t="s">
        <v>3321</v>
      </c>
      <c r="AH383" t="s">
        <v>43</v>
      </c>
      <c r="AI383" t="s">
        <v>43</v>
      </c>
      <c r="AJ383" t="s">
        <v>43</v>
      </c>
      <c r="AK383" t="s">
        <v>43</v>
      </c>
      <c r="AL383" t="s">
        <v>43</v>
      </c>
      <c r="AM383" t="s">
        <v>2158</v>
      </c>
      <c r="AN383" t="s">
        <v>43</v>
      </c>
    </row>
    <row r="384" spans="1:40" x14ac:dyDescent="0.3">
      <c r="A384" t="s">
        <v>3322</v>
      </c>
      <c r="B384">
        <v>1734</v>
      </c>
      <c r="C384" t="str">
        <f>IF(Y384&lt;0, "Down", "Up")</f>
        <v>Down</v>
      </c>
      <c r="D384" s="7" t="str">
        <f>IF(AC384&lt;0.05, "Sig", "N")</f>
        <v>Sig</v>
      </c>
      <c r="E384" s="1" t="str">
        <f>IF(AND(H384&gt;2,J384&gt;2,L384&gt;2,N384&gt;2),"Y","N")</f>
        <v>Y</v>
      </c>
      <c r="F384" s="1" t="str">
        <f>IF(AND(P384&gt;2,R384&gt;2,T384&gt;2,V384&gt;2),"Y","N")</f>
        <v>N</v>
      </c>
      <c r="G384" s="1" t="str">
        <f>IF(OR(E384="Y", F384="Y"), "Expressed", "N")</f>
        <v>Expressed</v>
      </c>
      <c r="H384" s="8">
        <v>4.7441968914599482</v>
      </c>
      <c r="I384" s="8">
        <v>366</v>
      </c>
      <c r="J384" s="8">
        <v>3.535869596845195</v>
      </c>
      <c r="K384" s="8">
        <v>611</v>
      </c>
      <c r="L384" s="8">
        <v>8.1115825745681462</v>
      </c>
      <c r="M384" s="8">
        <v>1087</v>
      </c>
      <c r="N384" s="8">
        <v>3.0591552658135921</v>
      </c>
      <c r="O384" s="8">
        <v>244</v>
      </c>
      <c r="P384" s="9">
        <v>1.48598091199251</v>
      </c>
      <c r="Q384" s="9">
        <v>483</v>
      </c>
      <c r="R384" s="9">
        <v>6.3294096999187737</v>
      </c>
      <c r="S384" s="9">
        <v>156</v>
      </c>
      <c r="T384" s="9">
        <v>3.4602245143226442</v>
      </c>
      <c r="U384" s="9">
        <v>122</v>
      </c>
      <c r="V384" s="9">
        <v>0.70065214684869381</v>
      </c>
      <c r="W384" s="9">
        <v>525</v>
      </c>
      <c r="X384">
        <v>381.75427015358048</v>
      </c>
      <c r="Y384">
        <v>-0.77146210388661585</v>
      </c>
      <c r="Z384">
        <v>0.24299059965593089</v>
      </c>
      <c r="AA384">
        <v>-3.174863986421649</v>
      </c>
      <c r="AB384">
        <v>1.4990674962670151E-3</v>
      </c>
      <c r="AC384">
        <v>3.9422640430194403E-2</v>
      </c>
      <c r="AD384" t="s">
        <v>3323</v>
      </c>
      <c r="AE384" t="s">
        <v>3324</v>
      </c>
      <c r="AF384" t="s">
        <v>43</v>
      </c>
      <c r="AG384" t="s">
        <v>3325</v>
      </c>
      <c r="AH384" t="s">
        <v>43</v>
      </c>
      <c r="AI384" t="s">
        <v>43</v>
      </c>
      <c r="AJ384" t="s">
        <v>43</v>
      </c>
      <c r="AK384" t="s">
        <v>43</v>
      </c>
      <c r="AL384" t="s">
        <v>43</v>
      </c>
      <c r="AM384" t="s">
        <v>3326</v>
      </c>
      <c r="AN384" t="s">
        <v>43</v>
      </c>
    </row>
    <row r="385" spans="1:40" x14ac:dyDescent="0.3">
      <c r="A385" t="s">
        <v>3327</v>
      </c>
      <c r="B385">
        <v>2052</v>
      </c>
      <c r="C385" t="str">
        <f>IF(Y385&lt;0, "Down", "Up")</f>
        <v>Down</v>
      </c>
      <c r="D385" s="7" t="str">
        <f>IF(AC385&lt;0.05, "Sig", "N")</f>
        <v>Sig</v>
      </c>
      <c r="E385" s="1" t="str">
        <f>IF(AND(H385&gt;2,J385&gt;2,L385&gt;2,N385&gt;2),"Y","N")</f>
        <v>Y</v>
      </c>
      <c r="F385" s="1" t="str">
        <f>IF(AND(P385&gt;2,R385&gt;2,T385&gt;2,V385&gt;2),"Y","N")</f>
        <v>N</v>
      </c>
      <c r="G385" s="1" t="str">
        <f>IF(OR(E385="Y", F385="Y"), "Expressed", "N")</f>
        <v>Expressed</v>
      </c>
      <c r="H385" s="8">
        <v>5.071475677112943</v>
      </c>
      <c r="I385" s="8">
        <v>463</v>
      </c>
      <c r="J385" s="8">
        <v>3.5307255785191791</v>
      </c>
      <c r="K385" s="8">
        <v>722</v>
      </c>
      <c r="L385" s="8">
        <v>8.0841769576449725</v>
      </c>
      <c r="M385" s="8">
        <v>1282</v>
      </c>
      <c r="N385" s="8">
        <v>3.5703708753161632</v>
      </c>
      <c r="O385" s="8">
        <v>337</v>
      </c>
      <c r="P385" s="9">
        <v>1.7343032662458839</v>
      </c>
      <c r="Q385" s="9">
        <v>611</v>
      </c>
      <c r="R385" s="9">
        <v>6.7659537454866463</v>
      </c>
      <c r="S385" s="9">
        <v>165</v>
      </c>
      <c r="T385" s="9">
        <v>3.0926826729171411</v>
      </c>
      <c r="U385" s="9">
        <v>168</v>
      </c>
      <c r="V385" s="9">
        <v>0.8153116439890179</v>
      </c>
      <c r="W385" s="9">
        <v>680</v>
      </c>
      <c r="X385">
        <v>475.34357388055821</v>
      </c>
      <c r="Y385">
        <v>-0.74523608710783618</v>
      </c>
      <c r="Z385">
        <v>0.24238750929955749</v>
      </c>
      <c r="AA385">
        <v>-3.0745647300943522</v>
      </c>
      <c r="AB385">
        <v>2.108099696863147E-3</v>
      </c>
      <c r="AC385">
        <v>4.783079945608304E-2</v>
      </c>
      <c r="AD385" t="s">
        <v>3328</v>
      </c>
      <c r="AE385" t="s">
        <v>3329</v>
      </c>
      <c r="AF385" t="s">
        <v>43</v>
      </c>
      <c r="AG385" t="s">
        <v>3330</v>
      </c>
      <c r="AH385" t="s">
        <v>43</v>
      </c>
      <c r="AI385" t="s">
        <v>43</v>
      </c>
      <c r="AJ385" t="s">
        <v>43</v>
      </c>
      <c r="AK385" t="s">
        <v>43</v>
      </c>
      <c r="AL385" t="s">
        <v>43</v>
      </c>
      <c r="AM385" t="s">
        <v>3331</v>
      </c>
      <c r="AN385" t="s">
        <v>43</v>
      </c>
    </row>
    <row r="386" spans="1:40" x14ac:dyDescent="0.3">
      <c r="A386" t="s">
        <v>3337</v>
      </c>
      <c r="B386">
        <v>2000</v>
      </c>
      <c r="C386" t="str">
        <f>IF(Y386&lt;0, "Down", "Up")</f>
        <v>Down</v>
      </c>
      <c r="D386" s="7" t="str">
        <f>IF(AC386&lt;0.05, "Sig", "N")</f>
        <v>Sig</v>
      </c>
      <c r="E386" s="1" t="str">
        <f>IF(AND(H386&gt;2,J386&gt;2,L386&gt;2,N386&gt;2),"Y","N")</f>
        <v>Y</v>
      </c>
      <c r="F386" s="1" t="str">
        <f>IF(AND(P386&gt;2,R386&gt;2,T386&gt;2,V386&gt;2),"Y","N")</f>
        <v>N</v>
      </c>
      <c r="G386" s="1" t="str">
        <f>IF(OR(E386="Y", F386="Y"), "Expressed", "N")</f>
        <v>Expressed</v>
      </c>
      <c r="H386" s="8">
        <v>4.8437083656013096</v>
      </c>
      <c r="I386" s="8">
        <v>431</v>
      </c>
      <c r="J386" s="8">
        <v>3.512142812316446</v>
      </c>
      <c r="K386" s="8">
        <v>700</v>
      </c>
      <c r="L386" s="8">
        <v>6.605731072755975</v>
      </c>
      <c r="M386" s="8">
        <v>1021</v>
      </c>
      <c r="N386" s="8">
        <v>2.760987927569416</v>
      </c>
      <c r="O386" s="8">
        <v>254</v>
      </c>
      <c r="P386" s="9">
        <v>1.34114649375888</v>
      </c>
      <c r="Q386" s="9">
        <v>515</v>
      </c>
      <c r="R386" s="9">
        <v>5.8511657930895069</v>
      </c>
      <c r="S386" s="9">
        <v>157</v>
      </c>
      <c r="T386" s="9">
        <v>3.0192455170838719</v>
      </c>
      <c r="U386" s="9">
        <v>144</v>
      </c>
      <c r="V386" s="9">
        <v>0.717008354342342</v>
      </c>
      <c r="W386" s="9">
        <v>532</v>
      </c>
      <c r="X386">
        <v>405.83999862324868</v>
      </c>
      <c r="Y386">
        <v>-0.7628173619080405</v>
      </c>
      <c r="Z386">
        <v>0.22746566867336879</v>
      </c>
      <c r="AA386">
        <v>-3.3535494228951719</v>
      </c>
      <c r="AB386">
        <v>7.9782164217754865E-4</v>
      </c>
      <c r="AC386">
        <v>2.6417505972495241E-2</v>
      </c>
      <c r="AD386" t="s">
        <v>3338</v>
      </c>
      <c r="AE386" t="s">
        <v>3339</v>
      </c>
      <c r="AF386" t="s">
        <v>3340</v>
      </c>
      <c r="AG386" t="s">
        <v>3341</v>
      </c>
      <c r="AH386" t="s">
        <v>43</v>
      </c>
      <c r="AI386" t="s">
        <v>43</v>
      </c>
      <c r="AJ386" t="s">
        <v>43</v>
      </c>
      <c r="AK386" t="s">
        <v>43</v>
      </c>
      <c r="AL386" t="s">
        <v>43</v>
      </c>
      <c r="AM386" t="s">
        <v>2210</v>
      </c>
      <c r="AN386" t="s">
        <v>43</v>
      </c>
    </row>
    <row r="387" spans="1:40" x14ac:dyDescent="0.3">
      <c r="A387" t="s">
        <v>3348</v>
      </c>
      <c r="B387">
        <v>2395</v>
      </c>
      <c r="C387" t="str">
        <f>IF(Y387&lt;0, "Down", "Up")</f>
        <v>Down</v>
      </c>
      <c r="D387" s="7" t="str">
        <f>IF(AC387&lt;0.05, "Sig", "N")</f>
        <v>Sig</v>
      </c>
      <c r="E387" s="1" t="str">
        <f>IF(AND(H387&gt;2,J387&gt;2,L387&gt;2,N387&gt;2),"Y","N")</f>
        <v>Y</v>
      </c>
      <c r="F387" s="1" t="str">
        <f>IF(AND(P387&gt;2,R387&gt;2,T387&gt;2,V387&gt;2),"Y","N")</f>
        <v>N</v>
      </c>
      <c r="G387" s="1" t="str">
        <f>IF(OR(E387="Y", F387="Y"), "Expressed", "N")</f>
        <v>Expressed</v>
      </c>
      <c r="H387" s="8">
        <v>5.2461052877391161</v>
      </c>
      <c r="I387" s="8">
        <v>559</v>
      </c>
      <c r="J387" s="8">
        <v>3.4943359444937858</v>
      </c>
      <c r="K387" s="8">
        <v>834</v>
      </c>
      <c r="L387" s="8">
        <v>10.07083621372238</v>
      </c>
      <c r="M387" s="8">
        <v>1864</v>
      </c>
      <c r="N387" s="8">
        <v>3.630908128902953</v>
      </c>
      <c r="O387" s="8">
        <v>400</v>
      </c>
      <c r="P387" s="9">
        <v>1.7637091628016111</v>
      </c>
      <c r="Q387" s="9">
        <v>800</v>
      </c>
      <c r="R387" s="9">
        <v>7.5901374375768382</v>
      </c>
      <c r="S387" s="9">
        <v>135</v>
      </c>
      <c r="T387" s="9">
        <v>2.1679887494186278</v>
      </c>
      <c r="U387" s="9">
        <v>148</v>
      </c>
      <c r="V387" s="9">
        <v>0.61538643262970671</v>
      </c>
      <c r="W387" s="9">
        <v>675</v>
      </c>
      <c r="X387">
        <v>561.83718970586051</v>
      </c>
      <c r="Y387">
        <v>-1.071855282627151</v>
      </c>
      <c r="Z387">
        <v>0.31400386840989669</v>
      </c>
      <c r="AA387">
        <v>-3.4135098018218191</v>
      </c>
      <c r="AB387">
        <v>6.4131851560285218E-4</v>
      </c>
      <c r="AC387">
        <v>2.300766668570961E-2</v>
      </c>
      <c r="AD387" t="s">
        <v>3349</v>
      </c>
      <c r="AE387" t="s">
        <v>3350</v>
      </c>
      <c r="AF387" t="s">
        <v>3351</v>
      </c>
      <c r="AG387" t="s">
        <v>3352</v>
      </c>
      <c r="AH387" t="s">
        <v>43</v>
      </c>
      <c r="AI387" t="s">
        <v>43</v>
      </c>
      <c r="AJ387" t="s">
        <v>43</v>
      </c>
      <c r="AK387" t="s">
        <v>43</v>
      </c>
      <c r="AL387" t="s">
        <v>43</v>
      </c>
      <c r="AM387" t="s">
        <v>3353</v>
      </c>
      <c r="AN387" t="s">
        <v>43</v>
      </c>
    </row>
    <row r="388" spans="1:40" x14ac:dyDescent="0.3">
      <c r="A388" t="s">
        <v>3354</v>
      </c>
      <c r="B388">
        <v>3288</v>
      </c>
      <c r="C388" t="str">
        <f>IF(Y388&lt;0, "Down", "Up")</f>
        <v>Down</v>
      </c>
      <c r="D388" s="7" t="str">
        <f>IF(AC388&lt;0.05, "Sig", "N")</f>
        <v>Sig</v>
      </c>
      <c r="E388" s="1" t="str">
        <f>IF(AND(H388&gt;2,J388&gt;2,L388&gt;2,N388&gt;2),"Y","N")</f>
        <v>Y</v>
      </c>
      <c r="F388" s="1" t="str">
        <f>IF(AND(P388&gt;2,R388&gt;2,T388&gt;2,V388&gt;2),"Y","N")</f>
        <v>N</v>
      </c>
      <c r="G388" s="1" t="str">
        <f>IF(OR(E388="Y", F388="Y"), "Expressed", "N")</f>
        <v>Expressed</v>
      </c>
      <c r="H388" s="8">
        <v>3.1103574360941222</v>
      </c>
      <c r="I388" s="8">
        <v>455</v>
      </c>
      <c r="J388" s="8">
        <v>3.4608706544724108</v>
      </c>
      <c r="K388" s="8">
        <v>1134</v>
      </c>
      <c r="L388" s="8">
        <v>3.785893613669657</v>
      </c>
      <c r="M388" s="8">
        <v>962</v>
      </c>
      <c r="N388" s="8">
        <v>2.3141793940487378</v>
      </c>
      <c r="O388" s="8">
        <v>350</v>
      </c>
      <c r="P388" s="9">
        <v>1.124109797535318</v>
      </c>
      <c r="Q388" s="9">
        <v>758</v>
      </c>
      <c r="R388" s="9">
        <v>5.2384471584364993</v>
      </c>
      <c r="S388" s="9">
        <v>237</v>
      </c>
      <c r="T388" s="9">
        <v>2.7723324637317619</v>
      </c>
      <c r="U388" s="9">
        <v>170</v>
      </c>
      <c r="V388" s="9">
        <v>0.51488333096021788</v>
      </c>
      <c r="W388" s="9">
        <v>726</v>
      </c>
      <c r="X388">
        <v>511.79436002102551</v>
      </c>
      <c r="Y388">
        <v>-0.56348004423388309</v>
      </c>
      <c r="Z388">
        <v>0.1751686085095675</v>
      </c>
      <c r="AA388">
        <v>-3.216786666448324</v>
      </c>
      <c r="AB388">
        <v>1.296349532753814E-3</v>
      </c>
      <c r="AC388">
        <v>3.625202138620677E-2</v>
      </c>
      <c r="AD388" t="s">
        <v>3355</v>
      </c>
      <c r="AE388" t="s">
        <v>3356</v>
      </c>
      <c r="AF388" t="s">
        <v>3357</v>
      </c>
      <c r="AG388" t="s">
        <v>3358</v>
      </c>
      <c r="AH388" t="s">
        <v>43</v>
      </c>
      <c r="AI388" t="s">
        <v>43</v>
      </c>
      <c r="AJ388" t="s">
        <v>43</v>
      </c>
      <c r="AK388" t="s">
        <v>43</v>
      </c>
      <c r="AL388" t="s">
        <v>43</v>
      </c>
      <c r="AM388" t="s">
        <v>3359</v>
      </c>
      <c r="AN388" t="s">
        <v>3360</v>
      </c>
    </row>
    <row r="389" spans="1:40" x14ac:dyDescent="0.3">
      <c r="A389" t="s">
        <v>3361</v>
      </c>
      <c r="B389">
        <v>1057</v>
      </c>
      <c r="C389" t="str">
        <f>IF(Y389&lt;0, "Down", "Up")</f>
        <v>Down</v>
      </c>
      <c r="D389" s="7" t="str">
        <f>IF(AC389&lt;0.05, "Sig", "N")</f>
        <v>Sig</v>
      </c>
      <c r="E389" s="1" t="str">
        <f>IF(AND(H389&gt;2,J389&gt;2,L389&gt;2,N389&gt;2),"Y","N")</f>
        <v>Y</v>
      </c>
      <c r="F389" s="1" t="str">
        <f>IF(AND(P389&gt;2,R389&gt;2,T389&gt;2,V389&gt;2),"Y","N")</f>
        <v>N</v>
      </c>
      <c r="G389" s="1" t="str">
        <f>IF(OR(E389="Y", F389="Y"), "Expressed", "N")</f>
        <v>Expressed</v>
      </c>
      <c r="H389" s="8">
        <v>6.0816546965077558</v>
      </c>
      <c r="I389" s="8">
        <v>286</v>
      </c>
      <c r="J389" s="8">
        <v>3.4461625648624681</v>
      </c>
      <c r="K389" s="8">
        <v>363</v>
      </c>
      <c r="L389" s="8">
        <v>8.3979690749892715</v>
      </c>
      <c r="M389" s="8">
        <v>686</v>
      </c>
      <c r="N389" s="8">
        <v>3.3936710497616471</v>
      </c>
      <c r="O389" s="8">
        <v>165</v>
      </c>
      <c r="P389" s="9">
        <v>1.648471543070309</v>
      </c>
      <c r="Q389" s="9">
        <v>269</v>
      </c>
      <c r="R389" s="9">
        <v>5.7828571367621402</v>
      </c>
      <c r="S389" s="9">
        <v>62</v>
      </c>
      <c r="T389" s="9">
        <v>2.2560331434259928</v>
      </c>
      <c r="U389" s="9">
        <v>39</v>
      </c>
      <c r="V389" s="9">
        <v>0.36743569088814437</v>
      </c>
      <c r="W389" s="9">
        <v>171</v>
      </c>
      <c r="X389">
        <v>217.91817232794861</v>
      </c>
      <c r="Y389">
        <v>-1.497275185590816</v>
      </c>
      <c r="Z389">
        <v>0.3020212515105547</v>
      </c>
      <c r="AA389">
        <v>-4.9575159963155473</v>
      </c>
      <c r="AB389">
        <v>7.1400165314830311E-7</v>
      </c>
      <c r="AC389">
        <v>1.834829030840454E-4</v>
      </c>
      <c r="AD389" t="s">
        <v>3362</v>
      </c>
      <c r="AE389" t="s">
        <v>3363</v>
      </c>
      <c r="AF389" t="s">
        <v>3364</v>
      </c>
      <c r="AG389" t="s">
        <v>43</v>
      </c>
      <c r="AH389" t="s">
        <v>43</v>
      </c>
      <c r="AI389" t="s">
        <v>43</v>
      </c>
      <c r="AJ389" t="s">
        <v>43</v>
      </c>
      <c r="AK389" t="s">
        <v>43</v>
      </c>
      <c r="AL389" t="s">
        <v>43</v>
      </c>
      <c r="AM389" t="s">
        <v>43</v>
      </c>
      <c r="AN389" t="s">
        <v>43</v>
      </c>
    </row>
    <row r="390" spans="1:40" x14ac:dyDescent="0.3">
      <c r="A390" t="s">
        <v>3365</v>
      </c>
      <c r="B390">
        <v>1898</v>
      </c>
      <c r="C390" t="str">
        <f>IF(Y390&lt;0, "Down", "Up")</f>
        <v>Down</v>
      </c>
      <c r="D390" s="7" t="str">
        <f>IF(AC390&lt;0.05, "Sig", "N")</f>
        <v>Sig</v>
      </c>
      <c r="E390" s="1" t="str">
        <f>IF(AND(H390&gt;2,J390&gt;2,L390&gt;2,N390&gt;2),"Y","N")</f>
        <v>Y</v>
      </c>
      <c r="F390" s="1" t="str">
        <f>IF(AND(P390&gt;2,R390&gt;2,T390&gt;2,V390&gt;2),"Y","N")</f>
        <v>N</v>
      </c>
      <c r="G390" s="1" t="str">
        <f>IF(OR(E390="Y", F390="Y"), "Expressed", "N")</f>
        <v>Expressed</v>
      </c>
      <c r="H390" s="8">
        <v>5.9092865476543954</v>
      </c>
      <c r="I390" s="8">
        <v>499</v>
      </c>
      <c r="J390" s="8">
        <v>3.441825938308003</v>
      </c>
      <c r="K390" s="8">
        <v>651</v>
      </c>
      <c r="L390" s="8">
        <v>7.5538558848105692</v>
      </c>
      <c r="M390" s="8">
        <v>1108</v>
      </c>
      <c r="N390" s="8">
        <v>3.1728120605059971</v>
      </c>
      <c r="O390" s="8">
        <v>277</v>
      </c>
      <c r="P390" s="9">
        <v>1.541189560379387</v>
      </c>
      <c r="Q390" s="9">
        <v>546</v>
      </c>
      <c r="R390" s="9">
        <v>6.5367459318994374</v>
      </c>
      <c r="S390" s="9">
        <v>143</v>
      </c>
      <c r="T390" s="9">
        <v>2.897801299007293</v>
      </c>
      <c r="U390" s="9">
        <v>138</v>
      </c>
      <c r="V390" s="9">
        <v>0.72406006980478865</v>
      </c>
      <c r="W390" s="9">
        <v>409</v>
      </c>
      <c r="X390">
        <v>413.45561512060618</v>
      </c>
      <c r="Y390">
        <v>-0.97403663458283651</v>
      </c>
      <c r="Z390">
        <v>0.25735815996303207</v>
      </c>
      <c r="AA390">
        <v>-3.784751315920003</v>
      </c>
      <c r="AB390">
        <v>1.5386235578520371E-4</v>
      </c>
      <c r="AC390">
        <v>8.8769920367523115E-3</v>
      </c>
      <c r="AD390" t="s">
        <v>3366</v>
      </c>
      <c r="AE390" t="s">
        <v>3367</v>
      </c>
      <c r="AF390" t="s">
        <v>3368</v>
      </c>
      <c r="AG390" t="s">
        <v>3369</v>
      </c>
      <c r="AH390" t="s">
        <v>43</v>
      </c>
      <c r="AI390" t="s">
        <v>43</v>
      </c>
      <c r="AJ390" t="s">
        <v>43</v>
      </c>
      <c r="AK390" t="s">
        <v>43</v>
      </c>
      <c r="AL390" t="s">
        <v>43</v>
      </c>
      <c r="AM390" t="s">
        <v>3370</v>
      </c>
      <c r="AN390" t="s">
        <v>43</v>
      </c>
    </row>
    <row r="391" spans="1:40" x14ac:dyDescent="0.3">
      <c r="A391" t="s">
        <v>3371</v>
      </c>
      <c r="B391">
        <v>6515</v>
      </c>
      <c r="C391" t="str">
        <f>IF(Y391&lt;0, "Down", "Up")</f>
        <v>Down</v>
      </c>
      <c r="D391" s="7" t="str">
        <f>IF(AC391&lt;0.05, "Sig", "N")</f>
        <v>Sig</v>
      </c>
      <c r="E391" s="1" t="str">
        <f>IF(AND(H391&gt;2,J391&gt;2,L391&gt;2,N391&gt;2),"Y","N")</f>
        <v>Y</v>
      </c>
      <c r="F391" s="1" t="str">
        <f>IF(AND(P391&gt;2,R391&gt;2,T391&gt;2,V391&gt;2),"Y","N")</f>
        <v>N</v>
      </c>
      <c r="G391" s="1" t="str">
        <f>IF(OR(E391="Y", F391="Y"), "Expressed", "N")</f>
        <v>Expressed</v>
      </c>
      <c r="H391" s="8">
        <v>4.6885197421279674</v>
      </c>
      <c r="I391" s="8">
        <v>1359</v>
      </c>
      <c r="J391" s="8">
        <v>3.4316650305190408</v>
      </c>
      <c r="K391" s="8">
        <v>2228</v>
      </c>
      <c r="L391" s="8">
        <v>11.43820303120326</v>
      </c>
      <c r="M391" s="8">
        <v>5759</v>
      </c>
      <c r="N391" s="8">
        <v>3.1133504588711278</v>
      </c>
      <c r="O391" s="8">
        <v>933</v>
      </c>
      <c r="P391" s="9">
        <v>1.5123061604377961</v>
      </c>
      <c r="Q391" s="9">
        <v>1836</v>
      </c>
      <c r="R391" s="9">
        <v>6.4035886690831978</v>
      </c>
      <c r="S391" s="9">
        <v>295</v>
      </c>
      <c r="T391" s="9">
        <v>1.7415516911776201</v>
      </c>
      <c r="U391" s="9">
        <v>332</v>
      </c>
      <c r="V391" s="9">
        <v>0.50747585410091578</v>
      </c>
      <c r="W391" s="9">
        <v>1146</v>
      </c>
      <c r="X391">
        <v>1415.3994154407651</v>
      </c>
      <c r="Y391">
        <v>-1.445467998059093</v>
      </c>
      <c r="Z391">
        <v>0.34549266382141069</v>
      </c>
      <c r="AA391">
        <v>-4.1837878178688994</v>
      </c>
      <c r="AB391">
        <v>2.8669171377131981E-5</v>
      </c>
      <c r="AC391">
        <v>2.7330506036215901E-3</v>
      </c>
      <c r="AD391" t="s">
        <v>3372</v>
      </c>
      <c r="AE391" t="s">
        <v>3373</v>
      </c>
      <c r="AF391" t="s">
        <v>3374</v>
      </c>
      <c r="AG391" t="s">
        <v>3375</v>
      </c>
      <c r="AH391" t="s">
        <v>43</v>
      </c>
      <c r="AI391" t="s">
        <v>43</v>
      </c>
      <c r="AJ391" t="s">
        <v>43</v>
      </c>
      <c r="AK391" t="s">
        <v>43</v>
      </c>
      <c r="AL391" t="s">
        <v>43</v>
      </c>
      <c r="AM391" t="s">
        <v>3376</v>
      </c>
      <c r="AN391" t="s">
        <v>43</v>
      </c>
    </row>
    <row r="392" spans="1:40" x14ac:dyDescent="0.3">
      <c r="A392" t="s">
        <v>3377</v>
      </c>
      <c r="B392">
        <v>2266</v>
      </c>
      <c r="C392" t="str">
        <f>IF(Y392&lt;0, "Down", "Up")</f>
        <v>Down</v>
      </c>
      <c r="D392" s="7" t="str">
        <f>IF(AC392&lt;0.05, "Sig", "N")</f>
        <v>Sig</v>
      </c>
      <c r="E392" s="1" t="str">
        <f>IF(AND(H392&gt;2,J392&gt;2,L392&gt;2,N392&gt;2),"Y","N")</f>
        <v>Y</v>
      </c>
      <c r="F392" s="1" t="str">
        <f>IF(AND(P392&gt;2,R392&gt;2,T392&gt;2,V392&gt;2),"Y","N")</f>
        <v>N</v>
      </c>
      <c r="G392" s="1" t="str">
        <f>IF(OR(E392="Y", F392="Y"), "Expressed", "N")</f>
        <v>Expressed</v>
      </c>
      <c r="H392" s="8">
        <v>5.2273481049876622</v>
      </c>
      <c r="I392" s="8">
        <v>527</v>
      </c>
      <c r="J392" s="8">
        <v>3.414275763833035</v>
      </c>
      <c r="K392" s="8">
        <v>771</v>
      </c>
      <c r="L392" s="8">
        <v>5.9502190779264099</v>
      </c>
      <c r="M392" s="8">
        <v>1042</v>
      </c>
      <c r="N392" s="8">
        <v>3.367503049450157</v>
      </c>
      <c r="O392" s="8">
        <v>351</v>
      </c>
      <c r="P392" s="9">
        <v>1.635760469068138</v>
      </c>
      <c r="Q392" s="9">
        <v>645</v>
      </c>
      <c r="R392" s="9">
        <v>6.4679250662691752</v>
      </c>
      <c r="S392" s="9">
        <v>167</v>
      </c>
      <c r="T392" s="9">
        <v>2.8345579424053531</v>
      </c>
      <c r="U392" s="9">
        <v>111</v>
      </c>
      <c r="V392" s="9">
        <v>0.4878145982396781</v>
      </c>
      <c r="W392" s="9">
        <v>641</v>
      </c>
      <c r="X392">
        <v>456.62645791311212</v>
      </c>
      <c r="Y392">
        <v>-0.86202206810491866</v>
      </c>
      <c r="Z392">
        <v>0.225750789457874</v>
      </c>
      <c r="AA392">
        <v>-3.8184675684856271</v>
      </c>
      <c r="AB392">
        <v>1.3428323358505249E-4</v>
      </c>
      <c r="AC392">
        <v>8.2034217271778048E-3</v>
      </c>
      <c r="AD392" t="s">
        <v>3378</v>
      </c>
      <c r="AE392" t="s">
        <v>3379</v>
      </c>
      <c r="AF392" t="s">
        <v>3380</v>
      </c>
      <c r="AG392" t="s">
        <v>3381</v>
      </c>
      <c r="AH392" t="s">
        <v>43</v>
      </c>
      <c r="AI392" t="s">
        <v>43</v>
      </c>
      <c r="AJ392" t="s">
        <v>43</v>
      </c>
      <c r="AK392" t="s">
        <v>43</v>
      </c>
      <c r="AL392" t="s">
        <v>43</v>
      </c>
      <c r="AM392" t="s">
        <v>597</v>
      </c>
      <c r="AN392" t="s">
        <v>43</v>
      </c>
    </row>
    <row r="393" spans="1:40" x14ac:dyDescent="0.3">
      <c r="A393" t="s">
        <v>3382</v>
      </c>
      <c r="B393">
        <v>623</v>
      </c>
      <c r="C393" t="str">
        <f>IF(Y393&lt;0, "Down", "Up")</f>
        <v>Down</v>
      </c>
      <c r="D393" s="7" t="str">
        <f>IF(AC393&lt;0.05, "Sig", "N")</f>
        <v>Sig</v>
      </c>
      <c r="E393" s="1" t="str">
        <f>IF(AND(H393&gt;2,J393&gt;2,L393&gt;2,N393&gt;2),"Y","N")</f>
        <v>Y</v>
      </c>
      <c r="F393" s="1" t="str">
        <f>IF(AND(P393&gt;2,R393&gt;2,T393&gt;2,V393&gt;2),"Y","N")</f>
        <v>N</v>
      </c>
      <c r="G393" s="1" t="str">
        <f>IF(OR(E393="Y", F393="Y"), "Expressed", "N")</f>
        <v>Expressed</v>
      </c>
      <c r="H393" s="8">
        <v>7.8650078297965864</v>
      </c>
      <c r="I393" s="8">
        <v>218</v>
      </c>
      <c r="J393" s="8">
        <v>3.350266934014313</v>
      </c>
      <c r="K393" s="8">
        <v>208</v>
      </c>
      <c r="L393" s="8">
        <v>14.497480010576201</v>
      </c>
      <c r="M393" s="8">
        <v>698</v>
      </c>
      <c r="N393" s="8">
        <v>5.3739480143791178</v>
      </c>
      <c r="O393" s="8">
        <v>154</v>
      </c>
      <c r="P393" s="9">
        <v>2.610388645730811</v>
      </c>
      <c r="Q393" s="9">
        <v>168</v>
      </c>
      <c r="R393" s="9">
        <v>6.1275435380887169</v>
      </c>
      <c r="S393" s="9">
        <v>79</v>
      </c>
      <c r="T393" s="9">
        <v>4.8771691496789904</v>
      </c>
      <c r="U393" s="9">
        <v>26</v>
      </c>
      <c r="V393" s="9">
        <v>0.41560141815812579</v>
      </c>
      <c r="W393" s="9">
        <v>138</v>
      </c>
      <c r="X393">
        <v>182.02702517082949</v>
      </c>
      <c r="Y393">
        <v>-1.578006465448295</v>
      </c>
      <c r="Z393">
        <v>0.3564593740499658</v>
      </c>
      <c r="AA393">
        <v>-4.4268900759139562</v>
      </c>
      <c r="AB393">
        <v>9.5601419729821698E-6</v>
      </c>
      <c r="AC393">
        <v>1.2151660028238949E-3</v>
      </c>
    </row>
    <row r="394" spans="1:40" x14ac:dyDescent="0.3">
      <c r="A394" t="s">
        <v>3387</v>
      </c>
      <c r="B394">
        <v>2457</v>
      </c>
      <c r="C394" t="str">
        <f>IF(Y394&lt;0, "Down", "Up")</f>
        <v>Down</v>
      </c>
      <c r="D394" s="7" t="str">
        <f>IF(AC394&lt;0.05, "Sig", "N")</f>
        <v>Sig</v>
      </c>
      <c r="E394" s="1" t="str">
        <f>IF(AND(H394&gt;2,J394&gt;2,L394&gt;2,N394&gt;2),"Y","N")</f>
        <v>Y</v>
      </c>
      <c r="F394" s="1" t="str">
        <f>IF(AND(P394&gt;2,R394&gt;2,T394&gt;2,V394&gt;2),"Y","N")</f>
        <v>N</v>
      </c>
      <c r="G394" s="1" t="str">
        <f>IF(OR(E394="Y", F394="Y"), "Expressed", "N")</f>
        <v>Expressed</v>
      </c>
      <c r="H394" s="8">
        <v>4.8118413516309548</v>
      </c>
      <c r="I394" s="8">
        <v>526</v>
      </c>
      <c r="J394" s="8">
        <v>3.3285614187312098</v>
      </c>
      <c r="K394" s="8">
        <v>815</v>
      </c>
      <c r="L394" s="8">
        <v>4.9873513568739094</v>
      </c>
      <c r="M394" s="8">
        <v>947</v>
      </c>
      <c r="N394" s="8">
        <v>3.5127410587941199</v>
      </c>
      <c r="O394" s="8">
        <v>397</v>
      </c>
      <c r="P394" s="9">
        <v>1.7063096536723781</v>
      </c>
      <c r="Q394" s="9">
        <v>635</v>
      </c>
      <c r="R394" s="9">
        <v>5.8726448761206731</v>
      </c>
      <c r="S394" s="9">
        <v>213</v>
      </c>
      <c r="T394" s="9">
        <v>3.3342888517604181</v>
      </c>
      <c r="U394" s="9">
        <v>153</v>
      </c>
      <c r="V394" s="9">
        <v>0.62012322058505365</v>
      </c>
      <c r="W394" s="9">
        <v>677</v>
      </c>
      <c r="X394">
        <v>482.53241784170939</v>
      </c>
      <c r="Y394">
        <v>-0.69389231617033609</v>
      </c>
      <c r="Z394">
        <v>0.16339595390124939</v>
      </c>
      <c r="AA394">
        <v>-4.2466921585445094</v>
      </c>
      <c r="AB394">
        <v>2.1694971817816611E-5</v>
      </c>
      <c r="AC394">
        <v>2.2897880523072328E-3</v>
      </c>
      <c r="AD394" t="s">
        <v>3388</v>
      </c>
      <c r="AE394" t="s">
        <v>3389</v>
      </c>
      <c r="AF394" t="s">
        <v>3390</v>
      </c>
      <c r="AG394" t="s">
        <v>3391</v>
      </c>
      <c r="AH394" t="s">
        <v>43</v>
      </c>
      <c r="AI394" t="s">
        <v>43</v>
      </c>
      <c r="AJ394" t="s">
        <v>43</v>
      </c>
      <c r="AK394" t="s">
        <v>43</v>
      </c>
      <c r="AL394" t="s">
        <v>43</v>
      </c>
      <c r="AM394" t="s">
        <v>371</v>
      </c>
      <c r="AN394" t="s">
        <v>43</v>
      </c>
    </row>
    <row r="395" spans="1:40" x14ac:dyDescent="0.3">
      <c r="A395" t="s">
        <v>3392</v>
      </c>
      <c r="B395">
        <v>4831</v>
      </c>
      <c r="C395" t="str">
        <f>IF(Y395&lt;0, "Down", "Up")</f>
        <v>Down</v>
      </c>
      <c r="D395" s="7" t="str">
        <f>IF(AC395&lt;0.05, "Sig", "N")</f>
        <v>Sig</v>
      </c>
      <c r="E395" s="1" t="str">
        <f>IF(AND(H395&gt;2,J395&gt;2,L395&gt;2,N395&gt;2),"Y","N")</f>
        <v>Y</v>
      </c>
      <c r="F395" s="1" t="str">
        <f>IF(AND(P395&gt;2,R395&gt;2,T395&gt;2,V395&gt;2),"Y","N")</f>
        <v>N</v>
      </c>
      <c r="G395" s="1" t="str">
        <f>IF(OR(E395="Y", F395="Y"), "Expressed", "N")</f>
        <v>Expressed</v>
      </c>
      <c r="H395" s="8">
        <v>3.3498562534145471</v>
      </c>
      <c r="I395" s="8">
        <v>720</v>
      </c>
      <c r="J395" s="8">
        <v>3.323434071447092</v>
      </c>
      <c r="K395" s="8">
        <v>1600</v>
      </c>
      <c r="L395" s="8">
        <v>3.479343094745396</v>
      </c>
      <c r="M395" s="8">
        <v>1299</v>
      </c>
      <c r="N395" s="8">
        <v>2.8260731113422559</v>
      </c>
      <c r="O395" s="8">
        <v>628</v>
      </c>
      <c r="P395" s="9">
        <v>1.3727615418150441</v>
      </c>
      <c r="Q395" s="9">
        <v>692</v>
      </c>
      <c r="R395" s="9">
        <v>3.2548743481664251</v>
      </c>
      <c r="S395" s="9">
        <v>226</v>
      </c>
      <c r="T395" s="9">
        <v>1.7992858934164699</v>
      </c>
      <c r="U395" s="9">
        <v>146</v>
      </c>
      <c r="V395" s="9">
        <v>0.30095914042981081</v>
      </c>
      <c r="W395" s="9">
        <v>837</v>
      </c>
      <c r="X395">
        <v>662.76136820171496</v>
      </c>
      <c r="Y395">
        <v>-1.1938778888943471</v>
      </c>
      <c r="Z395">
        <v>0.1714495366505249</v>
      </c>
      <c r="AA395">
        <v>-6.9634360769833696</v>
      </c>
      <c r="AB395">
        <v>3.3207187533312309E-12</v>
      </c>
      <c r="AC395">
        <v>1.098913205784212E-8</v>
      </c>
      <c r="AD395" t="s">
        <v>3393</v>
      </c>
      <c r="AE395" t="s">
        <v>3394</v>
      </c>
      <c r="AF395" t="s">
        <v>3395</v>
      </c>
      <c r="AG395" t="s">
        <v>3396</v>
      </c>
      <c r="AH395" t="s">
        <v>991</v>
      </c>
      <c r="AI395" t="s">
        <v>3397</v>
      </c>
      <c r="AK395" t="s">
        <v>3398</v>
      </c>
      <c r="AL395" t="s">
        <v>3399</v>
      </c>
      <c r="AM395" t="s">
        <v>3400</v>
      </c>
      <c r="AN395" t="s">
        <v>43</v>
      </c>
    </row>
    <row r="396" spans="1:40" x14ac:dyDescent="0.3">
      <c r="A396" t="s">
        <v>3401</v>
      </c>
      <c r="B396">
        <v>1937</v>
      </c>
      <c r="C396" t="str">
        <f>IF(Y396&lt;0, "Down", "Up")</f>
        <v>Down</v>
      </c>
      <c r="D396" s="7" t="str">
        <f>IF(AC396&lt;0.05, "Sig", "N")</f>
        <v>Sig</v>
      </c>
      <c r="E396" s="1" t="str">
        <f>IF(AND(H396&gt;2,J396&gt;2,L396&gt;2,N396&gt;2),"Y","N")</f>
        <v>Y</v>
      </c>
      <c r="F396" s="1" t="str">
        <f>IF(AND(P396&gt;2,R396&gt;2,T396&gt;2,V396&gt;2),"Y","N")</f>
        <v>N</v>
      </c>
      <c r="G396" s="1" t="str">
        <f>IF(OR(E396="Y", F396="Y"), "Expressed", "N")</f>
        <v>Expressed</v>
      </c>
      <c r="H396" s="8">
        <v>5.279739416560389</v>
      </c>
      <c r="I396" s="8">
        <v>455</v>
      </c>
      <c r="J396" s="8">
        <v>3.31554155893875</v>
      </c>
      <c r="K396" s="8">
        <v>640</v>
      </c>
      <c r="L396" s="8">
        <v>8.4906526126084731</v>
      </c>
      <c r="M396" s="8">
        <v>1271</v>
      </c>
      <c r="N396" s="8">
        <v>3.6813322015242691</v>
      </c>
      <c r="O396" s="8">
        <v>328</v>
      </c>
      <c r="P396" s="9">
        <v>1.7882025941280759</v>
      </c>
      <c r="Q396" s="9">
        <v>560</v>
      </c>
      <c r="R396" s="9">
        <v>6.5693677925129421</v>
      </c>
      <c r="S396" s="9">
        <v>118</v>
      </c>
      <c r="T396" s="9">
        <v>2.3430478612332868</v>
      </c>
      <c r="U396" s="9">
        <v>72</v>
      </c>
      <c r="V396" s="9">
        <v>0.37016435433264938</v>
      </c>
      <c r="W396" s="9">
        <v>568</v>
      </c>
      <c r="X396">
        <v>416.25504515483817</v>
      </c>
      <c r="Y396">
        <v>-1.145687962239317</v>
      </c>
      <c r="Z396">
        <v>0.30450048527204782</v>
      </c>
      <c r="AA396">
        <v>-3.762516047275696</v>
      </c>
      <c r="AB396">
        <v>1.6821251135606431E-4</v>
      </c>
      <c r="AC396">
        <v>9.4913608436278576E-3</v>
      </c>
      <c r="AD396" t="s">
        <v>3402</v>
      </c>
      <c r="AE396" t="s">
        <v>3403</v>
      </c>
      <c r="AF396" t="s">
        <v>3404</v>
      </c>
      <c r="AG396" t="s">
        <v>3405</v>
      </c>
      <c r="AH396" t="s">
        <v>43</v>
      </c>
      <c r="AI396" t="s">
        <v>43</v>
      </c>
      <c r="AJ396" t="s">
        <v>43</v>
      </c>
      <c r="AK396" t="s">
        <v>43</v>
      </c>
      <c r="AL396" t="s">
        <v>43</v>
      </c>
      <c r="AM396" t="s">
        <v>2869</v>
      </c>
      <c r="AN396" t="s">
        <v>43</v>
      </c>
    </row>
    <row r="397" spans="1:40" x14ac:dyDescent="0.3">
      <c r="A397" t="s">
        <v>3406</v>
      </c>
      <c r="B397">
        <v>1707</v>
      </c>
      <c r="C397" t="str">
        <f>IF(Y397&lt;0, "Down", "Up")</f>
        <v>Down</v>
      </c>
      <c r="D397" s="7" t="str">
        <f>IF(AC397&lt;0.05, "Sig", "N")</f>
        <v>Sig</v>
      </c>
      <c r="E397" s="1" t="str">
        <f>IF(AND(H397&gt;2,J397&gt;2,L397&gt;2,N397&gt;2),"Y","N")</f>
        <v>Y</v>
      </c>
      <c r="F397" s="1" t="str">
        <f>IF(AND(P397&gt;2,R397&gt;2,T397&gt;2,V397&gt;2),"Y","N")</f>
        <v>N</v>
      </c>
      <c r="G397" s="1" t="str">
        <f>IF(OR(E397="Y", F397="Y"), "Expressed", "N")</f>
        <v>Expressed</v>
      </c>
      <c r="H397" s="8">
        <v>4.8060695986214208</v>
      </c>
      <c r="I397" s="8">
        <v>365</v>
      </c>
      <c r="J397" s="8">
        <v>3.2861123643566721</v>
      </c>
      <c r="K397" s="8">
        <v>559</v>
      </c>
      <c r="L397" s="8">
        <v>8.012473549202042</v>
      </c>
      <c r="M397" s="8">
        <v>1057</v>
      </c>
      <c r="N397" s="8">
        <v>4.6358422504613586</v>
      </c>
      <c r="O397" s="8">
        <v>364</v>
      </c>
      <c r="P397" s="9">
        <v>2.2518546777199591</v>
      </c>
      <c r="Q397" s="9">
        <v>545</v>
      </c>
      <c r="R397" s="9">
        <v>7.2548452283487901</v>
      </c>
      <c r="S397" s="9">
        <v>118</v>
      </c>
      <c r="T397" s="9">
        <v>2.6587485103742692</v>
      </c>
      <c r="U397" s="9">
        <v>80</v>
      </c>
      <c r="V397" s="9">
        <v>0.46671115950162212</v>
      </c>
      <c r="W397" s="9">
        <v>520</v>
      </c>
      <c r="X397">
        <v>380.77815627129257</v>
      </c>
      <c r="Y397">
        <v>-0.99614711277845136</v>
      </c>
      <c r="Z397">
        <v>0.27233649276560662</v>
      </c>
      <c r="AA397">
        <v>-3.657780500374626</v>
      </c>
      <c r="AB397">
        <v>2.5440877212566589E-4</v>
      </c>
      <c r="AC397">
        <v>1.24528616782505E-2</v>
      </c>
      <c r="AD397" t="s">
        <v>3407</v>
      </c>
      <c r="AE397" t="s">
        <v>3408</v>
      </c>
      <c r="AF397" t="s">
        <v>3409</v>
      </c>
      <c r="AG397" t="s">
        <v>3410</v>
      </c>
      <c r="AH397" t="s">
        <v>43</v>
      </c>
      <c r="AI397" t="s">
        <v>43</v>
      </c>
      <c r="AJ397" t="s">
        <v>43</v>
      </c>
      <c r="AK397" t="s">
        <v>43</v>
      </c>
      <c r="AL397" t="s">
        <v>43</v>
      </c>
      <c r="AM397" t="s">
        <v>3185</v>
      </c>
      <c r="AN397" t="s">
        <v>43</v>
      </c>
    </row>
    <row r="398" spans="1:40" x14ac:dyDescent="0.3">
      <c r="A398" t="s">
        <v>3411</v>
      </c>
      <c r="B398">
        <v>2144</v>
      </c>
      <c r="C398" t="str">
        <f>IF(Y398&lt;0, "Down", "Up")</f>
        <v>Down</v>
      </c>
      <c r="D398" s="7" t="str">
        <f>IF(AC398&lt;0.05, "Sig", "N")</f>
        <v>Sig</v>
      </c>
      <c r="E398" s="1" t="str">
        <f>IF(AND(H398&gt;2,J398&gt;2,L398&gt;2,N398&gt;2),"Y","N")</f>
        <v>Y</v>
      </c>
      <c r="F398" s="1" t="str">
        <f>IF(AND(P398&gt;2,R398&gt;2,T398&gt;2,V398&gt;2),"Y","N")</f>
        <v>N</v>
      </c>
      <c r="G398" s="1" t="str">
        <f>IF(OR(E398="Y", F398="Y"), "Expressed", "N")</f>
        <v>Expressed</v>
      </c>
      <c r="H398" s="8">
        <v>3.564386978184293</v>
      </c>
      <c r="I398" s="8">
        <v>340</v>
      </c>
      <c r="J398" s="8">
        <v>3.187325766507862</v>
      </c>
      <c r="K398" s="8">
        <v>681</v>
      </c>
      <c r="L398" s="8">
        <v>5.3533295765917126</v>
      </c>
      <c r="M398" s="8">
        <v>887</v>
      </c>
      <c r="N398" s="8">
        <v>2.2713498052633589</v>
      </c>
      <c r="O398" s="8">
        <v>224</v>
      </c>
      <c r="P398" s="9">
        <v>1.103305377401828</v>
      </c>
      <c r="Q398" s="9">
        <v>407</v>
      </c>
      <c r="R398" s="9">
        <v>4.3135496264806363</v>
      </c>
      <c r="S398" s="9">
        <v>121</v>
      </c>
      <c r="T398" s="9">
        <v>2.1706478014019179</v>
      </c>
      <c r="U398" s="9">
        <v>83</v>
      </c>
      <c r="V398" s="9">
        <v>0.38551832899574001</v>
      </c>
      <c r="W398" s="9">
        <v>463</v>
      </c>
      <c r="X398">
        <v>334.97036703743731</v>
      </c>
      <c r="Y398">
        <v>-0.97085642600248612</v>
      </c>
      <c r="Z398">
        <v>0.23303108070108239</v>
      </c>
      <c r="AA398">
        <v>-4.1662100312182799</v>
      </c>
      <c r="AB398">
        <v>3.0970538658217223E-5</v>
      </c>
      <c r="AC398">
        <v>2.8601776365530141E-3</v>
      </c>
      <c r="AD398" t="s">
        <v>3412</v>
      </c>
      <c r="AE398" t="s">
        <v>3413</v>
      </c>
      <c r="AF398" t="s">
        <v>3414</v>
      </c>
      <c r="AG398" t="s">
        <v>3415</v>
      </c>
      <c r="AH398" t="s">
        <v>43</v>
      </c>
      <c r="AI398" t="s">
        <v>43</v>
      </c>
      <c r="AJ398" t="s">
        <v>43</v>
      </c>
      <c r="AK398" t="s">
        <v>43</v>
      </c>
      <c r="AL398" t="s">
        <v>43</v>
      </c>
      <c r="AM398" t="s">
        <v>3416</v>
      </c>
      <c r="AN398" t="s">
        <v>43</v>
      </c>
    </row>
    <row r="399" spans="1:40" x14ac:dyDescent="0.3">
      <c r="A399" t="s">
        <v>3417</v>
      </c>
      <c r="B399">
        <v>2918</v>
      </c>
      <c r="C399" t="str">
        <f>IF(Y399&lt;0, "Down", "Up")</f>
        <v>Down</v>
      </c>
      <c r="D399" s="7" t="str">
        <f>IF(AC399&lt;0.05, "Sig", "N")</f>
        <v>Sig</v>
      </c>
      <c r="E399" s="1" t="str">
        <f>IF(AND(H399&gt;2,J399&gt;2,L399&gt;2,N399&gt;2),"Y","N")</f>
        <v>Y</v>
      </c>
      <c r="F399" s="1" t="str">
        <f>IF(AND(P399&gt;2,R399&gt;2,T399&gt;2,V399&gt;2),"Y","N")</f>
        <v>N</v>
      </c>
      <c r="G399" s="1" t="str">
        <f>IF(OR(E399="Y", F399="Y"), "Expressed", "N")</f>
        <v>Expressed</v>
      </c>
      <c r="H399" s="8">
        <v>4.7294843852290587</v>
      </c>
      <c r="I399" s="8">
        <v>614</v>
      </c>
      <c r="J399" s="8">
        <v>3.1809772852175788</v>
      </c>
      <c r="K399" s="8">
        <v>925</v>
      </c>
      <c r="L399" s="8">
        <v>5.9865087771067804</v>
      </c>
      <c r="M399" s="8">
        <v>1350</v>
      </c>
      <c r="N399" s="8">
        <v>3.9039728269453629</v>
      </c>
      <c r="O399" s="8">
        <v>524</v>
      </c>
      <c r="P399" s="9">
        <v>1.896350004397503</v>
      </c>
      <c r="Q399" s="9">
        <v>889</v>
      </c>
      <c r="R399" s="9">
        <v>6.9227977535571936</v>
      </c>
      <c r="S399" s="9">
        <v>305</v>
      </c>
      <c r="T399" s="9">
        <v>4.0201598805157577</v>
      </c>
      <c r="U399" s="9">
        <v>145</v>
      </c>
      <c r="V399" s="9">
        <v>0.49485097945529471</v>
      </c>
      <c r="W399" s="9">
        <v>738</v>
      </c>
      <c r="X399">
        <v>599.63376030899587</v>
      </c>
      <c r="Y399">
        <v>-0.75021259964108433</v>
      </c>
      <c r="Z399">
        <v>0.194375936660795</v>
      </c>
      <c r="AA399">
        <v>-3.8595960617814469</v>
      </c>
      <c r="AB399">
        <v>1.1357460509139839E-4</v>
      </c>
      <c r="AC399">
        <v>7.3767330043154984E-3</v>
      </c>
      <c r="AD399" t="s">
        <v>3418</v>
      </c>
      <c r="AE399" t="s">
        <v>3419</v>
      </c>
      <c r="AF399" t="s">
        <v>3420</v>
      </c>
      <c r="AG399" t="s">
        <v>3421</v>
      </c>
      <c r="AH399" t="s">
        <v>43</v>
      </c>
      <c r="AI399" t="s">
        <v>43</v>
      </c>
      <c r="AJ399" t="s">
        <v>43</v>
      </c>
      <c r="AK399" t="s">
        <v>43</v>
      </c>
      <c r="AL399" t="s">
        <v>43</v>
      </c>
      <c r="AM399" t="s">
        <v>3422</v>
      </c>
      <c r="AN399" t="s">
        <v>43</v>
      </c>
    </row>
    <row r="400" spans="1:40" x14ac:dyDescent="0.3">
      <c r="A400" t="s">
        <v>3423</v>
      </c>
      <c r="B400">
        <v>2755</v>
      </c>
      <c r="C400" t="str">
        <f>IF(Y400&lt;0, "Down", "Up")</f>
        <v>Down</v>
      </c>
      <c r="D400" s="7" t="str">
        <f>IF(AC400&lt;0.05, "Sig", "N")</f>
        <v>Sig</v>
      </c>
      <c r="E400" s="1" t="str">
        <f>IF(AND(H400&gt;2,J400&gt;2,L400&gt;2,N400&gt;2),"Y","N")</f>
        <v>Y</v>
      </c>
      <c r="F400" s="1" t="str">
        <f>IF(AND(P400&gt;2,R400&gt;2,T400&gt;2,V400&gt;2),"Y","N")</f>
        <v>N</v>
      </c>
      <c r="G400" s="1" t="str">
        <f>IF(OR(E400="Y", F400="Y"), "Expressed", "N")</f>
        <v>Expressed</v>
      </c>
      <c r="H400" s="8">
        <v>3.1246968035763731</v>
      </c>
      <c r="I400" s="8">
        <v>383</v>
      </c>
      <c r="J400" s="8">
        <v>3.161565943573426</v>
      </c>
      <c r="K400" s="8">
        <v>868</v>
      </c>
      <c r="L400" s="8">
        <v>3.419281989982669</v>
      </c>
      <c r="M400" s="8">
        <v>728</v>
      </c>
      <c r="N400" s="8">
        <v>2.5014881262114841</v>
      </c>
      <c r="O400" s="8">
        <v>317</v>
      </c>
      <c r="P400" s="9">
        <v>1.215094784062092</v>
      </c>
      <c r="Q400" s="9">
        <v>553</v>
      </c>
      <c r="R400" s="9">
        <v>4.5610905976121048</v>
      </c>
      <c r="S400" s="9">
        <v>139</v>
      </c>
      <c r="T400" s="9">
        <v>1.940537190630391</v>
      </c>
      <c r="U400" s="9">
        <v>113</v>
      </c>
      <c r="V400" s="9">
        <v>0.4084590846979464</v>
      </c>
      <c r="W400" s="9">
        <v>555</v>
      </c>
      <c r="X400">
        <v>390.40671282213162</v>
      </c>
      <c r="Y400">
        <v>-0.77938506074278502</v>
      </c>
      <c r="Z400">
        <v>0.1968904150054761</v>
      </c>
      <c r="AA400">
        <v>-3.958471318784655</v>
      </c>
      <c r="AB400">
        <v>7.5430996855497482E-5</v>
      </c>
      <c r="AC400">
        <v>5.4871988543312971E-3</v>
      </c>
      <c r="AD400" t="s">
        <v>3424</v>
      </c>
      <c r="AE400" t="s">
        <v>3425</v>
      </c>
      <c r="AF400" t="s">
        <v>43</v>
      </c>
      <c r="AG400" t="s">
        <v>3426</v>
      </c>
      <c r="AH400" t="s">
        <v>43</v>
      </c>
      <c r="AI400" t="s">
        <v>43</v>
      </c>
      <c r="AJ400" t="s">
        <v>43</v>
      </c>
      <c r="AK400" t="s">
        <v>43</v>
      </c>
      <c r="AL400" t="s">
        <v>43</v>
      </c>
      <c r="AM400" t="s">
        <v>3427</v>
      </c>
      <c r="AN400" t="s">
        <v>43</v>
      </c>
    </row>
    <row r="401" spans="1:40" x14ac:dyDescent="0.3">
      <c r="A401" t="s">
        <v>3431</v>
      </c>
      <c r="B401">
        <v>999</v>
      </c>
      <c r="C401" t="str">
        <f>IF(Y401&lt;0, "Down", "Up")</f>
        <v>Down</v>
      </c>
      <c r="D401" s="7" t="str">
        <f>IF(AC401&lt;0.05, "Sig", "N")</f>
        <v>Sig</v>
      </c>
      <c r="E401" s="1" t="str">
        <f>IF(AND(H401&gt;2,J401&gt;2,L401&gt;2,N401&gt;2),"Y","N")</f>
        <v>Y</v>
      </c>
      <c r="F401" s="1" t="str">
        <f>IF(AND(P401&gt;2,R401&gt;2,T401&gt;2,V401&gt;2),"Y","N")</f>
        <v>N</v>
      </c>
      <c r="G401" s="1" t="str">
        <f>IF(OR(E401="Y", F401="Y"), "Expressed", "N")</f>
        <v>Expressed</v>
      </c>
      <c r="H401" s="8">
        <v>4.0723378328390432</v>
      </c>
      <c r="I401" s="8">
        <v>181</v>
      </c>
      <c r="J401" s="8">
        <v>3.1239136697566559</v>
      </c>
      <c r="K401" s="8">
        <v>311</v>
      </c>
      <c r="L401" s="8">
        <v>9.8310845306065815</v>
      </c>
      <c r="M401" s="8">
        <v>759</v>
      </c>
      <c r="N401" s="8">
        <v>3.6124628248447119</v>
      </c>
      <c r="O401" s="8">
        <v>166</v>
      </c>
      <c r="P401" s="9">
        <v>1.754749379016608</v>
      </c>
      <c r="Q401" s="9">
        <v>288</v>
      </c>
      <c r="R401" s="9">
        <v>6.5507672659446943</v>
      </c>
      <c r="S401" s="9">
        <v>64</v>
      </c>
      <c r="T401" s="9">
        <v>2.4640144997655971</v>
      </c>
      <c r="U401" s="9">
        <v>36</v>
      </c>
      <c r="V401" s="9">
        <v>0.35886304021138238</v>
      </c>
      <c r="W401" s="9">
        <v>215</v>
      </c>
      <c r="X401">
        <v>206.28843131999329</v>
      </c>
      <c r="Y401">
        <v>-1.243341538121749</v>
      </c>
      <c r="Z401">
        <v>0.3377434712536882</v>
      </c>
      <c r="AA401">
        <v>-3.6813192376643791</v>
      </c>
      <c r="AB401">
        <v>2.320302643222638E-4</v>
      </c>
      <c r="AC401">
        <v>1.1925346758928181E-2</v>
      </c>
      <c r="AD401" t="s">
        <v>3432</v>
      </c>
      <c r="AE401" t="s">
        <v>3433</v>
      </c>
      <c r="AF401" t="s">
        <v>3434</v>
      </c>
      <c r="AG401" t="s">
        <v>3435</v>
      </c>
      <c r="AH401" t="s">
        <v>43</v>
      </c>
      <c r="AI401" t="s">
        <v>43</v>
      </c>
      <c r="AJ401" t="s">
        <v>43</v>
      </c>
      <c r="AK401" t="s">
        <v>43</v>
      </c>
      <c r="AL401" t="s">
        <v>43</v>
      </c>
      <c r="AM401" t="s">
        <v>3436</v>
      </c>
      <c r="AN401" t="s">
        <v>43</v>
      </c>
    </row>
    <row r="402" spans="1:40" x14ac:dyDescent="0.3">
      <c r="A402" t="s">
        <v>3437</v>
      </c>
      <c r="B402">
        <v>2480</v>
      </c>
      <c r="C402" t="str">
        <f>IF(Y402&lt;0, "Down", "Up")</f>
        <v>Down</v>
      </c>
      <c r="D402" s="7" t="str">
        <f>IF(AC402&lt;0.05, "Sig", "N")</f>
        <v>Sig</v>
      </c>
      <c r="E402" s="1" t="str">
        <f>IF(AND(H402&gt;2,J402&gt;2,L402&gt;2,N402&gt;2),"Y","N")</f>
        <v>Y</v>
      </c>
      <c r="F402" s="1" t="str">
        <f>IF(AND(P402&gt;2,R402&gt;2,T402&gt;2,V402&gt;2),"Y","N")</f>
        <v>N</v>
      </c>
      <c r="G402" s="1" t="str">
        <f>IF(OR(E402="Y", F402="Y"), "Expressed", "N")</f>
        <v>Expressed</v>
      </c>
      <c r="H402" s="8">
        <v>2.8277019124085179</v>
      </c>
      <c r="I402" s="8">
        <v>312</v>
      </c>
      <c r="J402" s="8">
        <v>3.107518064353723</v>
      </c>
      <c r="K402" s="8">
        <v>768</v>
      </c>
      <c r="L402" s="8">
        <v>3.3966785633661969</v>
      </c>
      <c r="M402" s="8">
        <v>651</v>
      </c>
      <c r="N402" s="8">
        <v>25.77249335488343</v>
      </c>
      <c r="O402" s="8">
        <v>2940</v>
      </c>
      <c r="P402" s="9">
        <v>12.51895698390623</v>
      </c>
      <c r="Q402" s="9">
        <v>788</v>
      </c>
      <c r="R402" s="9">
        <v>7.2200417240127326</v>
      </c>
      <c r="S402" s="9">
        <v>567</v>
      </c>
      <c r="T402" s="9">
        <v>8.7934672703233794</v>
      </c>
      <c r="U402" s="9">
        <v>486</v>
      </c>
      <c r="V402" s="9">
        <v>1.9515348354075841</v>
      </c>
      <c r="W402" s="9">
        <v>773</v>
      </c>
      <c r="X402">
        <v>1030.804178275496</v>
      </c>
      <c r="Y402">
        <v>-0.87351027971469752</v>
      </c>
      <c r="Z402">
        <v>0.86292860025454832</v>
      </c>
      <c r="AA402">
        <v>-1.0122625202792299</v>
      </c>
      <c r="AD402" t="s">
        <v>3438</v>
      </c>
      <c r="AE402" t="s">
        <v>3439</v>
      </c>
      <c r="AF402" t="s">
        <v>43</v>
      </c>
      <c r="AG402" t="s">
        <v>3440</v>
      </c>
      <c r="AH402" t="s">
        <v>43</v>
      </c>
      <c r="AI402" t="s">
        <v>43</v>
      </c>
      <c r="AJ402" t="s">
        <v>43</v>
      </c>
      <c r="AK402" t="s">
        <v>43</v>
      </c>
      <c r="AL402" t="s">
        <v>43</v>
      </c>
      <c r="AM402" t="s">
        <v>3441</v>
      </c>
      <c r="AN402" t="s">
        <v>43</v>
      </c>
    </row>
    <row r="403" spans="1:40" x14ac:dyDescent="0.3">
      <c r="A403" t="s">
        <v>3442</v>
      </c>
      <c r="B403">
        <v>2183</v>
      </c>
      <c r="C403" t="str">
        <f>IF(Y403&lt;0, "Down", "Up")</f>
        <v>Down</v>
      </c>
      <c r="D403" s="7" t="str">
        <f>IF(AC403&lt;0.05, "Sig", "N")</f>
        <v>Sig</v>
      </c>
      <c r="E403" s="1" t="str">
        <f>IF(AND(H403&gt;2,J403&gt;2,L403&gt;2,N403&gt;2),"Y","N")</f>
        <v>Y</v>
      </c>
      <c r="F403" s="1" t="str">
        <f>IF(AND(P403&gt;2,R403&gt;2,T403&gt;2,V403&gt;2),"Y","N")</f>
        <v>N</v>
      </c>
      <c r="G403" s="1" t="str">
        <f>IF(OR(E403="Y", F403="Y"), "Expressed", "N")</f>
        <v>Expressed</v>
      </c>
      <c r="H403" s="8">
        <v>4.9730646762856026</v>
      </c>
      <c r="I403" s="8">
        <v>483</v>
      </c>
      <c r="J403" s="8">
        <v>3.0752222255607649</v>
      </c>
      <c r="K403" s="8">
        <v>669</v>
      </c>
      <c r="L403" s="8">
        <v>6.3779877131636722</v>
      </c>
      <c r="M403" s="8">
        <v>1076</v>
      </c>
      <c r="N403" s="8">
        <v>2.9179286713647659</v>
      </c>
      <c r="O403" s="8">
        <v>293</v>
      </c>
      <c r="P403" s="9">
        <v>1.4173802672452911</v>
      </c>
      <c r="Q403" s="9">
        <v>542</v>
      </c>
      <c r="R403" s="9">
        <v>5.6417095203527934</v>
      </c>
      <c r="S403" s="9">
        <v>191</v>
      </c>
      <c r="T403" s="9">
        <v>3.3651808197275388</v>
      </c>
      <c r="U403" s="9">
        <v>160</v>
      </c>
      <c r="V403" s="9">
        <v>0.72989092924348964</v>
      </c>
      <c r="W403" s="9">
        <v>590</v>
      </c>
      <c r="X403">
        <v>440.59629584365291</v>
      </c>
      <c r="Y403">
        <v>-0.70153823792184145</v>
      </c>
      <c r="Z403">
        <v>0.218241127452978</v>
      </c>
      <c r="AA403">
        <v>-3.2145097769117519</v>
      </c>
      <c r="AB403">
        <v>1.3066746497935699E-3</v>
      </c>
      <c r="AC403">
        <v>3.6429719422664597E-2</v>
      </c>
      <c r="AD403" t="s">
        <v>3443</v>
      </c>
      <c r="AE403" t="s">
        <v>3444</v>
      </c>
      <c r="AF403" t="s">
        <v>3445</v>
      </c>
      <c r="AG403" t="s">
        <v>3446</v>
      </c>
      <c r="AH403" t="s">
        <v>43</v>
      </c>
      <c r="AI403" t="s">
        <v>43</v>
      </c>
      <c r="AJ403" t="s">
        <v>43</v>
      </c>
      <c r="AK403" t="s">
        <v>43</v>
      </c>
      <c r="AL403" t="s">
        <v>43</v>
      </c>
      <c r="AM403" t="s">
        <v>1755</v>
      </c>
      <c r="AN403" t="s">
        <v>43</v>
      </c>
    </row>
    <row r="404" spans="1:40" x14ac:dyDescent="0.3">
      <c r="A404" t="s">
        <v>3447</v>
      </c>
      <c r="B404">
        <v>2275</v>
      </c>
      <c r="C404" t="str">
        <f>IF(Y404&lt;0, "Down", "Up")</f>
        <v>Down</v>
      </c>
      <c r="D404" s="7" t="str">
        <f>IF(AC404&lt;0.05, "Sig", "N")</f>
        <v>Sig</v>
      </c>
      <c r="E404" s="1" t="str">
        <f>IF(AND(H404&gt;2,J404&gt;2,L404&gt;2,N404&gt;2),"Y","N")</f>
        <v>Y</v>
      </c>
      <c r="F404" s="1" t="str">
        <f>IF(AND(P404&gt;2,R404&gt;2,T404&gt;2,V404&gt;2),"Y","N")</f>
        <v>N</v>
      </c>
      <c r="G404" s="1" t="str">
        <f>IF(OR(E404="Y", F404="Y"), "Expressed", "N")</f>
        <v>Expressed</v>
      </c>
      <c r="H404" s="8">
        <v>5.2758272705562819</v>
      </c>
      <c r="I404" s="8">
        <v>534</v>
      </c>
      <c r="J404" s="8">
        <v>3.0699546591802158</v>
      </c>
      <c r="K404" s="8">
        <v>696</v>
      </c>
      <c r="L404" s="8">
        <v>8.0994164717671815</v>
      </c>
      <c r="M404" s="8">
        <v>1424</v>
      </c>
      <c r="N404" s="8">
        <v>3.7173117723440452</v>
      </c>
      <c r="O404" s="8">
        <v>389</v>
      </c>
      <c r="P404" s="9">
        <v>1.805679626450478</v>
      </c>
      <c r="Q404" s="9">
        <v>636</v>
      </c>
      <c r="R404" s="9">
        <v>6.3524445866295558</v>
      </c>
      <c r="S404" s="9">
        <v>126</v>
      </c>
      <c r="T404" s="9">
        <v>2.130187919941585</v>
      </c>
      <c r="U404" s="9">
        <v>140</v>
      </c>
      <c r="V404" s="9">
        <v>0.61282765328405298</v>
      </c>
      <c r="W404" s="9">
        <v>575</v>
      </c>
      <c r="X404">
        <v>484.62598579630748</v>
      </c>
      <c r="Y404">
        <v>-1.064572365835329</v>
      </c>
      <c r="Z404">
        <v>0.27807113242296921</v>
      </c>
      <c r="AA404">
        <v>-3.828417414491001</v>
      </c>
      <c r="AB404">
        <v>1.2896989202169169E-4</v>
      </c>
      <c r="AC404">
        <v>8.0633633976798028E-3</v>
      </c>
      <c r="AD404" t="s">
        <v>3448</v>
      </c>
      <c r="AE404" t="s">
        <v>3449</v>
      </c>
      <c r="AF404" t="s">
        <v>3450</v>
      </c>
      <c r="AG404" t="s">
        <v>3451</v>
      </c>
      <c r="AH404" t="s">
        <v>43</v>
      </c>
      <c r="AI404" t="s">
        <v>43</v>
      </c>
      <c r="AJ404" t="s">
        <v>43</v>
      </c>
      <c r="AK404" t="s">
        <v>43</v>
      </c>
      <c r="AL404" t="s">
        <v>43</v>
      </c>
      <c r="AM404" t="s">
        <v>3452</v>
      </c>
      <c r="AN404" t="s">
        <v>43</v>
      </c>
    </row>
    <row r="405" spans="1:40" x14ac:dyDescent="0.3">
      <c r="A405" t="s">
        <v>3453</v>
      </c>
      <c r="B405">
        <v>3739</v>
      </c>
      <c r="C405" t="str">
        <f>IF(Y405&lt;0, "Down", "Up")</f>
        <v>Down</v>
      </c>
      <c r="D405" s="7" t="str">
        <f>IF(AC405&lt;0.05, "Sig", "N")</f>
        <v>Sig</v>
      </c>
      <c r="E405" s="1" t="str">
        <f>IF(AND(H405&gt;2,J405&gt;2,L405&gt;2,N405&gt;2),"Y","N")</f>
        <v>Y</v>
      </c>
      <c r="F405" s="1" t="str">
        <f>IF(AND(P405&gt;2,R405&gt;2,T405&gt;2,V405&gt;2),"Y","N")</f>
        <v>N</v>
      </c>
      <c r="G405" s="1" t="str">
        <f>IF(OR(E405="Y", F405="Y"), "Expressed", "N")</f>
        <v>Expressed</v>
      </c>
      <c r="H405" s="8">
        <v>4.6948992944310239</v>
      </c>
      <c r="I405" s="8">
        <v>781</v>
      </c>
      <c r="J405" s="8">
        <v>3.059521496229511</v>
      </c>
      <c r="K405" s="8">
        <v>1140</v>
      </c>
      <c r="L405" s="8">
        <v>7.7209234706198346</v>
      </c>
      <c r="M405" s="8">
        <v>2231</v>
      </c>
      <c r="N405" s="8">
        <v>3.7793636197309919</v>
      </c>
      <c r="O405" s="8">
        <v>650</v>
      </c>
      <c r="P405" s="9">
        <v>1.835821235083851</v>
      </c>
      <c r="Q405" s="9">
        <v>1041</v>
      </c>
      <c r="R405" s="9">
        <v>6.3264551713958896</v>
      </c>
      <c r="S405" s="9">
        <v>202</v>
      </c>
      <c r="T405" s="9">
        <v>2.077900165584456</v>
      </c>
      <c r="U405" s="9">
        <v>177</v>
      </c>
      <c r="V405" s="9">
        <v>0.47142164689977473</v>
      </c>
      <c r="W405" s="9">
        <v>380</v>
      </c>
      <c r="X405">
        <v>713.96130611081992</v>
      </c>
      <c r="Y405">
        <v>-1.376226806557409</v>
      </c>
      <c r="Z405">
        <v>0.31219862497666617</v>
      </c>
      <c r="AA405">
        <v>-4.4081770272379268</v>
      </c>
      <c r="AB405">
        <v>1.042443257655992E-5</v>
      </c>
      <c r="AC405">
        <v>1.2876929688657979E-3</v>
      </c>
      <c r="AD405" t="s">
        <v>3454</v>
      </c>
      <c r="AE405" t="s">
        <v>3455</v>
      </c>
      <c r="AF405" t="s">
        <v>3456</v>
      </c>
      <c r="AG405" t="s">
        <v>3457</v>
      </c>
      <c r="AH405" t="s">
        <v>43</v>
      </c>
      <c r="AI405" t="s">
        <v>43</v>
      </c>
      <c r="AJ405" t="s">
        <v>43</v>
      </c>
      <c r="AK405" t="s">
        <v>43</v>
      </c>
      <c r="AL405" t="s">
        <v>43</v>
      </c>
      <c r="AM405" t="s">
        <v>3079</v>
      </c>
      <c r="AN405" t="s">
        <v>43</v>
      </c>
    </row>
    <row r="406" spans="1:40" x14ac:dyDescent="0.3">
      <c r="A406" t="s">
        <v>3458</v>
      </c>
      <c r="B406">
        <v>1340</v>
      </c>
      <c r="C406" t="str">
        <f>IF(Y406&lt;0, "Down", "Up")</f>
        <v>Down</v>
      </c>
      <c r="D406" s="7" t="str">
        <f>IF(AC406&lt;0.05, "Sig", "N")</f>
        <v>Sig</v>
      </c>
      <c r="E406" s="1" t="str">
        <f>IF(AND(H406&gt;2,J406&gt;2,L406&gt;2,N406&gt;2),"Y","N")</f>
        <v>Y</v>
      </c>
      <c r="F406" s="1" t="str">
        <f>IF(AND(P406&gt;2,R406&gt;2,T406&gt;2,V406&gt;2),"Y","N")</f>
        <v>N</v>
      </c>
      <c r="G406" s="1" t="str">
        <f>IF(OR(E406="Y", F406="Y"), "Expressed", "N")</f>
        <v>Expressed</v>
      </c>
      <c r="H406" s="8">
        <v>4.3779058884992974</v>
      </c>
      <c r="I406" s="8">
        <v>261</v>
      </c>
      <c r="J406" s="8">
        <v>3.0328738571176141</v>
      </c>
      <c r="K406" s="8">
        <v>405</v>
      </c>
      <c r="L406" s="8">
        <v>6.7885288700680491</v>
      </c>
      <c r="M406" s="8">
        <v>703</v>
      </c>
      <c r="N406" s="8">
        <v>3.42324863507549</v>
      </c>
      <c r="O406" s="8">
        <v>211</v>
      </c>
      <c r="P406" s="9">
        <v>1.66283881879847</v>
      </c>
      <c r="Q406" s="9">
        <v>383</v>
      </c>
      <c r="R406" s="9">
        <v>6.4947007643914834</v>
      </c>
      <c r="S406" s="9">
        <v>89</v>
      </c>
      <c r="T406" s="9">
        <v>2.5545474952035798</v>
      </c>
      <c r="U406" s="9">
        <v>48</v>
      </c>
      <c r="V406" s="9">
        <v>0.35672057429967258</v>
      </c>
      <c r="W406" s="9">
        <v>274</v>
      </c>
      <c r="X406">
        <v>250.4010448791413</v>
      </c>
      <c r="Y406">
        <v>-1.053364007958062</v>
      </c>
      <c r="Z406">
        <v>0.27560359980814642</v>
      </c>
      <c r="AA406">
        <v>-3.822025578371731</v>
      </c>
      <c r="AB406">
        <v>1.323599565429489E-4</v>
      </c>
      <c r="AC406">
        <v>8.1565860996397743E-3</v>
      </c>
      <c r="AD406" t="s">
        <v>3459</v>
      </c>
      <c r="AE406" t="s">
        <v>3460</v>
      </c>
      <c r="AF406" t="s">
        <v>55</v>
      </c>
      <c r="AG406" t="s">
        <v>1681</v>
      </c>
      <c r="AH406" t="s">
        <v>43</v>
      </c>
      <c r="AI406" t="s">
        <v>43</v>
      </c>
      <c r="AJ406" t="s">
        <v>43</v>
      </c>
      <c r="AK406" t="s">
        <v>43</v>
      </c>
      <c r="AL406" t="s">
        <v>43</v>
      </c>
      <c r="AM406" t="s">
        <v>1682</v>
      </c>
      <c r="AN406" t="s">
        <v>43</v>
      </c>
    </row>
    <row r="407" spans="1:40" x14ac:dyDescent="0.3">
      <c r="A407" t="s">
        <v>3461</v>
      </c>
      <c r="B407">
        <v>2296</v>
      </c>
      <c r="C407" t="str">
        <f>IF(Y407&lt;0, "Down", "Up")</f>
        <v>Down</v>
      </c>
      <c r="D407" s="7" t="str">
        <f>IF(AC407&lt;0.05, "Sig", "N")</f>
        <v>Sig</v>
      </c>
      <c r="E407" s="1" t="str">
        <f>IF(AND(H407&gt;2,J407&gt;2,L407&gt;2,N407&gt;2),"Y","N")</f>
        <v>Y</v>
      </c>
      <c r="F407" s="1" t="str">
        <f>IF(AND(P407&gt;2,R407&gt;2,T407&gt;2,V407&gt;2),"Y","N")</f>
        <v>N</v>
      </c>
      <c r="G407" s="1" t="str">
        <f>IF(OR(E407="Y", F407="Y"), "Expressed", "N")</f>
        <v>Expressed</v>
      </c>
      <c r="H407" s="8">
        <v>4.0528373027618736</v>
      </c>
      <c r="I407" s="8">
        <v>414</v>
      </c>
      <c r="J407" s="8">
        <v>3.0112822270856539</v>
      </c>
      <c r="K407" s="8">
        <v>689</v>
      </c>
      <c r="L407" s="8">
        <v>5.0778287466284109</v>
      </c>
      <c r="M407" s="8">
        <v>901</v>
      </c>
      <c r="N407" s="8">
        <v>2.8879438321650528</v>
      </c>
      <c r="O407" s="8">
        <v>305</v>
      </c>
      <c r="P407" s="9">
        <v>1.4028151684424071</v>
      </c>
      <c r="Q407" s="9">
        <v>566</v>
      </c>
      <c r="R407" s="9">
        <v>5.6015693631620396</v>
      </c>
      <c r="S407" s="9">
        <v>188</v>
      </c>
      <c r="T407" s="9">
        <v>3.149305117799817</v>
      </c>
      <c r="U407" s="9">
        <v>82</v>
      </c>
      <c r="V407" s="9">
        <v>0.35565890592378069</v>
      </c>
      <c r="W407" s="9">
        <v>455</v>
      </c>
      <c r="X407">
        <v>386.96415119233859</v>
      </c>
      <c r="Y407">
        <v>-0.86134400879299933</v>
      </c>
      <c r="Z407">
        <v>0.2131518066091283</v>
      </c>
      <c r="AA407">
        <v>-4.0409885447159617</v>
      </c>
      <c r="AB407">
        <v>5.3226358649262281E-5</v>
      </c>
      <c r="AC407">
        <v>4.2801958203600643E-3</v>
      </c>
      <c r="AD407" t="s">
        <v>3462</v>
      </c>
      <c r="AE407" t="s">
        <v>3463</v>
      </c>
      <c r="AF407" t="s">
        <v>3464</v>
      </c>
      <c r="AG407" t="s">
        <v>3465</v>
      </c>
      <c r="AH407" t="s">
        <v>43</v>
      </c>
      <c r="AI407" t="s">
        <v>43</v>
      </c>
      <c r="AJ407" t="s">
        <v>43</v>
      </c>
      <c r="AK407" t="s">
        <v>43</v>
      </c>
      <c r="AL407" t="s">
        <v>43</v>
      </c>
      <c r="AM407" t="s">
        <v>3466</v>
      </c>
      <c r="AN407" t="s">
        <v>43</v>
      </c>
    </row>
    <row r="408" spans="1:40" x14ac:dyDescent="0.3">
      <c r="A408" t="s">
        <v>172</v>
      </c>
      <c r="B408">
        <v>1640</v>
      </c>
      <c r="C408" t="str">
        <f>IF(Y408&lt;0, "Down", "Up")</f>
        <v>Down</v>
      </c>
      <c r="D408" s="7" t="str">
        <f>IF(AC408&lt;0.05, "Sig", "N")</f>
        <v>Sig</v>
      </c>
      <c r="E408" s="1" t="str">
        <f>IF(AND(H408&gt;2,J408&gt;2,L408&gt;2,N408&gt;2),"Y","N")</f>
        <v>Y</v>
      </c>
      <c r="F408" s="1" t="str">
        <f>IF(AND(P408&gt;2,R408&gt;2,T408&gt;2,V408&gt;2),"Y","N")</f>
        <v>N</v>
      </c>
      <c r="G408" s="1" t="str">
        <f>IF(OR(E408="Y", F408="Y"), "Expressed", "N")</f>
        <v>Expressed</v>
      </c>
      <c r="H408" s="8">
        <v>7.8256959899223233</v>
      </c>
      <c r="I408" s="8">
        <v>571</v>
      </c>
      <c r="J408" s="8">
        <v>2.9736958306372698</v>
      </c>
      <c r="K408" s="8">
        <v>486</v>
      </c>
      <c r="L408" s="8">
        <v>12.2532910776021</v>
      </c>
      <c r="M408" s="8">
        <v>1553</v>
      </c>
      <c r="N408" s="8">
        <v>4.2684756706229701</v>
      </c>
      <c r="O408" s="8">
        <v>322</v>
      </c>
      <c r="P408" s="9">
        <v>2.0734068128978258</v>
      </c>
      <c r="Q408" s="9">
        <v>487</v>
      </c>
      <c r="R408" s="9">
        <v>6.7476148265086193</v>
      </c>
      <c r="S408" s="9">
        <v>64</v>
      </c>
      <c r="T408" s="9">
        <v>1.500945417845019</v>
      </c>
      <c r="U408" s="9">
        <v>72</v>
      </c>
      <c r="V408" s="9">
        <v>0.43720021606240372</v>
      </c>
      <c r="W408" s="9">
        <v>263</v>
      </c>
      <c r="X408">
        <v>407.26714830446349</v>
      </c>
      <c r="Y408">
        <v>-1.8009787491583009</v>
      </c>
      <c r="Z408">
        <v>0.38712470876341198</v>
      </c>
      <c r="AA408">
        <v>-4.6521927130695087</v>
      </c>
      <c r="AB408">
        <v>3.2842392947199402E-6</v>
      </c>
      <c r="AC408">
        <v>5.1513984689479351E-4</v>
      </c>
      <c r="AD408" t="s">
        <v>173</v>
      </c>
      <c r="AE408" t="s">
        <v>174</v>
      </c>
      <c r="AF408" t="s">
        <v>175</v>
      </c>
      <c r="AG408" t="s">
        <v>176</v>
      </c>
      <c r="AH408" t="s">
        <v>43</v>
      </c>
      <c r="AI408" t="s">
        <v>43</v>
      </c>
      <c r="AJ408" t="s">
        <v>43</v>
      </c>
      <c r="AK408" t="s">
        <v>43</v>
      </c>
      <c r="AL408" t="s">
        <v>43</v>
      </c>
      <c r="AM408" t="s">
        <v>177</v>
      </c>
      <c r="AN408" t="s">
        <v>43</v>
      </c>
    </row>
    <row r="409" spans="1:40" x14ac:dyDescent="0.3">
      <c r="A409" t="s">
        <v>3467</v>
      </c>
      <c r="B409">
        <v>2485</v>
      </c>
      <c r="C409" t="str">
        <f>IF(Y409&lt;0, "Down", "Up")</f>
        <v>Down</v>
      </c>
      <c r="D409" s="7" t="str">
        <f>IF(AC409&lt;0.05, "Sig", "N")</f>
        <v>Sig</v>
      </c>
      <c r="E409" s="1" t="str">
        <f>IF(AND(H409&gt;2,J409&gt;2,L409&gt;2,N409&gt;2),"Y","N")</f>
        <v>Y</v>
      </c>
      <c r="F409" s="1" t="str">
        <f>IF(AND(P409&gt;2,R409&gt;2,T409&gt;2,V409&gt;2),"Y","N")</f>
        <v>N</v>
      </c>
      <c r="G409" s="1" t="str">
        <f>IF(OR(E409="Y", F409="Y"), "Expressed", "N")</f>
        <v>Expressed</v>
      </c>
      <c r="H409" s="8">
        <v>4.3234676714718487</v>
      </c>
      <c r="I409" s="8">
        <v>478</v>
      </c>
      <c r="J409" s="8">
        <v>2.9599317981350448</v>
      </c>
      <c r="K409" s="8">
        <v>733</v>
      </c>
      <c r="L409" s="8">
        <v>6.6963742569534217</v>
      </c>
      <c r="M409" s="8">
        <v>1286</v>
      </c>
      <c r="N409" s="8">
        <v>3.324436104743036</v>
      </c>
      <c r="O409" s="8">
        <v>380</v>
      </c>
      <c r="P409" s="9">
        <v>1.61484075358727</v>
      </c>
      <c r="Q409" s="9">
        <v>651</v>
      </c>
      <c r="R409" s="9">
        <v>5.9527790921080177</v>
      </c>
      <c r="S409" s="9">
        <v>253</v>
      </c>
      <c r="T409" s="9">
        <v>3.915821634634403</v>
      </c>
      <c r="U409" s="9">
        <v>154</v>
      </c>
      <c r="V409" s="9">
        <v>0.61714334098323642</v>
      </c>
      <c r="W409" s="9">
        <v>586</v>
      </c>
      <c r="X409">
        <v>494.57761678318519</v>
      </c>
      <c r="Y409">
        <v>-0.73324093177628635</v>
      </c>
      <c r="Z409">
        <v>0.20109204276742779</v>
      </c>
      <c r="AA409">
        <v>-3.6462951078790988</v>
      </c>
      <c r="AB409">
        <v>2.6604842575872592E-4</v>
      </c>
      <c r="AC409">
        <v>1.2716349677261001E-2</v>
      </c>
      <c r="AD409" t="s">
        <v>3468</v>
      </c>
      <c r="AE409" t="s">
        <v>3469</v>
      </c>
      <c r="AF409" t="s">
        <v>43</v>
      </c>
      <c r="AG409" t="s">
        <v>3470</v>
      </c>
      <c r="AH409" t="s">
        <v>43</v>
      </c>
      <c r="AI409" t="s">
        <v>43</v>
      </c>
      <c r="AJ409" t="s">
        <v>43</v>
      </c>
      <c r="AK409" t="s">
        <v>43</v>
      </c>
      <c r="AL409" t="s">
        <v>43</v>
      </c>
      <c r="AM409" t="s">
        <v>2016</v>
      </c>
      <c r="AN409" t="s">
        <v>43</v>
      </c>
    </row>
    <row r="410" spans="1:40" x14ac:dyDescent="0.3">
      <c r="A410" t="s">
        <v>3471</v>
      </c>
      <c r="B410">
        <v>2689</v>
      </c>
      <c r="C410" t="str">
        <f>IF(Y410&lt;0, "Down", "Up")</f>
        <v>Down</v>
      </c>
      <c r="D410" s="7" t="str">
        <f>IF(AC410&lt;0.05, "Sig", "N")</f>
        <v>Sig</v>
      </c>
      <c r="E410" s="1" t="str">
        <f>IF(AND(H410&gt;2,J410&gt;2,L410&gt;2,N410&gt;2),"Y","N")</f>
        <v>Y</v>
      </c>
      <c r="F410" s="1" t="str">
        <f>IF(AND(P410&gt;2,R410&gt;2,T410&gt;2,V410&gt;2),"Y","N")</f>
        <v>N</v>
      </c>
      <c r="G410" s="1" t="str">
        <f>IF(OR(E410="Y", F410="Y"), "Expressed", "N")</f>
        <v>Expressed</v>
      </c>
      <c r="H410" s="8">
        <v>6.2439657470267331</v>
      </c>
      <c r="I410" s="8">
        <v>747</v>
      </c>
      <c r="J410" s="8">
        <v>2.9443560313634132</v>
      </c>
      <c r="K410" s="8">
        <v>789</v>
      </c>
      <c r="L410" s="8">
        <v>6.4241490121572866</v>
      </c>
      <c r="M410" s="8">
        <v>1335</v>
      </c>
      <c r="N410" s="8">
        <v>5.8614894963963042</v>
      </c>
      <c r="O410" s="8">
        <v>725</v>
      </c>
      <c r="P410" s="9">
        <v>2.847211321643405</v>
      </c>
      <c r="Q410" s="9">
        <v>619</v>
      </c>
      <c r="R410" s="9">
        <v>5.2307626914721324</v>
      </c>
      <c r="S410" s="9">
        <v>92</v>
      </c>
      <c r="T410" s="9">
        <v>1.315908822078703</v>
      </c>
      <c r="U410" s="9">
        <v>136</v>
      </c>
      <c r="V410" s="9">
        <v>0.5036627421932901</v>
      </c>
      <c r="W410" s="9">
        <v>439</v>
      </c>
      <c r="X410">
        <v>559.27942606581485</v>
      </c>
      <c r="Y410">
        <v>-1.6111793950190409</v>
      </c>
      <c r="Z410">
        <v>0.30456170869447918</v>
      </c>
      <c r="AA410">
        <v>-5.2901574591417004</v>
      </c>
      <c r="AB410">
        <v>1.2221110149428269E-7</v>
      </c>
      <c r="AC410">
        <v>5.3505830769033919E-5</v>
      </c>
      <c r="AD410" t="s">
        <v>3472</v>
      </c>
      <c r="AE410" t="s">
        <v>3473</v>
      </c>
      <c r="AF410" t="s">
        <v>3474</v>
      </c>
      <c r="AG410" t="s">
        <v>817</v>
      </c>
      <c r="AH410" t="s">
        <v>43</v>
      </c>
      <c r="AI410" t="s">
        <v>43</v>
      </c>
      <c r="AJ410" t="s">
        <v>43</v>
      </c>
      <c r="AK410" t="s">
        <v>43</v>
      </c>
      <c r="AL410" t="s">
        <v>43</v>
      </c>
      <c r="AM410" t="s">
        <v>818</v>
      </c>
      <c r="AN410" t="s">
        <v>43</v>
      </c>
    </row>
    <row r="411" spans="1:40" s="13" customFormat="1" x14ac:dyDescent="0.3">
      <c r="A411" t="s">
        <v>3475</v>
      </c>
      <c r="B411">
        <v>3531</v>
      </c>
      <c r="C411" t="str">
        <f>IF(Y411&lt;0, "Down", "Up")</f>
        <v>Down</v>
      </c>
      <c r="D411" s="7" t="str">
        <f>IF(AC411&lt;0.05, "Sig", "N")</f>
        <v>Sig</v>
      </c>
      <c r="E411" s="1" t="str">
        <f>IF(AND(H411&gt;2,J411&gt;2,L411&gt;2,N411&gt;2),"Y","N")</f>
        <v>Y</v>
      </c>
      <c r="F411" s="1" t="str">
        <f>IF(AND(P411&gt;2,R411&gt;2,T411&gt;2,V411&gt;2),"Y","N")</f>
        <v>N</v>
      </c>
      <c r="G411" s="1" t="str">
        <f>IF(OR(E411="Y", F411="Y"), "Expressed", "N")</f>
        <v>Expressed</v>
      </c>
      <c r="H411" s="8">
        <v>5.1115020590945566</v>
      </c>
      <c r="I411" s="8">
        <v>803</v>
      </c>
      <c r="J411" s="8">
        <v>2.9441922187642828</v>
      </c>
      <c r="K411" s="8">
        <v>1036</v>
      </c>
      <c r="L411" s="8">
        <v>7.4354879152756004</v>
      </c>
      <c r="M411" s="8">
        <v>2029</v>
      </c>
      <c r="N411" s="8">
        <v>5.0178846994540471</v>
      </c>
      <c r="O411" s="8">
        <v>815</v>
      </c>
      <c r="P411" s="9">
        <v>2.437431327953508</v>
      </c>
      <c r="Q411" s="9">
        <v>782</v>
      </c>
      <c r="R411" s="9">
        <v>5.0323890206256321</v>
      </c>
      <c r="S411" s="9">
        <v>295</v>
      </c>
      <c r="T411" s="9">
        <v>3.2133133016205591</v>
      </c>
      <c r="U411" s="9">
        <v>195</v>
      </c>
      <c r="V411" s="9">
        <v>0.54995684688299151</v>
      </c>
      <c r="W411" s="9">
        <v>738</v>
      </c>
      <c r="X411">
        <v>749.49356712318752</v>
      </c>
      <c r="Y411">
        <v>-1.2018853790239601</v>
      </c>
      <c r="Z411">
        <v>0.20512964342462739</v>
      </c>
      <c r="AA411">
        <v>-5.8591501401677188</v>
      </c>
      <c r="AB411">
        <v>4.6524193091341383E-9</v>
      </c>
      <c r="AC411">
        <v>3.9283034752339041E-6</v>
      </c>
      <c r="AD411" t="s">
        <v>3476</v>
      </c>
      <c r="AE411" t="s">
        <v>3477</v>
      </c>
      <c r="AF411" t="s">
        <v>3478</v>
      </c>
      <c r="AG411" t="s">
        <v>3479</v>
      </c>
      <c r="AH411" t="s">
        <v>43</v>
      </c>
      <c r="AI411" t="s">
        <v>43</v>
      </c>
      <c r="AJ411" t="s">
        <v>43</v>
      </c>
      <c r="AK411" t="s">
        <v>43</v>
      </c>
      <c r="AL411" t="s">
        <v>43</v>
      </c>
      <c r="AM411" t="s">
        <v>3480</v>
      </c>
      <c r="AN411" t="s">
        <v>43</v>
      </c>
    </row>
    <row r="412" spans="1:40" x14ac:dyDescent="0.3">
      <c r="A412" t="s">
        <v>3481</v>
      </c>
      <c r="B412">
        <v>787</v>
      </c>
      <c r="C412" t="str">
        <f>IF(Y412&lt;0, "Down", "Up")</f>
        <v>Down</v>
      </c>
      <c r="D412" s="7" t="str">
        <f>IF(AC412&lt;0.05, "Sig", "N")</f>
        <v>Sig</v>
      </c>
      <c r="E412" s="1" t="str">
        <f>IF(AND(H412&gt;2,J412&gt;2,L412&gt;2,N412&gt;2),"Y","N")</f>
        <v>Y</v>
      </c>
      <c r="F412" s="1" t="str">
        <f>IF(AND(P412&gt;2,R412&gt;2,T412&gt;2,V412&gt;2),"Y","N")</f>
        <v>N</v>
      </c>
      <c r="G412" s="1" t="str">
        <f>IF(OR(E412="Y", F412="Y"), "Expressed", "N")</f>
        <v>Expressed</v>
      </c>
      <c r="H412" s="8">
        <v>2.7131861115052569</v>
      </c>
      <c r="I412" s="8">
        <v>95</v>
      </c>
      <c r="J412" s="8">
        <v>2.894377993813154</v>
      </c>
      <c r="K412" s="8">
        <v>227</v>
      </c>
      <c r="L412" s="8">
        <v>22.49243673835521</v>
      </c>
      <c r="M412" s="8">
        <v>1368</v>
      </c>
      <c r="N412" s="8">
        <v>3.3425000673933649</v>
      </c>
      <c r="O412" s="8">
        <v>121</v>
      </c>
      <c r="P412" s="9">
        <v>1.623615301251883</v>
      </c>
      <c r="Q412" s="9">
        <v>226</v>
      </c>
      <c r="R412" s="9">
        <v>6.5252758749002782</v>
      </c>
      <c r="S412" s="9">
        <v>43</v>
      </c>
      <c r="T412" s="9">
        <v>2.1014666229834571</v>
      </c>
      <c r="U412" s="9">
        <v>15</v>
      </c>
      <c r="V412" s="9">
        <v>0.1898052611029071</v>
      </c>
      <c r="W412" s="9">
        <v>44</v>
      </c>
      <c r="X412">
        <v>199.28312550251829</v>
      </c>
      <c r="Y412">
        <v>-2.3139284961428128</v>
      </c>
      <c r="Z412">
        <v>0.85322002002135511</v>
      </c>
      <c r="AA412">
        <v>-2.7119950796336192</v>
      </c>
    </row>
    <row r="413" spans="1:40" x14ac:dyDescent="0.3">
      <c r="A413" t="s">
        <v>3483</v>
      </c>
      <c r="B413">
        <v>432</v>
      </c>
      <c r="C413" t="str">
        <f>IF(Y413&lt;0, "Down", "Up")</f>
        <v>Down</v>
      </c>
      <c r="D413" s="7" t="str">
        <f>IF(AC413&lt;0.05, "Sig", "N")</f>
        <v>Sig</v>
      </c>
      <c r="E413" s="1" t="str">
        <f>IF(AND(H413&gt;2,J413&gt;2,L413&gt;2,N413&gt;2),"Y","N")</f>
        <v>Y</v>
      </c>
      <c r="F413" s="1" t="str">
        <f>IF(AND(P413&gt;2,R413&gt;2,T413&gt;2,V413&gt;2),"Y","N")</f>
        <v>N</v>
      </c>
      <c r="G413" s="1" t="str">
        <f>IF(OR(E413="Y", F413="Y"), "Expressed", "N")</f>
        <v>Expressed</v>
      </c>
      <c r="H413" s="8">
        <v>6.1914721954386422</v>
      </c>
      <c r="I413" s="8">
        <v>119</v>
      </c>
      <c r="J413" s="8">
        <v>2.8803287614235411</v>
      </c>
      <c r="K413" s="8">
        <v>124</v>
      </c>
      <c r="L413" s="8">
        <v>8.4467667977889551</v>
      </c>
      <c r="M413" s="8">
        <v>282</v>
      </c>
      <c r="N413" s="8">
        <v>2.4658867098808219</v>
      </c>
      <c r="O413" s="8">
        <v>49</v>
      </c>
      <c r="P413" s="9">
        <v>1.1978014398181891</v>
      </c>
      <c r="Q413" s="9">
        <v>134</v>
      </c>
      <c r="R413" s="9">
        <v>7.0483298838007373</v>
      </c>
      <c r="S413" s="9">
        <v>24</v>
      </c>
      <c r="T413" s="9">
        <v>2.1367625740154792</v>
      </c>
      <c r="U413" s="9">
        <v>9</v>
      </c>
      <c r="V413" s="9">
        <v>0.20746769512220539</v>
      </c>
      <c r="W413" s="9">
        <v>54</v>
      </c>
      <c r="X413">
        <v>82.934073067119115</v>
      </c>
      <c r="Y413">
        <v>-1.473717321635629</v>
      </c>
      <c r="Z413">
        <v>0.46205347191555879</v>
      </c>
      <c r="AA413">
        <v>-3.1894951801270159</v>
      </c>
      <c r="AB413">
        <v>1.4252151571867661E-3</v>
      </c>
      <c r="AC413">
        <v>3.8464539664622738E-2</v>
      </c>
      <c r="AD413" t="s">
        <v>3484</v>
      </c>
      <c r="AE413" t="s">
        <v>3485</v>
      </c>
      <c r="AF413" t="s">
        <v>43</v>
      </c>
      <c r="AG413" t="s">
        <v>43</v>
      </c>
      <c r="AH413" t="s">
        <v>43</v>
      </c>
      <c r="AI413" t="s">
        <v>43</v>
      </c>
      <c r="AJ413" t="s">
        <v>43</v>
      </c>
      <c r="AK413" t="s">
        <v>43</v>
      </c>
      <c r="AL413" t="s">
        <v>43</v>
      </c>
      <c r="AM413" t="s">
        <v>43</v>
      </c>
      <c r="AN413" t="s">
        <v>43</v>
      </c>
    </row>
    <row r="414" spans="1:40" x14ac:dyDescent="0.3">
      <c r="A414" t="s">
        <v>3486</v>
      </c>
      <c r="B414">
        <v>1563</v>
      </c>
      <c r="C414" t="str">
        <f>IF(Y414&lt;0, "Down", "Up")</f>
        <v>Down</v>
      </c>
      <c r="D414" s="7" t="str">
        <f>IF(AC414&lt;0.05, "Sig", "N")</f>
        <v>Sig</v>
      </c>
      <c r="E414" s="1" t="str">
        <f>IF(AND(H414&gt;2,J414&gt;2,L414&gt;2,N414&gt;2),"Y","N")</f>
        <v>Y</v>
      </c>
      <c r="F414" s="1" t="str">
        <f>IF(AND(P414&gt;2,R414&gt;2,T414&gt;2,V414&gt;2),"Y","N")</f>
        <v>N</v>
      </c>
      <c r="G414" s="1" t="str">
        <f>IF(OR(E414="Y", F414="Y"), "Expressed", "N")</f>
        <v>Expressed</v>
      </c>
      <c r="H414" s="8">
        <v>4.716779540556427</v>
      </c>
      <c r="I414" s="8">
        <v>328</v>
      </c>
      <c r="J414" s="8">
        <v>2.8569665505544619</v>
      </c>
      <c r="K414" s="8">
        <v>445</v>
      </c>
      <c r="L414" s="8">
        <v>7.7903288014565177</v>
      </c>
      <c r="M414" s="8">
        <v>941</v>
      </c>
      <c r="N414" s="8">
        <v>2.1837426744872741</v>
      </c>
      <c r="O414" s="8">
        <v>157</v>
      </c>
      <c r="P414" s="9">
        <v>1.060750321258553</v>
      </c>
      <c r="Q414" s="9">
        <v>179</v>
      </c>
      <c r="R414" s="9">
        <v>2.602311156571</v>
      </c>
      <c r="S414" s="9">
        <v>100</v>
      </c>
      <c r="T414" s="9">
        <v>2.4607630410926822</v>
      </c>
      <c r="U414" s="9">
        <v>91</v>
      </c>
      <c r="V414" s="9">
        <v>0.57979455680984859</v>
      </c>
      <c r="W414" s="9">
        <v>281</v>
      </c>
      <c r="X414">
        <v>274.08648442241082</v>
      </c>
      <c r="Y414">
        <v>-1.299848940195131</v>
      </c>
      <c r="Z414">
        <v>0.32074238890717521</v>
      </c>
      <c r="AA414">
        <v>-4.0526259863061487</v>
      </c>
      <c r="AB414">
        <v>5.0645934473074022E-5</v>
      </c>
      <c r="AC414">
        <v>4.1431528817038616E-3</v>
      </c>
      <c r="AD414" t="s">
        <v>3487</v>
      </c>
      <c r="AE414" t="s">
        <v>3488</v>
      </c>
      <c r="AF414" t="s">
        <v>3489</v>
      </c>
      <c r="AG414" t="s">
        <v>3490</v>
      </c>
      <c r="AH414" t="s">
        <v>43</v>
      </c>
      <c r="AI414" t="s">
        <v>43</v>
      </c>
      <c r="AJ414" t="s">
        <v>43</v>
      </c>
      <c r="AK414" t="s">
        <v>43</v>
      </c>
      <c r="AL414" t="s">
        <v>43</v>
      </c>
      <c r="AM414" t="s">
        <v>3491</v>
      </c>
      <c r="AN414" t="s">
        <v>43</v>
      </c>
    </row>
    <row r="415" spans="1:40" x14ac:dyDescent="0.3">
      <c r="A415" t="s">
        <v>3492</v>
      </c>
      <c r="B415">
        <v>1395</v>
      </c>
      <c r="C415" t="str">
        <f>IF(Y415&lt;0, "Down", "Up")</f>
        <v>Down</v>
      </c>
      <c r="D415" s="7" t="str">
        <f>IF(AC415&lt;0.05, "Sig", "N")</f>
        <v>Sig</v>
      </c>
      <c r="E415" s="1" t="str">
        <f>IF(AND(H415&gt;2,J415&gt;2,L415&gt;2,N415&gt;2),"Y","N")</f>
        <v>Y</v>
      </c>
      <c r="F415" s="1" t="str">
        <f>IF(AND(P415&gt;2,R415&gt;2,T415&gt;2,V415&gt;2),"Y","N")</f>
        <v>N</v>
      </c>
      <c r="G415" s="1" t="str">
        <f>IF(OR(E415="Y", F415="Y"), "Expressed", "N")</f>
        <v>Expressed</v>
      </c>
      <c r="H415" s="8">
        <v>4.5597700353937931</v>
      </c>
      <c r="I415" s="8">
        <v>283</v>
      </c>
      <c r="J415" s="8">
        <v>2.8341715679522381</v>
      </c>
      <c r="K415" s="8">
        <v>394</v>
      </c>
      <c r="L415" s="8">
        <v>3.2465267033368672</v>
      </c>
      <c r="M415" s="8">
        <v>350</v>
      </c>
      <c r="N415" s="8">
        <v>4.5038552257362428</v>
      </c>
      <c r="O415" s="8">
        <v>289</v>
      </c>
      <c r="P415" s="9">
        <v>2.1877421426146042</v>
      </c>
      <c r="Q415" s="9">
        <v>93</v>
      </c>
      <c r="R415" s="9">
        <v>1.514864930249711</v>
      </c>
      <c r="S415" s="9">
        <v>34</v>
      </c>
      <c r="T415" s="9">
        <v>0.93741841956808114</v>
      </c>
      <c r="U415" s="9">
        <v>39</v>
      </c>
      <c r="V415" s="9">
        <v>0.27840826184141121</v>
      </c>
      <c r="W415" s="9">
        <v>209</v>
      </c>
      <c r="X415">
        <v>197.49920232685889</v>
      </c>
      <c r="Y415">
        <v>-1.947949613033463</v>
      </c>
      <c r="Z415">
        <v>0.31555571040670799</v>
      </c>
      <c r="AA415">
        <v>-6.1730767303270238</v>
      </c>
      <c r="AB415">
        <v>6.6973687783817325E-10</v>
      </c>
      <c r="AC415">
        <v>8.7966218143611614E-7</v>
      </c>
    </row>
    <row r="416" spans="1:40" x14ac:dyDescent="0.3">
      <c r="A416" t="s">
        <v>3493</v>
      </c>
      <c r="B416">
        <v>1234</v>
      </c>
      <c r="C416" t="str">
        <f>IF(Y416&lt;0, "Down", "Up")</f>
        <v>Down</v>
      </c>
      <c r="D416" s="7" t="str">
        <f>IF(AC416&lt;0.05, "Sig", "N")</f>
        <v>Sig</v>
      </c>
      <c r="E416" s="1" t="str">
        <f>IF(AND(H416&gt;2,J416&gt;2,L416&gt;2,N416&gt;2),"Y","N")</f>
        <v>Y</v>
      </c>
      <c r="F416" s="1" t="str">
        <f>IF(AND(P416&gt;2,R416&gt;2,T416&gt;2,V416&gt;2),"Y","N")</f>
        <v>N</v>
      </c>
      <c r="G416" s="1" t="str">
        <f>IF(OR(E416="Y", F416="Y"), "Expressed", "N")</f>
        <v>Expressed</v>
      </c>
      <c r="H416" s="8">
        <v>3.9707454440545171</v>
      </c>
      <c r="I416" s="8">
        <v>218</v>
      </c>
      <c r="J416" s="8">
        <v>2.78109016395514</v>
      </c>
      <c r="K416" s="8">
        <v>342</v>
      </c>
      <c r="L416" s="8">
        <v>3.9741951856626949</v>
      </c>
      <c r="M416" s="8">
        <v>379</v>
      </c>
      <c r="N416" s="8">
        <v>4.0168024571895176</v>
      </c>
      <c r="O416" s="8">
        <v>228</v>
      </c>
      <c r="P416" s="9">
        <v>1.9511568586698691</v>
      </c>
      <c r="Q416" s="9">
        <v>159</v>
      </c>
      <c r="R416" s="9">
        <v>2.9278386212686871</v>
      </c>
      <c r="S416" s="9">
        <v>52</v>
      </c>
      <c r="T416" s="9">
        <v>1.620753459707041</v>
      </c>
      <c r="U416" s="9">
        <v>39</v>
      </c>
      <c r="V416" s="9">
        <v>0.31473219227614962</v>
      </c>
      <c r="W416" s="9">
        <v>176</v>
      </c>
      <c r="X416">
        <v>180.3197966983235</v>
      </c>
      <c r="Y416">
        <v>-1.5036853900593601</v>
      </c>
      <c r="Z416">
        <v>0.2054412137371476</v>
      </c>
      <c r="AA416">
        <v>-7.3192976360782938</v>
      </c>
      <c r="AB416">
        <v>2.4927216991452899E-13</v>
      </c>
      <c r="AC416">
        <v>1.178658528223859E-9</v>
      </c>
      <c r="AD416" t="s">
        <v>3494</v>
      </c>
      <c r="AE416" t="s">
        <v>3495</v>
      </c>
      <c r="AF416" t="s">
        <v>43</v>
      </c>
      <c r="AG416" t="s">
        <v>3496</v>
      </c>
      <c r="AH416" t="s">
        <v>43</v>
      </c>
      <c r="AI416" t="s">
        <v>43</v>
      </c>
      <c r="AJ416" t="s">
        <v>43</v>
      </c>
      <c r="AK416" t="s">
        <v>43</v>
      </c>
      <c r="AL416" t="s">
        <v>43</v>
      </c>
      <c r="AM416" t="s">
        <v>3497</v>
      </c>
      <c r="AN416" t="s">
        <v>43</v>
      </c>
    </row>
    <row r="417" spans="1:40" x14ac:dyDescent="0.3">
      <c r="A417" t="s">
        <v>3498</v>
      </c>
      <c r="B417">
        <v>1032</v>
      </c>
      <c r="C417" t="str">
        <f>IF(Y417&lt;0, "Down", "Up")</f>
        <v>Down</v>
      </c>
      <c r="D417" s="7" t="str">
        <f>IF(AC417&lt;0.05, "Sig", "N")</f>
        <v>Sig</v>
      </c>
      <c r="E417" s="1" t="str">
        <f>IF(AND(H417&gt;2,J417&gt;2,L417&gt;2,N417&gt;2),"Y","N")</f>
        <v>Y</v>
      </c>
      <c r="F417" s="1" t="str">
        <f>IF(AND(P417&gt;2,R417&gt;2,T417&gt;2,V417&gt;2),"Y","N")</f>
        <v>N</v>
      </c>
      <c r="G417" s="1" t="str">
        <f>IF(OR(E417="Y", F417="Y"), "Expressed", "N")</f>
        <v>Expressed</v>
      </c>
      <c r="H417" s="8">
        <v>6.5121171303206511</v>
      </c>
      <c r="I417" s="8">
        <v>299</v>
      </c>
      <c r="J417" s="8">
        <v>2.7809325701066001</v>
      </c>
      <c r="K417" s="8">
        <v>286</v>
      </c>
      <c r="L417" s="8">
        <v>9.6421034153879859</v>
      </c>
      <c r="M417" s="8">
        <v>769</v>
      </c>
      <c r="N417" s="8">
        <v>5.9405984524703621</v>
      </c>
      <c r="O417" s="8">
        <v>282</v>
      </c>
      <c r="P417" s="9">
        <v>2.885638399865746</v>
      </c>
      <c r="Q417" s="9">
        <v>213</v>
      </c>
      <c r="R417" s="9">
        <v>4.6899161358021564</v>
      </c>
      <c r="S417" s="9">
        <v>48</v>
      </c>
      <c r="T417" s="9">
        <v>1.7889175038269129</v>
      </c>
      <c r="U417" s="9">
        <v>61</v>
      </c>
      <c r="V417" s="9">
        <v>0.58862927453276892</v>
      </c>
      <c r="W417" s="9">
        <v>238</v>
      </c>
      <c r="X417">
        <v>245.00575227523481</v>
      </c>
      <c r="Y417">
        <v>-1.590645176041884</v>
      </c>
      <c r="Z417">
        <v>0.31843271704022341</v>
      </c>
      <c r="AA417">
        <v>-4.9952316169853832</v>
      </c>
      <c r="AB417">
        <v>5.8765195778010199E-7</v>
      </c>
      <c r="AC417">
        <v>1.6345020689220201E-4</v>
      </c>
      <c r="AD417" t="s">
        <v>3499</v>
      </c>
      <c r="AE417" t="s">
        <v>3500</v>
      </c>
      <c r="AF417" t="s">
        <v>3501</v>
      </c>
      <c r="AG417" t="s">
        <v>3502</v>
      </c>
      <c r="AH417" t="s">
        <v>43</v>
      </c>
      <c r="AI417" t="s">
        <v>43</v>
      </c>
      <c r="AJ417" t="s">
        <v>43</v>
      </c>
      <c r="AK417" t="s">
        <v>43</v>
      </c>
      <c r="AL417" t="s">
        <v>43</v>
      </c>
      <c r="AM417" t="s">
        <v>3503</v>
      </c>
      <c r="AN417" t="s">
        <v>43</v>
      </c>
    </row>
    <row r="418" spans="1:40" x14ac:dyDescent="0.3">
      <c r="A418" t="s">
        <v>3504</v>
      </c>
      <c r="B418">
        <v>3358</v>
      </c>
      <c r="C418" t="str">
        <f>IF(Y418&lt;0, "Down", "Up")</f>
        <v>Down</v>
      </c>
      <c r="D418" s="7" t="str">
        <f>IF(AC418&lt;0.05, "Sig", "N")</f>
        <v>Sig</v>
      </c>
      <c r="E418" s="1" t="str">
        <f>IF(AND(H418&gt;2,J418&gt;2,L418&gt;2,N418&gt;2),"Y","N")</f>
        <v>Y</v>
      </c>
      <c r="F418" s="1" t="str">
        <f>IF(AND(P418&gt;2,R418&gt;2,T418&gt;2,V418&gt;2),"Y","N")</f>
        <v>N</v>
      </c>
      <c r="G418" s="1" t="str">
        <f>IF(OR(E418="Y", F418="Y"), "Expressed", "N")</f>
        <v>Expressed</v>
      </c>
      <c r="H418" s="8">
        <v>4.0428437720817563</v>
      </c>
      <c r="I418" s="8">
        <v>604</v>
      </c>
      <c r="J418" s="8">
        <v>2.776125816933531</v>
      </c>
      <c r="K418" s="8">
        <v>929</v>
      </c>
      <c r="L418" s="8">
        <v>5.1250262222718073</v>
      </c>
      <c r="M418" s="8">
        <v>1330</v>
      </c>
      <c r="N418" s="8">
        <v>2.667333447821397</v>
      </c>
      <c r="O418" s="8">
        <v>412</v>
      </c>
      <c r="P418" s="9">
        <v>1.295653945282059</v>
      </c>
      <c r="Q418" s="9">
        <v>673</v>
      </c>
      <c r="R418" s="9">
        <v>4.5540683355779716</v>
      </c>
      <c r="S418" s="9">
        <v>262</v>
      </c>
      <c r="T418" s="9">
        <v>3.0008851396834419</v>
      </c>
      <c r="U418" s="9">
        <v>170</v>
      </c>
      <c r="V418" s="9">
        <v>0.50415020613376904</v>
      </c>
      <c r="W418" s="9">
        <v>518</v>
      </c>
      <c r="X418">
        <v>543.60357921275579</v>
      </c>
      <c r="Y418">
        <v>-0.91445421434301322</v>
      </c>
      <c r="Z418">
        <v>0.1933293291430935</v>
      </c>
      <c r="AA418">
        <v>-4.730033556709734</v>
      </c>
      <c r="AB418">
        <v>2.2448272875299132E-6</v>
      </c>
      <c r="AC418">
        <v>4.0206217221047121E-4</v>
      </c>
      <c r="AD418" t="s">
        <v>3505</v>
      </c>
      <c r="AE418" t="s">
        <v>3506</v>
      </c>
      <c r="AF418" t="s">
        <v>3507</v>
      </c>
      <c r="AG418" t="s">
        <v>3508</v>
      </c>
      <c r="AH418" t="s">
        <v>43</v>
      </c>
      <c r="AI418" t="s">
        <v>43</v>
      </c>
      <c r="AJ418" t="s">
        <v>43</v>
      </c>
      <c r="AK418" t="s">
        <v>43</v>
      </c>
      <c r="AL418" t="s">
        <v>43</v>
      </c>
      <c r="AM418" t="s">
        <v>3509</v>
      </c>
      <c r="AN418" t="s">
        <v>43</v>
      </c>
    </row>
    <row r="419" spans="1:40" x14ac:dyDescent="0.3">
      <c r="A419" t="s">
        <v>3510</v>
      </c>
      <c r="B419">
        <v>402</v>
      </c>
      <c r="C419" t="str">
        <f>IF(Y419&lt;0, "Down", "Up")</f>
        <v>Down</v>
      </c>
      <c r="D419" s="7" t="str">
        <f>IF(AC419&lt;0.05, "Sig", "N")</f>
        <v>Sig</v>
      </c>
      <c r="E419" s="1" t="str">
        <f>IF(AND(H419&gt;2,J419&gt;2,L419&gt;2,N419&gt;2),"Y","N")</f>
        <v>Y</v>
      </c>
      <c r="F419" s="1" t="str">
        <f>IF(AND(P419&gt;2,R419&gt;2,T419&gt;2,V419&gt;2),"Y","N")</f>
        <v>N</v>
      </c>
      <c r="G419" s="1" t="str">
        <f>IF(OR(E419="Y", F419="Y"), "Expressed", "N")</f>
        <v>Expressed</v>
      </c>
      <c r="H419" s="8">
        <v>5.6471072124958992</v>
      </c>
      <c r="I419" s="8">
        <v>101</v>
      </c>
      <c r="J419" s="8">
        <v>2.770773647243252</v>
      </c>
      <c r="K419" s="8">
        <v>111</v>
      </c>
      <c r="L419" s="8">
        <v>6.1157917748360804</v>
      </c>
      <c r="M419" s="8">
        <v>190</v>
      </c>
      <c r="N419" s="8">
        <v>3.352944950626862</v>
      </c>
      <c r="O419" s="8">
        <v>62</v>
      </c>
      <c r="P419" s="9">
        <v>1.6286888904503181</v>
      </c>
      <c r="Q419" s="9">
        <v>67</v>
      </c>
      <c r="R419" s="9">
        <v>3.7871623256242768</v>
      </c>
      <c r="S419" s="9">
        <v>18</v>
      </c>
      <c r="T419" s="9">
        <v>1.7221668506990431</v>
      </c>
      <c r="U419" s="9">
        <v>18</v>
      </c>
      <c r="V419" s="9">
        <v>0.44590071787459079</v>
      </c>
      <c r="W419" s="9">
        <v>64</v>
      </c>
      <c r="X419">
        <v>70.54987530663972</v>
      </c>
      <c r="Y419">
        <v>-1.47749030442394</v>
      </c>
      <c r="Z419">
        <v>0.31803241030851581</v>
      </c>
      <c r="AA419">
        <v>-4.6457224375045953</v>
      </c>
      <c r="AB419">
        <v>3.3888839726148309E-6</v>
      </c>
      <c r="AC419">
        <v>5.2366009725856102E-4</v>
      </c>
    </row>
    <row r="420" spans="1:40" x14ac:dyDescent="0.3">
      <c r="A420" t="s">
        <v>3512</v>
      </c>
      <c r="B420">
        <v>1555</v>
      </c>
      <c r="C420" t="str">
        <f>IF(Y420&lt;0, "Down", "Up")</f>
        <v>Down</v>
      </c>
      <c r="D420" s="7" t="str">
        <f>IF(AC420&lt;0.05, "Sig", "N")</f>
        <v>Sig</v>
      </c>
      <c r="E420" s="1" t="str">
        <f>IF(AND(H420&gt;2,J420&gt;2,L420&gt;2,N420&gt;2),"Y","N")</f>
        <v>Y</v>
      </c>
      <c r="F420" s="1" t="str">
        <f>IF(AND(P420&gt;2,R420&gt;2,T420&gt;2,V420&gt;2),"Y","N")</f>
        <v>N</v>
      </c>
      <c r="G420" s="1" t="str">
        <f>IF(OR(E420="Y", F420="Y"), "Expressed", "N")</f>
        <v>Expressed</v>
      </c>
      <c r="H420" s="8">
        <v>5.1746781802143191</v>
      </c>
      <c r="I420" s="8">
        <v>358</v>
      </c>
      <c r="J420" s="8">
        <v>2.7490543648080958</v>
      </c>
      <c r="K420" s="8">
        <v>426</v>
      </c>
      <c r="L420" s="8">
        <v>5.2091766177730552</v>
      </c>
      <c r="M420" s="8">
        <v>626</v>
      </c>
      <c r="N420" s="8">
        <v>2.9079954879329502</v>
      </c>
      <c r="O420" s="8">
        <v>208</v>
      </c>
      <c r="P420" s="9">
        <v>1.412555235596866</v>
      </c>
      <c r="Q420" s="9">
        <v>203</v>
      </c>
      <c r="R420" s="9">
        <v>2.9664075322253178</v>
      </c>
      <c r="S420" s="9">
        <v>107</v>
      </c>
      <c r="T420" s="9">
        <v>2.6465625193272109</v>
      </c>
      <c r="U420" s="9">
        <v>98</v>
      </c>
      <c r="V420" s="9">
        <v>0.62760645521212499</v>
      </c>
      <c r="W420" s="9">
        <v>320</v>
      </c>
      <c r="X420">
        <v>268.83361105528559</v>
      </c>
      <c r="Y420">
        <v>-1.0558902752268191</v>
      </c>
      <c r="Z420">
        <v>0.25388037734885172</v>
      </c>
      <c r="AA420">
        <v>-4.1590070341511369</v>
      </c>
      <c r="AB420">
        <v>3.1963405741981143E-5</v>
      </c>
      <c r="AC420">
        <v>2.917678913327869E-3</v>
      </c>
      <c r="AD420" t="s">
        <v>3513</v>
      </c>
      <c r="AE420" t="s">
        <v>3514</v>
      </c>
      <c r="AF420" t="s">
        <v>3515</v>
      </c>
      <c r="AG420" t="s">
        <v>3516</v>
      </c>
      <c r="AH420" t="s">
        <v>43</v>
      </c>
      <c r="AI420" t="s">
        <v>43</v>
      </c>
      <c r="AJ420" t="s">
        <v>43</v>
      </c>
      <c r="AK420" t="s">
        <v>43</v>
      </c>
      <c r="AL420" t="s">
        <v>43</v>
      </c>
      <c r="AM420" t="s">
        <v>3517</v>
      </c>
      <c r="AN420" t="s">
        <v>43</v>
      </c>
    </row>
    <row r="421" spans="1:40" x14ac:dyDescent="0.3">
      <c r="A421" t="s">
        <v>3518</v>
      </c>
      <c r="B421">
        <v>1537</v>
      </c>
      <c r="C421" t="str">
        <f>IF(Y421&lt;0, "Down", "Up")</f>
        <v>Down</v>
      </c>
      <c r="D421" s="7" t="str">
        <f>IF(AC421&lt;0.05, "Sig", "N")</f>
        <v>Sig</v>
      </c>
      <c r="E421" s="1" t="str">
        <f>IF(AND(H421&gt;2,J421&gt;2,L421&gt;2,N421&gt;2),"Y","N")</f>
        <v>Y</v>
      </c>
      <c r="F421" s="1" t="str">
        <f>IF(AND(P421&gt;2,R421&gt;2,T421&gt;2,V421&gt;2),"Y","N")</f>
        <v>N</v>
      </c>
      <c r="G421" s="1" t="str">
        <f>IF(OR(E421="Y", F421="Y"), "Expressed", "N")</f>
        <v>Expressed</v>
      </c>
      <c r="H421" s="8">
        <v>4.1677504289290246</v>
      </c>
      <c r="I421" s="8">
        <v>285</v>
      </c>
      <c r="J421" s="8">
        <v>2.7486051194074239</v>
      </c>
      <c r="K421" s="8">
        <v>421</v>
      </c>
      <c r="L421" s="8">
        <v>2.576159222703613</v>
      </c>
      <c r="M421" s="8">
        <v>306</v>
      </c>
      <c r="N421" s="8">
        <v>2.1358161520447441</v>
      </c>
      <c r="O421" s="8">
        <v>151</v>
      </c>
      <c r="P421" s="9">
        <v>1.0374700718630261</v>
      </c>
      <c r="Q421" s="9">
        <v>203</v>
      </c>
      <c r="R421" s="9">
        <v>3.0011475033248982</v>
      </c>
      <c r="S421" s="9">
        <v>44</v>
      </c>
      <c r="T421" s="9">
        <v>1.1010513719064801</v>
      </c>
      <c r="U421" s="9">
        <v>51</v>
      </c>
      <c r="V421" s="9">
        <v>0.33043651116405909</v>
      </c>
      <c r="W421" s="9">
        <v>228</v>
      </c>
      <c r="X421">
        <v>188.34849094300591</v>
      </c>
      <c r="Y421">
        <v>-1.2359702721732631</v>
      </c>
      <c r="Z421">
        <v>0.2928816253574017</v>
      </c>
      <c r="AA421">
        <v>-4.2200335055673621</v>
      </c>
      <c r="AB421">
        <v>2.442660122537749E-5</v>
      </c>
      <c r="AC421">
        <v>2.4695004142538941E-3</v>
      </c>
      <c r="AD421" t="s">
        <v>3519</v>
      </c>
      <c r="AE421" t="s">
        <v>3520</v>
      </c>
      <c r="AF421" t="s">
        <v>3521</v>
      </c>
      <c r="AG421" t="s">
        <v>3522</v>
      </c>
      <c r="AH421" t="s">
        <v>43</v>
      </c>
      <c r="AI421" t="s">
        <v>43</v>
      </c>
      <c r="AJ421" t="s">
        <v>43</v>
      </c>
      <c r="AK421" t="s">
        <v>43</v>
      </c>
      <c r="AL421" t="s">
        <v>43</v>
      </c>
      <c r="AM421" t="s">
        <v>3523</v>
      </c>
      <c r="AN421" t="s">
        <v>43</v>
      </c>
    </row>
    <row r="422" spans="1:40" x14ac:dyDescent="0.3">
      <c r="A422" t="s">
        <v>3530</v>
      </c>
      <c r="B422">
        <v>2770</v>
      </c>
      <c r="C422" t="str">
        <f>IF(Y422&lt;0, "Down", "Up")</f>
        <v>Down</v>
      </c>
      <c r="D422" s="7" t="str">
        <f>IF(AC422&lt;0.05, "Sig", "N")</f>
        <v>Sig</v>
      </c>
      <c r="E422" s="1" t="str">
        <f>IF(AND(H422&gt;2,J422&gt;2,L422&gt;2,N422&gt;2),"Y","N")</f>
        <v>Y</v>
      </c>
      <c r="F422" s="1" t="str">
        <f>IF(AND(P422&gt;2,R422&gt;2,T422&gt;2,V422&gt;2),"Y","N")</f>
        <v>N</v>
      </c>
      <c r="G422" s="1" t="str">
        <f>IF(OR(E422="Y", F422="Y"), "Expressed", "N")</f>
        <v>Expressed</v>
      </c>
      <c r="H422" s="8">
        <v>4.1139489916990346</v>
      </c>
      <c r="I422" s="8">
        <v>507</v>
      </c>
      <c r="J422" s="8">
        <v>2.7278427412834292</v>
      </c>
      <c r="K422" s="8">
        <v>753</v>
      </c>
      <c r="L422" s="8">
        <v>5.0591065967001434</v>
      </c>
      <c r="M422" s="8">
        <v>1083</v>
      </c>
      <c r="N422" s="8">
        <v>3.3277207461537639</v>
      </c>
      <c r="O422" s="8">
        <v>424</v>
      </c>
      <c r="P422" s="9">
        <v>1.616436264117129</v>
      </c>
      <c r="Q422" s="9">
        <v>822</v>
      </c>
      <c r="R422" s="9">
        <v>6.7430630288732596</v>
      </c>
      <c r="S422" s="9">
        <v>196</v>
      </c>
      <c r="T422" s="9">
        <v>2.7214795527532889</v>
      </c>
      <c r="U422" s="9">
        <v>150</v>
      </c>
      <c r="V422" s="9">
        <v>0.5392662111479708</v>
      </c>
      <c r="W422" s="9">
        <v>456</v>
      </c>
      <c r="X422">
        <v>484.28793185428037</v>
      </c>
      <c r="Y422">
        <v>-0.77951810748483452</v>
      </c>
      <c r="Z422">
        <v>0.23289793147172499</v>
      </c>
      <c r="AA422">
        <v>-3.3470374878768392</v>
      </c>
      <c r="AB422">
        <v>8.16801637049589E-4</v>
      </c>
      <c r="AC422">
        <v>2.6857891937588849E-2</v>
      </c>
      <c r="AD422" t="s">
        <v>3531</v>
      </c>
      <c r="AE422" t="s">
        <v>3532</v>
      </c>
      <c r="AF422" t="s">
        <v>3533</v>
      </c>
      <c r="AG422" t="s">
        <v>3534</v>
      </c>
      <c r="AH422" t="s">
        <v>43</v>
      </c>
      <c r="AI422" t="s">
        <v>43</v>
      </c>
      <c r="AJ422" t="s">
        <v>43</v>
      </c>
      <c r="AK422" t="s">
        <v>43</v>
      </c>
      <c r="AL422" t="s">
        <v>43</v>
      </c>
      <c r="AM422" t="s">
        <v>3535</v>
      </c>
      <c r="AN422" t="s">
        <v>43</v>
      </c>
    </row>
    <row r="423" spans="1:40" x14ac:dyDescent="0.3">
      <c r="A423" t="s">
        <v>3536</v>
      </c>
      <c r="B423">
        <v>1486</v>
      </c>
      <c r="C423" t="str">
        <f>IF(Y423&lt;0, "Down", "Up")</f>
        <v>Down</v>
      </c>
      <c r="D423" s="7" t="str">
        <f>IF(AC423&lt;0.05, "Sig", "N")</f>
        <v>Sig</v>
      </c>
      <c r="E423" s="1" t="str">
        <f>IF(AND(H423&gt;2,J423&gt;2,L423&gt;2,N423&gt;2),"Y","N")</f>
        <v>Y</v>
      </c>
      <c r="F423" s="1" t="str">
        <f>IF(AND(P423&gt;2,R423&gt;2,T423&gt;2,V423&gt;2),"Y","N")</f>
        <v>N</v>
      </c>
      <c r="G423" s="1" t="str">
        <f>IF(OR(E423="Y", F423="Y"), "Expressed", "N")</f>
        <v>Expressed</v>
      </c>
      <c r="H423" s="8">
        <v>4.0839053399004897</v>
      </c>
      <c r="I423" s="8">
        <v>270</v>
      </c>
      <c r="J423" s="8">
        <v>2.714634513653551</v>
      </c>
      <c r="K423" s="8">
        <v>402</v>
      </c>
      <c r="L423" s="8">
        <v>3.3089479050930071</v>
      </c>
      <c r="M423" s="8">
        <v>380</v>
      </c>
      <c r="N423" s="8">
        <v>2.1798582105310622</v>
      </c>
      <c r="O423" s="8">
        <v>149</v>
      </c>
      <c r="P423" s="9">
        <v>1.058863447664147</v>
      </c>
      <c r="Q423" s="9">
        <v>112</v>
      </c>
      <c r="R423" s="9">
        <v>1.712633299340184</v>
      </c>
      <c r="S423" s="9">
        <v>51</v>
      </c>
      <c r="T423" s="9">
        <v>1.3200188714308281</v>
      </c>
      <c r="U423" s="9">
        <v>69</v>
      </c>
      <c r="V423" s="9">
        <v>0.46240444565595179</v>
      </c>
      <c r="W423" s="9">
        <v>260</v>
      </c>
      <c r="X423">
        <v>191.67133124450669</v>
      </c>
      <c r="Y423">
        <v>-1.2318928398099629</v>
      </c>
      <c r="Z423">
        <v>0.31397990911765528</v>
      </c>
      <c r="AA423">
        <v>-3.9234766430496211</v>
      </c>
      <c r="AB423">
        <v>8.7280230727026099E-5</v>
      </c>
      <c r="AC423">
        <v>6.0512586945699444E-3</v>
      </c>
      <c r="AD423" t="s">
        <v>3537</v>
      </c>
      <c r="AE423" t="s">
        <v>3538</v>
      </c>
      <c r="AF423" t="s">
        <v>3539</v>
      </c>
      <c r="AG423" t="s">
        <v>637</v>
      </c>
      <c r="AH423" t="s">
        <v>43</v>
      </c>
      <c r="AI423" t="s">
        <v>43</v>
      </c>
      <c r="AJ423" t="s">
        <v>43</v>
      </c>
      <c r="AK423" t="s">
        <v>43</v>
      </c>
      <c r="AL423" t="s">
        <v>43</v>
      </c>
      <c r="AM423" t="s">
        <v>638</v>
      </c>
      <c r="AN423" t="s">
        <v>43</v>
      </c>
    </row>
    <row r="424" spans="1:40" x14ac:dyDescent="0.3">
      <c r="A424" t="s">
        <v>3540</v>
      </c>
      <c r="B424">
        <v>2899</v>
      </c>
      <c r="C424" t="str">
        <f>IF(Y424&lt;0, "Down", "Up")</f>
        <v>Down</v>
      </c>
      <c r="D424" s="7" t="str">
        <f>IF(AC424&lt;0.05, "Sig", "N")</f>
        <v>Sig</v>
      </c>
      <c r="E424" s="1" t="str">
        <f>IF(AND(H424&gt;2,J424&gt;2,L424&gt;2,N424&gt;2),"Y","N")</f>
        <v>Y</v>
      </c>
      <c r="F424" s="1" t="str">
        <f>IF(AND(P424&gt;2,R424&gt;2,T424&gt;2,V424&gt;2),"Y","N")</f>
        <v>N</v>
      </c>
      <c r="G424" s="1" t="str">
        <f>IF(OR(E424="Y", F424="Y"), "Expressed", "N")</f>
        <v>Expressed</v>
      </c>
      <c r="H424" s="8">
        <v>4.1712361022058237</v>
      </c>
      <c r="I424" s="8">
        <v>538</v>
      </c>
      <c r="J424" s="8">
        <v>2.7068404663987198</v>
      </c>
      <c r="K424" s="8">
        <v>782</v>
      </c>
      <c r="L424" s="8">
        <v>4.3072912677913626</v>
      </c>
      <c r="M424" s="8">
        <v>965</v>
      </c>
      <c r="N424" s="8">
        <v>2.7221947772044621</v>
      </c>
      <c r="O424" s="8">
        <v>363</v>
      </c>
      <c r="P424" s="9">
        <v>1.322302768629078</v>
      </c>
      <c r="Q424" s="9">
        <v>520</v>
      </c>
      <c r="R424" s="9">
        <v>4.0758697674880109</v>
      </c>
      <c r="S424" s="9">
        <v>221</v>
      </c>
      <c r="T424" s="9">
        <v>2.9320598549270702</v>
      </c>
      <c r="U424" s="9">
        <v>118</v>
      </c>
      <c r="V424" s="9">
        <v>0.40534564510940718</v>
      </c>
      <c r="W424" s="9">
        <v>545</v>
      </c>
      <c r="X424">
        <v>450.0649507128324</v>
      </c>
      <c r="Y424">
        <v>-0.90551995201477331</v>
      </c>
      <c r="Z424">
        <v>0.1738347815456884</v>
      </c>
      <c r="AA424">
        <v>-5.2090838436540317</v>
      </c>
      <c r="AB424">
        <v>1.8977534828588869E-7</v>
      </c>
      <c r="AC424">
        <v>7.3551947281557057E-5</v>
      </c>
      <c r="AD424" t="s">
        <v>3541</v>
      </c>
      <c r="AE424" t="s">
        <v>3542</v>
      </c>
      <c r="AF424" t="s">
        <v>3543</v>
      </c>
      <c r="AG424" t="s">
        <v>1703</v>
      </c>
      <c r="AH424" t="s">
        <v>43</v>
      </c>
      <c r="AI424" t="s">
        <v>43</v>
      </c>
      <c r="AJ424" t="s">
        <v>43</v>
      </c>
      <c r="AK424" t="s">
        <v>43</v>
      </c>
      <c r="AL424" t="s">
        <v>43</v>
      </c>
      <c r="AM424" t="s">
        <v>1704</v>
      </c>
      <c r="AN424" t="s">
        <v>43</v>
      </c>
    </row>
    <row r="425" spans="1:40" x14ac:dyDescent="0.3">
      <c r="A425" t="s">
        <v>3544</v>
      </c>
      <c r="B425">
        <v>2293</v>
      </c>
      <c r="C425" t="str">
        <f>IF(Y425&lt;0, "Down", "Up")</f>
        <v>Down</v>
      </c>
      <c r="D425" s="7" t="str">
        <f>IF(AC425&lt;0.05, "Sig", "N")</f>
        <v>Sig</v>
      </c>
      <c r="E425" s="1" t="str">
        <f>IF(AND(H425&gt;2,J425&gt;2,L425&gt;2,N425&gt;2),"Y","N")</f>
        <v>Y</v>
      </c>
      <c r="F425" s="1" t="str">
        <f>IF(AND(P425&gt;2,R425&gt;2,T425&gt;2,V425&gt;2),"Y","N")</f>
        <v>N</v>
      </c>
      <c r="G425" s="1" t="str">
        <f>IF(OR(E425="Y", F425="Y"), "Expressed", "N")</f>
        <v>Expressed</v>
      </c>
      <c r="H425" s="8">
        <v>2.7838446595373432</v>
      </c>
      <c r="I425" s="8">
        <v>284</v>
      </c>
      <c r="J425" s="8">
        <v>2.6738760928606928</v>
      </c>
      <c r="K425" s="8">
        <v>611</v>
      </c>
      <c r="L425" s="8">
        <v>4.3339341460182981</v>
      </c>
      <c r="M425" s="8">
        <v>768</v>
      </c>
      <c r="N425" s="8">
        <v>2.768468481102258</v>
      </c>
      <c r="O425" s="8">
        <v>292</v>
      </c>
      <c r="P425" s="9">
        <v>1.3447801634470979</v>
      </c>
      <c r="Q425" s="9">
        <v>470</v>
      </c>
      <c r="R425" s="9">
        <v>4.6575655291148976</v>
      </c>
      <c r="S425" s="9">
        <v>124</v>
      </c>
      <c r="T425" s="9">
        <v>2.0799189119941341</v>
      </c>
      <c r="U425" s="9">
        <v>103</v>
      </c>
      <c r="V425" s="9">
        <v>0.44732677046846209</v>
      </c>
      <c r="W425" s="9">
        <v>445</v>
      </c>
      <c r="X425">
        <v>331.70908367815139</v>
      </c>
      <c r="Y425">
        <v>-0.76109178835341229</v>
      </c>
      <c r="Z425">
        <v>0.19104919825472119</v>
      </c>
      <c r="AA425">
        <v>-3.98374761739993</v>
      </c>
      <c r="AB425">
        <v>6.7836916840906857E-5</v>
      </c>
      <c r="AC425">
        <v>5.0604294764056519E-3</v>
      </c>
      <c r="AD425" t="s">
        <v>3545</v>
      </c>
      <c r="AE425" t="s">
        <v>3546</v>
      </c>
      <c r="AF425" t="s">
        <v>3547</v>
      </c>
      <c r="AG425" t="s">
        <v>3548</v>
      </c>
      <c r="AH425" t="s">
        <v>43</v>
      </c>
      <c r="AI425" t="s">
        <v>43</v>
      </c>
      <c r="AJ425" t="s">
        <v>43</v>
      </c>
      <c r="AK425" t="s">
        <v>43</v>
      </c>
      <c r="AL425" t="s">
        <v>43</v>
      </c>
      <c r="AM425" t="s">
        <v>2210</v>
      </c>
      <c r="AN425" t="s">
        <v>43</v>
      </c>
    </row>
    <row r="426" spans="1:40" x14ac:dyDescent="0.3">
      <c r="A426" t="s">
        <v>3549</v>
      </c>
      <c r="B426">
        <v>2015</v>
      </c>
      <c r="C426" t="str">
        <f>IF(Y426&lt;0, "Down", "Up")</f>
        <v>Down</v>
      </c>
      <c r="D426" s="7" t="str">
        <f>IF(AC426&lt;0.05, "Sig", "N")</f>
        <v>Sig</v>
      </c>
      <c r="E426" s="1" t="str">
        <f>IF(AND(H426&gt;2,J426&gt;2,L426&gt;2,N426&gt;2),"Y","N")</f>
        <v>Y</v>
      </c>
      <c r="F426" s="1" t="str">
        <f>IF(AND(P426&gt;2,R426&gt;2,T426&gt;2,V426&gt;2),"Y","N")</f>
        <v>N</v>
      </c>
      <c r="G426" s="1" t="str">
        <f>IF(OR(E426="Y", F426="Y"), "Expressed", "N")</f>
        <v>Expressed</v>
      </c>
      <c r="H426" s="8">
        <v>5.4434656144195541</v>
      </c>
      <c r="I426" s="8">
        <v>488</v>
      </c>
      <c r="J426" s="8">
        <v>2.6692783373294788</v>
      </c>
      <c r="K426" s="8">
        <v>536</v>
      </c>
      <c r="L426" s="8">
        <v>10.78203626684031</v>
      </c>
      <c r="M426" s="8">
        <v>1679</v>
      </c>
      <c r="N426" s="8">
        <v>3.1504209564106591</v>
      </c>
      <c r="O426" s="8">
        <v>292</v>
      </c>
      <c r="P426" s="9">
        <v>1.5303131090740429</v>
      </c>
      <c r="Q426" s="9">
        <v>366</v>
      </c>
      <c r="R426" s="9">
        <v>4.1273491151716684</v>
      </c>
      <c r="S426" s="9">
        <v>51</v>
      </c>
      <c r="T426" s="9">
        <v>0.97347297416685352</v>
      </c>
      <c r="U426" s="9">
        <v>67</v>
      </c>
      <c r="V426" s="9">
        <v>0.33112461911315771</v>
      </c>
      <c r="W426" s="9">
        <v>289</v>
      </c>
      <c r="X426">
        <v>390.87656184059961</v>
      </c>
      <c r="Y426">
        <v>-1.9728990285598029</v>
      </c>
      <c r="Z426">
        <v>0.38074494610870557</v>
      </c>
      <c r="AA426">
        <v>-5.1816814608394717</v>
      </c>
      <c r="AB426">
        <v>2.1989451625065631E-7</v>
      </c>
      <c r="AC426">
        <v>8.1517753771682738E-5</v>
      </c>
      <c r="AD426" t="s">
        <v>3550</v>
      </c>
      <c r="AE426" t="s">
        <v>3551</v>
      </c>
      <c r="AF426" t="s">
        <v>43</v>
      </c>
      <c r="AG426" t="s">
        <v>3552</v>
      </c>
      <c r="AH426" t="s">
        <v>43</v>
      </c>
      <c r="AI426" t="s">
        <v>43</v>
      </c>
      <c r="AJ426" t="s">
        <v>43</v>
      </c>
      <c r="AK426" t="s">
        <v>43</v>
      </c>
      <c r="AL426" t="s">
        <v>43</v>
      </c>
      <c r="AM426" t="s">
        <v>3553</v>
      </c>
      <c r="AN426" t="s">
        <v>1866</v>
      </c>
    </row>
    <row r="427" spans="1:40" x14ac:dyDescent="0.3">
      <c r="A427" t="s">
        <v>3554</v>
      </c>
      <c r="B427">
        <v>1486</v>
      </c>
      <c r="C427" t="str">
        <f>IF(Y427&lt;0, "Down", "Up")</f>
        <v>Down</v>
      </c>
      <c r="D427" s="7" t="str">
        <f>IF(AC427&lt;0.05, "Sig", "N")</f>
        <v>Sig</v>
      </c>
      <c r="E427" s="1" t="str">
        <f>IF(AND(H427&gt;2,J427&gt;2,L427&gt;2,N427&gt;2),"Y","N")</f>
        <v>Y</v>
      </c>
      <c r="F427" s="1" t="str">
        <f>IF(AND(P427&gt;2,R427&gt;2,T427&gt;2,V427&gt;2),"Y","N")</f>
        <v>N</v>
      </c>
      <c r="G427" s="1" t="str">
        <f>IF(OR(E427="Y", F427="Y"), "Expressed", "N")</f>
        <v>Expressed</v>
      </c>
      <c r="H427" s="8">
        <v>12.085334691038859</v>
      </c>
      <c r="I427" s="8">
        <v>799</v>
      </c>
      <c r="J427" s="8">
        <v>2.667364758440677</v>
      </c>
      <c r="K427" s="8">
        <v>395</v>
      </c>
      <c r="L427" s="8">
        <v>20.90732610560082</v>
      </c>
      <c r="M427" s="8">
        <v>2401</v>
      </c>
      <c r="N427" s="8">
        <v>7.4319998050320768</v>
      </c>
      <c r="O427" s="8">
        <v>508</v>
      </c>
      <c r="P427" s="9">
        <v>3.610084774586487</v>
      </c>
      <c r="Q427" s="9">
        <v>538</v>
      </c>
      <c r="R427" s="9">
        <v>8.2267563843305282</v>
      </c>
      <c r="S427" s="9">
        <v>66</v>
      </c>
      <c r="T427" s="9">
        <v>1.708259715969306</v>
      </c>
      <c r="U427" s="9">
        <v>98</v>
      </c>
      <c r="V427" s="9">
        <v>0.65674834310555474</v>
      </c>
      <c r="W427" s="9">
        <v>410</v>
      </c>
      <c r="X427">
        <v>562.1514916747177</v>
      </c>
      <c r="Y427">
        <v>-1.9834675879567449</v>
      </c>
      <c r="Z427">
        <v>0.61302379717112032</v>
      </c>
      <c r="AA427">
        <v>-3.2355474569008891</v>
      </c>
      <c r="AB427">
        <v>1.214097013683822E-3</v>
      </c>
      <c r="AC427">
        <v>3.4750219851710548E-2</v>
      </c>
      <c r="AD427" t="s">
        <v>3555</v>
      </c>
      <c r="AE427" t="s">
        <v>3556</v>
      </c>
      <c r="AF427" t="s">
        <v>3557</v>
      </c>
      <c r="AG427" t="s">
        <v>3558</v>
      </c>
      <c r="AH427" t="s">
        <v>43</v>
      </c>
      <c r="AI427" t="s">
        <v>43</v>
      </c>
      <c r="AJ427" t="s">
        <v>43</v>
      </c>
      <c r="AK427" t="s">
        <v>43</v>
      </c>
      <c r="AL427" t="s">
        <v>43</v>
      </c>
      <c r="AM427" t="s">
        <v>177</v>
      </c>
      <c r="AN427" t="s">
        <v>43</v>
      </c>
    </row>
    <row r="428" spans="1:40" x14ac:dyDescent="0.3">
      <c r="A428" t="s">
        <v>3559</v>
      </c>
      <c r="B428">
        <v>1434</v>
      </c>
      <c r="C428" t="str">
        <f>IF(Y428&lt;0, "Down", "Up")</f>
        <v>Down</v>
      </c>
      <c r="D428" s="7" t="str">
        <f>IF(AC428&lt;0.05, "Sig", "N")</f>
        <v>Sig</v>
      </c>
      <c r="E428" s="1" t="str">
        <f>IF(AND(H428&gt;2,J428&gt;2,L428&gt;2,N428&gt;2),"Y","N")</f>
        <v>Y</v>
      </c>
      <c r="F428" s="1" t="str">
        <f>IF(AND(P428&gt;2,R428&gt;2,T428&gt;2,V428&gt;2),"Y","N")</f>
        <v>N</v>
      </c>
      <c r="G428" s="1" t="str">
        <f>IF(OR(E428="Y", F428="Y"), "Expressed", "N")</f>
        <v>Expressed</v>
      </c>
      <c r="H428" s="8">
        <v>2.8526792886687522</v>
      </c>
      <c r="I428" s="8">
        <v>182</v>
      </c>
      <c r="J428" s="8">
        <v>2.666121561053131</v>
      </c>
      <c r="K428" s="8">
        <v>381</v>
      </c>
      <c r="L428" s="8">
        <v>2.0754096289412902</v>
      </c>
      <c r="M428" s="8">
        <v>230</v>
      </c>
      <c r="N428" s="8">
        <v>2.1831025026081772</v>
      </c>
      <c r="O428" s="8">
        <v>144</v>
      </c>
      <c r="P428" s="9">
        <v>1.060439358554776</v>
      </c>
      <c r="Q428" s="9">
        <v>253</v>
      </c>
      <c r="R428" s="9">
        <v>4.0090044702215142</v>
      </c>
      <c r="S428" s="9">
        <v>80</v>
      </c>
      <c r="T428" s="9">
        <v>2.14570300319546</v>
      </c>
      <c r="U428" s="9">
        <v>35</v>
      </c>
      <c r="V428" s="9">
        <v>0.24305838759086831</v>
      </c>
      <c r="W428" s="9">
        <v>201</v>
      </c>
      <c r="X428">
        <v>164.1472054852041</v>
      </c>
      <c r="Y428">
        <v>-0.78323374314353855</v>
      </c>
      <c r="Z428">
        <v>0.25655265076201578</v>
      </c>
      <c r="AA428">
        <v>-3.052916197970156</v>
      </c>
      <c r="AB428">
        <v>2.266292177020908E-3</v>
      </c>
      <c r="AC428">
        <v>4.9702856817373187E-2</v>
      </c>
      <c r="AD428" t="s">
        <v>3560</v>
      </c>
      <c r="AE428" t="s">
        <v>3561</v>
      </c>
      <c r="AF428" t="s">
        <v>3562</v>
      </c>
      <c r="AG428" t="s">
        <v>880</v>
      </c>
      <c r="AH428" t="s">
        <v>43</v>
      </c>
      <c r="AI428" t="s">
        <v>43</v>
      </c>
      <c r="AJ428" t="s">
        <v>43</v>
      </c>
      <c r="AK428" t="s">
        <v>43</v>
      </c>
      <c r="AL428" t="s">
        <v>43</v>
      </c>
      <c r="AM428" t="s">
        <v>362</v>
      </c>
      <c r="AN428" t="s">
        <v>43</v>
      </c>
    </row>
    <row r="429" spans="1:40" x14ac:dyDescent="0.3">
      <c r="A429" t="s">
        <v>3563</v>
      </c>
      <c r="B429">
        <v>1228</v>
      </c>
      <c r="C429" t="str">
        <f>IF(Y429&lt;0, "Down", "Up")</f>
        <v>Down</v>
      </c>
      <c r="D429" s="7" t="str">
        <f>IF(AC429&lt;0.05, "Sig", "N")</f>
        <v>Sig</v>
      </c>
      <c r="E429" s="1" t="str">
        <f>IF(AND(H429&gt;2,J429&gt;2,L429&gt;2,N429&gt;2),"Y","N")</f>
        <v>Y</v>
      </c>
      <c r="F429" s="1" t="str">
        <f>IF(AND(P429&gt;2,R429&gt;2,T429&gt;2,V429&gt;2),"Y","N")</f>
        <v>N</v>
      </c>
      <c r="G429" s="1" t="str">
        <f>IF(OR(E429="Y", F429="Y"), "Expressed", "N")</f>
        <v>Expressed</v>
      </c>
      <c r="H429" s="8">
        <v>2.233017755100855</v>
      </c>
      <c r="I429" s="8">
        <v>122</v>
      </c>
      <c r="J429" s="8">
        <v>2.647590207516354</v>
      </c>
      <c r="K429" s="8">
        <v>324</v>
      </c>
      <c r="L429" s="8">
        <v>4.0252247904634313</v>
      </c>
      <c r="M429" s="8">
        <v>382</v>
      </c>
      <c r="N429" s="8">
        <v>2.1421397011714811</v>
      </c>
      <c r="O429" s="8">
        <v>121</v>
      </c>
      <c r="P429" s="9">
        <v>1.0405417280824369</v>
      </c>
      <c r="Q429" s="9">
        <v>182</v>
      </c>
      <c r="R429" s="9">
        <v>3.367737182069797</v>
      </c>
      <c r="S429" s="9">
        <v>77</v>
      </c>
      <c r="T429" s="9">
        <v>2.4116880517796861</v>
      </c>
      <c r="U429" s="9">
        <v>58</v>
      </c>
      <c r="V429" s="9">
        <v>0.47035021434871332</v>
      </c>
      <c r="W429" s="9">
        <v>209</v>
      </c>
      <c r="X429">
        <v>158.96817770862901</v>
      </c>
      <c r="Y429">
        <v>-0.7096438657740628</v>
      </c>
      <c r="Z429">
        <v>0.2082345106171305</v>
      </c>
      <c r="AA429">
        <v>-3.4079070931659659</v>
      </c>
      <c r="AB429">
        <v>6.546317944387197E-4</v>
      </c>
      <c r="AC429">
        <v>2.3343597110286891E-2</v>
      </c>
      <c r="AD429" t="s">
        <v>3564</v>
      </c>
      <c r="AE429" t="s">
        <v>3565</v>
      </c>
      <c r="AF429" t="s">
        <v>43</v>
      </c>
      <c r="AG429" t="s">
        <v>3566</v>
      </c>
      <c r="AH429" t="s">
        <v>43</v>
      </c>
      <c r="AI429" t="s">
        <v>43</v>
      </c>
      <c r="AJ429" t="s">
        <v>43</v>
      </c>
      <c r="AK429" t="s">
        <v>43</v>
      </c>
      <c r="AL429" t="s">
        <v>43</v>
      </c>
      <c r="AM429" t="s">
        <v>3567</v>
      </c>
      <c r="AN429" t="s">
        <v>43</v>
      </c>
    </row>
    <row r="430" spans="1:40" x14ac:dyDescent="0.3">
      <c r="A430" t="s">
        <v>3568</v>
      </c>
      <c r="B430">
        <v>2380</v>
      </c>
      <c r="C430" t="str">
        <f>IF(Y430&lt;0, "Down", "Up")</f>
        <v>Down</v>
      </c>
      <c r="D430" s="7" t="str">
        <f>IF(AC430&lt;0.05, "Sig", "N")</f>
        <v>Sig</v>
      </c>
      <c r="E430" s="1" t="str">
        <f>IF(AND(H430&gt;2,J430&gt;2,L430&gt;2,N430&gt;2),"Y","N")</f>
        <v>Y</v>
      </c>
      <c r="F430" s="1" t="str">
        <f>IF(AND(P430&gt;2,R430&gt;2,T430&gt;2,V430&gt;2),"Y","N")</f>
        <v>N</v>
      </c>
      <c r="G430" s="1" t="str">
        <f>IF(OR(E430="Y", F430="Y"), "Expressed", "N")</f>
        <v>Expressed</v>
      </c>
      <c r="H430" s="8">
        <v>4.9769625234882531</v>
      </c>
      <c r="I430" s="8">
        <v>527</v>
      </c>
      <c r="J430" s="8">
        <v>2.6182961421950939</v>
      </c>
      <c r="K430" s="8">
        <v>621</v>
      </c>
      <c r="L430" s="8">
        <v>7.7366524140377706</v>
      </c>
      <c r="M430" s="8">
        <v>1423</v>
      </c>
      <c r="N430" s="8">
        <v>3.1970680032068279</v>
      </c>
      <c r="O430" s="8">
        <v>350</v>
      </c>
      <c r="P430" s="9">
        <v>1.552971854746271</v>
      </c>
      <c r="Q430" s="9">
        <v>727</v>
      </c>
      <c r="R430" s="9">
        <v>6.9410092707449973</v>
      </c>
      <c r="S430" s="9">
        <v>161</v>
      </c>
      <c r="T430" s="9">
        <v>2.6018226636541422</v>
      </c>
      <c r="U430" s="9">
        <v>148</v>
      </c>
      <c r="V430" s="9">
        <v>0.61926491854964183</v>
      </c>
      <c r="W430" s="9">
        <v>551</v>
      </c>
      <c r="X430">
        <v>484.83405525385871</v>
      </c>
      <c r="Y430">
        <v>-0.87892022446558704</v>
      </c>
      <c r="Z430">
        <v>0.28401667411559189</v>
      </c>
      <c r="AA430">
        <v>-3.0946078331579758</v>
      </c>
      <c r="AB430">
        <v>1.9707328191403721E-3</v>
      </c>
      <c r="AC430">
        <v>4.6021992025331172E-2</v>
      </c>
      <c r="AD430" t="s">
        <v>3569</v>
      </c>
      <c r="AE430" t="s">
        <v>3570</v>
      </c>
      <c r="AF430" t="s">
        <v>3571</v>
      </c>
      <c r="AG430" t="s">
        <v>3572</v>
      </c>
      <c r="AH430" t="s">
        <v>43</v>
      </c>
      <c r="AI430" t="s">
        <v>43</v>
      </c>
      <c r="AJ430" t="s">
        <v>43</v>
      </c>
      <c r="AK430" t="s">
        <v>43</v>
      </c>
      <c r="AL430" t="s">
        <v>43</v>
      </c>
      <c r="AM430" t="s">
        <v>3079</v>
      </c>
      <c r="AN430" t="s">
        <v>43</v>
      </c>
    </row>
    <row r="431" spans="1:40" x14ac:dyDescent="0.3">
      <c r="A431" t="s">
        <v>3573</v>
      </c>
      <c r="B431">
        <v>3229</v>
      </c>
      <c r="C431" t="str">
        <f>IF(Y431&lt;0, "Down", "Up")</f>
        <v>Down</v>
      </c>
      <c r="D431" s="7" t="str">
        <f>IF(AC431&lt;0.05, "Sig", "N")</f>
        <v>Sig</v>
      </c>
      <c r="E431" s="1" t="str">
        <f>IF(AND(H431&gt;2,J431&gt;2,L431&gt;2,N431&gt;2),"Y","N")</f>
        <v>Y</v>
      </c>
      <c r="F431" s="1" t="str">
        <f>IF(AND(P431&gt;2,R431&gt;2,T431&gt;2,V431&gt;2),"Y","N")</f>
        <v>N</v>
      </c>
      <c r="G431" s="1" t="str">
        <f>IF(OR(E431="Y", F431="Y"), "Expressed", "N")</f>
        <v>Expressed</v>
      </c>
      <c r="H431" s="8">
        <v>2.2970825741032108</v>
      </c>
      <c r="I431" s="8">
        <v>330</v>
      </c>
      <c r="J431" s="8">
        <v>2.5886961577309209</v>
      </c>
      <c r="K431" s="8">
        <v>833</v>
      </c>
      <c r="L431" s="8">
        <v>2.143931373594556</v>
      </c>
      <c r="M431" s="8">
        <v>535</v>
      </c>
      <c r="N431" s="8">
        <v>2.5786447530355718</v>
      </c>
      <c r="O431" s="8">
        <v>383</v>
      </c>
      <c r="P431" s="9">
        <v>1.2525735207498261</v>
      </c>
      <c r="Q431" s="9">
        <v>393</v>
      </c>
      <c r="R431" s="9">
        <v>2.7656019708337078</v>
      </c>
      <c r="S431" s="9">
        <v>254</v>
      </c>
      <c r="T431" s="9">
        <v>3.0254811051095598</v>
      </c>
      <c r="U431" s="9">
        <v>107</v>
      </c>
      <c r="V431" s="9">
        <v>0.32999507034612802</v>
      </c>
      <c r="W431" s="9">
        <v>335</v>
      </c>
      <c r="X431">
        <v>364.43440916903103</v>
      </c>
      <c r="Y431">
        <v>-0.79922418975478471</v>
      </c>
      <c r="Z431">
        <v>0.2265111072222937</v>
      </c>
      <c r="AA431">
        <v>-3.528410591231808</v>
      </c>
      <c r="AB431">
        <v>4.1806314811796661E-4</v>
      </c>
      <c r="AC431">
        <v>1.7103055866700551E-2</v>
      </c>
      <c r="AD431" t="s">
        <v>3574</v>
      </c>
      <c r="AE431" t="s">
        <v>3575</v>
      </c>
      <c r="AF431" t="s">
        <v>43</v>
      </c>
      <c r="AG431" t="s">
        <v>3127</v>
      </c>
      <c r="AH431" t="s">
        <v>43</v>
      </c>
      <c r="AI431" t="s">
        <v>43</v>
      </c>
      <c r="AJ431" t="s">
        <v>43</v>
      </c>
      <c r="AK431" t="s">
        <v>43</v>
      </c>
      <c r="AL431" t="s">
        <v>43</v>
      </c>
      <c r="AM431" t="s">
        <v>3128</v>
      </c>
      <c r="AN431" t="s">
        <v>43</v>
      </c>
    </row>
    <row r="432" spans="1:40" x14ac:dyDescent="0.3">
      <c r="A432" t="s">
        <v>3576</v>
      </c>
      <c r="B432">
        <v>1077</v>
      </c>
      <c r="C432" t="str">
        <f>IF(Y432&lt;0, "Down", "Up")</f>
        <v>Down</v>
      </c>
      <c r="D432" s="7" t="str">
        <f>IF(AC432&lt;0.05, "Sig", "N")</f>
        <v>Sig</v>
      </c>
      <c r="E432" s="1" t="str">
        <f>IF(AND(H432&gt;2,J432&gt;2,L432&gt;2,N432&gt;2),"Y","N")</f>
        <v>Y</v>
      </c>
      <c r="F432" s="1" t="str">
        <f>IF(AND(P432&gt;2,R432&gt;2,T432&gt;2,V432&gt;2),"Y","N")</f>
        <v>N</v>
      </c>
      <c r="G432" s="1" t="str">
        <f>IF(OR(E432="Y", F432="Y"), "Expressed", "N")</f>
        <v>Expressed</v>
      </c>
      <c r="H432" s="8">
        <v>12.855699764148531</v>
      </c>
      <c r="I432" s="8">
        <v>616</v>
      </c>
      <c r="J432" s="8">
        <v>2.5808822364017932</v>
      </c>
      <c r="K432" s="8">
        <v>277</v>
      </c>
      <c r="L432" s="8">
        <v>28.006040522462239</v>
      </c>
      <c r="M432" s="8">
        <v>2331</v>
      </c>
      <c r="N432" s="8">
        <v>7.5898453766009446</v>
      </c>
      <c r="O432" s="8">
        <v>376</v>
      </c>
      <c r="P432" s="9">
        <v>3.686758067052244</v>
      </c>
      <c r="Q432" s="9">
        <v>325</v>
      </c>
      <c r="R432" s="9">
        <v>6.8569791411024514</v>
      </c>
      <c r="S432" s="9">
        <v>62</v>
      </c>
      <c r="T432" s="9">
        <v>2.2141383775313601</v>
      </c>
      <c r="U432" s="9">
        <v>72</v>
      </c>
      <c r="V432" s="9">
        <v>0.6657459186094169</v>
      </c>
      <c r="W432" s="9">
        <v>362</v>
      </c>
      <c r="X432">
        <v>464.90054963247968</v>
      </c>
      <c r="Y432">
        <v>-2.1636845803599898</v>
      </c>
      <c r="Z432">
        <v>0.64315019653073857</v>
      </c>
      <c r="AA432">
        <v>-3.3641979618933062</v>
      </c>
      <c r="AB432">
        <v>7.6766458504403095E-4</v>
      </c>
      <c r="AC432">
        <v>2.574344130441273E-2</v>
      </c>
    </row>
    <row r="433" spans="1:40" x14ac:dyDescent="0.3">
      <c r="A433" t="s">
        <v>3583</v>
      </c>
      <c r="B433">
        <v>1349</v>
      </c>
      <c r="C433" t="str">
        <f>IF(Y433&lt;0, "Down", "Up")</f>
        <v>Down</v>
      </c>
      <c r="D433" s="7" t="str">
        <f>IF(AC433&lt;0.05, "Sig", "N")</f>
        <v>Sig</v>
      </c>
      <c r="E433" s="1" t="str">
        <f>IF(AND(H433&gt;2,J433&gt;2,L433&gt;2,N433&gt;2),"Y","N")</f>
        <v>Y</v>
      </c>
      <c r="F433" s="1" t="str">
        <f>IF(AND(P433&gt;2,R433&gt;2,T433&gt;2,V433&gt;2),"Y","N")</f>
        <v>N</v>
      </c>
      <c r="G433" s="1" t="str">
        <f>IF(OR(E433="Y", F433="Y"), "Expressed", "N")</f>
        <v>Expressed</v>
      </c>
      <c r="H433" s="8">
        <v>6.7979650240715701</v>
      </c>
      <c r="I433" s="8">
        <v>408</v>
      </c>
      <c r="J433" s="8">
        <v>2.5663227157665451</v>
      </c>
      <c r="K433" s="8">
        <v>345</v>
      </c>
      <c r="L433" s="8">
        <v>9.5633125847748897</v>
      </c>
      <c r="M433" s="8">
        <v>997</v>
      </c>
      <c r="N433" s="8">
        <v>4.1739630594869279</v>
      </c>
      <c r="O433" s="8">
        <v>259</v>
      </c>
      <c r="P433" s="9">
        <v>2.0274974281535449</v>
      </c>
      <c r="Q433" s="9">
        <v>399</v>
      </c>
      <c r="R433" s="9">
        <v>6.7208796201219556</v>
      </c>
      <c r="S433" s="9">
        <v>107</v>
      </c>
      <c r="T433" s="9">
        <v>3.0507077224268442</v>
      </c>
      <c r="U433" s="9">
        <v>83</v>
      </c>
      <c r="V433" s="9">
        <v>0.61271408255512716</v>
      </c>
      <c r="W433" s="9">
        <v>271</v>
      </c>
      <c r="X433">
        <v>317.12346325784318</v>
      </c>
      <c r="Y433">
        <v>-1.2184451425960701</v>
      </c>
      <c r="Z433">
        <v>0.31447545673616489</v>
      </c>
      <c r="AA433">
        <v>-3.874531752785741</v>
      </c>
      <c r="AB433">
        <v>1.068299138738127E-4</v>
      </c>
      <c r="AC433">
        <v>7.0747137921699727E-3</v>
      </c>
      <c r="AD433" t="s">
        <v>3584</v>
      </c>
      <c r="AE433" t="s">
        <v>3585</v>
      </c>
      <c r="AF433" t="s">
        <v>3586</v>
      </c>
      <c r="AG433" t="s">
        <v>3587</v>
      </c>
      <c r="AH433" t="s">
        <v>43</v>
      </c>
      <c r="AI433" t="s">
        <v>43</v>
      </c>
      <c r="AJ433" t="s">
        <v>43</v>
      </c>
      <c r="AK433" t="s">
        <v>43</v>
      </c>
      <c r="AL433" t="s">
        <v>43</v>
      </c>
      <c r="AM433" t="s">
        <v>3588</v>
      </c>
      <c r="AN433" t="s">
        <v>43</v>
      </c>
    </row>
    <row r="434" spans="1:40" x14ac:dyDescent="0.3">
      <c r="A434" t="s">
        <v>3592</v>
      </c>
      <c r="B434">
        <v>2170</v>
      </c>
      <c r="C434" t="str">
        <f>IF(Y434&lt;0, "Down", "Up")</f>
        <v>Down</v>
      </c>
      <c r="D434" s="7" t="str">
        <f>IF(AC434&lt;0.05, "Sig", "N")</f>
        <v>Sig</v>
      </c>
      <c r="E434" s="1" t="str">
        <f>IF(AND(H434&gt;2,J434&gt;2,L434&gt;2,N434&gt;2),"Y","N")</f>
        <v>Y</v>
      </c>
      <c r="F434" s="1" t="str">
        <f>IF(AND(P434&gt;2,R434&gt;2,T434&gt;2,V434&gt;2),"Y","N")</f>
        <v>N</v>
      </c>
      <c r="G434" s="1" t="str">
        <f>IF(OR(E434="Y", F434="Y"), "Expressed", "N")</f>
        <v>Expressed</v>
      </c>
      <c r="H434" s="8">
        <v>5.1789412315174328</v>
      </c>
      <c r="I434" s="8">
        <v>500</v>
      </c>
      <c r="J434" s="8">
        <v>2.557228407124418</v>
      </c>
      <c r="K434" s="8">
        <v>553</v>
      </c>
      <c r="L434" s="8">
        <v>8.336285506404991</v>
      </c>
      <c r="M434" s="8">
        <v>1398</v>
      </c>
      <c r="N434" s="8">
        <v>5.0893786683307223</v>
      </c>
      <c r="O434" s="8">
        <v>508</v>
      </c>
      <c r="P434" s="9">
        <v>2.472159435500239</v>
      </c>
      <c r="Q434" s="9">
        <v>627</v>
      </c>
      <c r="R434" s="9">
        <v>6.5655781884785842</v>
      </c>
      <c r="S434" s="9">
        <v>193</v>
      </c>
      <c r="T434" s="9">
        <v>3.4207894848524312</v>
      </c>
      <c r="U434" s="9">
        <v>169</v>
      </c>
      <c r="V434" s="9">
        <v>0.77556587227250251</v>
      </c>
      <c r="W434" s="9">
        <v>606</v>
      </c>
      <c r="X434">
        <v>507.78723441559259</v>
      </c>
      <c r="Y434">
        <v>-0.87991322254214188</v>
      </c>
      <c r="Z434">
        <v>0.2599170221393885</v>
      </c>
      <c r="AA434">
        <v>-3.3853620486243541</v>
      </c>
      <c r="AB434">
        <v>7.1084429444658146E-4</v>
      </c>
      <c r="AC434">
        <v>2.4694047997652371E-2</v>
      </c>
      <c r="AD434" t="s">
        <v>3593</v>
      </c>
      <c r="AE434" t="s">
        <v>3594</v>
      </c>
      <c r="AF434" t="s">
        <v>3595</v>
      </c>
      <c r="AG434" t="s">
        <v>3596</v>
      </c>
      <c r="AH434" t="s">
        <v>43</v>
      </c>
      <c r="AI434" t="s">
        <v>43</v>
      </c>
      <c r="AJ434" t="s">
        <v>43</v>
      </c>
      <c r="AK434" t="s">
        <v>43</v>
      </c>
      <c r="AL434" t="s">
        <v>43</v>
      </c>
      <c r="AM434" t="s">
        <v>3597</v>
      </c>
      <c r="AN434" t="s">
        <v>43</v>
      </c>
    </row>
    <row r="435" spans="1:40" x14ac:dyDescent="0.3">
      <c r="A435" t="s">
        <v>3598</v>
      </c>
      <c r="B435">
        <v>1086</v>
      </c>
      <c r="C435" t="str">
        <f>IF(Y435&lt;0, "Down", "Up")</f>
        <v>Down</v>
      </c>
      <c r="D435" s="7" t="str">
        <f>IF(AC435&lt;0.05, "Sig", "N")</f>
        <v>Sig</v>
      </c>
      <c r="E435" s="1" t="str">
        <f>IF(AND(H435&gt;2,J435&gt;2,L435&gt;2,N435&gt;2),"Y","N")</f>
        <v>Y</v>
      </c>
      <c r="F435" s="1" t="str">
        <f>IF(AND(P435&gt;2,R435&gt;2,T435&gt;2,V435&gt;2),"Y","N")</f>
        <v>N</v>
      </c>
      <c r="G435" s="1" t="str">
        <f>IF(OR(E435="Y", F435="Y"), "Expressed", "N")</f>
        <v>Expressed</v>
      </c>
      <c r="H435" s="8">
        <v>4.9051154437515656</v>
      </c>
      <c r="I435" s="8">
        <v>237</v>
      </c>
      <c r="J435" s="8">
        <v>2.541013610594641</v>
      </c>
      <c r="K435" s="8">
        <v>275</v>
      </c>
      <c r="L435" s="8">
        <v>5.6119814201367308</v>
      </c>
      <c r="M435" s="8">
        <v>471</v>
      </c>
      <c r="N435" s="8">
        <v>3.3030481580092639</v>
      </c>
      <c r="O435" s="8">
        <v>165</v>
      </c>
      <c r="P435" s="9">
        <v>1.60445158473786</v>
      </c>
      <c r="Q435" s="9">
        <v>193</v>
      </c>
      <c r="R435" s="9">
        <v>4.0382449107485376</v>
      </c>
      <c r="S435" s="9">
        <v>49</v>
      </c>
      <c r="T435" s="9">
        <v>1.7353817590070471</v>
      </c>
      <c r="U435" s="9">
        <v>54</v>
      </c>
      <c r="V435" s="9">
        <v>0.49517151542979421</v>
      </c>
      <c r="W435" s="9">
        <v>264</v>
      </c>
      <c r="X435">
        <v>188.00277538017849</v>
      </c>
      <c r="Y435">
        <v>-1.100675883283492</v>
      </c>
      <c r="Z435">
        <v>0.28222502154604467</v>
      </c>
      <c r="AA435">
        <v>-3.8999939737941269</v>
      </c>
      <c r="AB435">
        <v>9.619508234087767E-5</v>
      </c>
      <c r="AC435">
        <v>6.5114160944402134E-3</v>
      </c>
      <c r="AD435" t="s">
        <v>3599</v>
      </c>
      <c r="AE435" t="s">
        <v>3600</v>
      </c>
      <c r="AF435" t="s">
        <v>43</v>
      </c>
      <c r="AG435" t="s">
        <v>3601</v>
      </c>
      <c r="AH435" t="s">
        <v>43</v>
      </c>
      <c r="AI435" t="s">
        <v>43</v>
      </c>
      <c r="AJ435" t="s">
        <v>43</v>
      </c>
      <c r="AK435" t="s">
        <v>43</v>
      </c>
      <c r="AL435" t="s">
        <v>43</v>
      </c>
      <c r="AM435" t="s">
        <v>1850</v>
      </c>
      <c r="AN435" t="s">
        <v>43</v>
      </c>
    </row>
    <row r="436" spans="1:40" x14ac:dyDescent="0.3">
      <c r="A436" t="s">
        <v>3616</v>
      </c>
      <c r="B436">
        <v>961</v>
      </c>
      <c r="C436" t="str">
        <f>IF(Y436&lt;0, "Down", "Up")</f>
        <v>Down</v>
      </c>
      <c r="D436" s="7" t="str">
        <f>IF(AC436&lt;0.05, "Sig", "N")</f>
        <v>Sig</v>
      </c>
      <c r="E436" s="1" t="str">
        <f>IF(AND(H436&gt;2,J436&gt;2,L436&gt;2,N436&gt;2),"Y","N")</f>
        <v>Y</v>
      </c>
      <c r="F436" s="1" t="str">
        <f>IF(AND(P436&gt;2,R436&gt;2,T436&gt;2,V436&gt;2),"Y","N")</f>
        <v>N</v>
      </c>
      <c r="G436" s="1" t="str">
        <f>IF(OR(E436="Y", F436="Y"), "Expressed", "N")</f>
        <v>Expressed</v>
      </c>
      <c r="H436" s="8">
        <v>2.4324317526094781</v>
      </c>
      <c r="I436" s="8">
        <v>104</v>
      </c>
      <c r="J436" s="8">
        <v>2.495621026144287</v>
      </c>
      <c r="K436" s="8">
        <v>239</v>
      </c>
      <c r="L436" s="8">
        <v>2.1678420244862302</v>
      </c>
      <c r="M436" s="8">
        <v>161</v>
      </c>
      <c r="N436" s="8">
        <v>2.171744008838103</v>
      </c>
      <c r="O436" s="8">
        <v>96</v>
      </c>
      <c r="P436" s="9">
        <v>1.0549219841606301</v>
      </c>
      <c r="Q436" s="9">
        <v>144</v>
      </c>
      <c r="R436" s="9">
        <v>3.4048993229337929</v>
      </c>
      <c r="S436" s="9">
        <v>40</v>
      </c>
      <c r="T436" s="9">
        <v>1.600904321843023</v>
      </c>
      <c r="U436" s="9">
        <v>32</v>
      </c>
      <c r="V436" s="9">
        <v>0.3316028925158247</v>
      </c>
      <c r="W436" s="9">
        <v>127</v>
      </c>
      <c r="X436">
        <v>103.52301235848751</v>
      </c>
      <c r="Y436">
        <v>-0.80530575558213302</v>
      </c>
      <c r="Z436">
        <v>0.23878687373283869</v>
      </c>
      <c r="AA436">
        <v>-3.3724875366605418</v>
      </c>
      <c r="AB436">
        <v>7.4492457834465884E-4</v>
      </c>
      <c r="AC436">
        <v>2.5450154452636448E-2</v>
      </c>
      <c r="AD436" t="s">
        <v>3617</v>
      </c>
      <c r="AE436" t="s">
        <v>3618</v>
      </c>
      <c r="AF436" t="s">
        <v>43</v>
      </c>
      <c r="AG436" t="s">
        <v>3619</v>
      </c>
      <c r="AH436" t="s">
        <v>43</v>
      </c>
      <c r="AI436" t="s">
        <v>43</v>
      </c>
      <c r="AJ436" t="s">
        <v>43</v>
      </c>
      <c r="AK436" t="s">
        <v>43</v>
      </c>
      <c r="AL436" t="s">
        <v>43</v>
      </c>
      <c r="AM436" t="s">
        <v>3620</v>
      </c>
      <c r="AN436" t="s">
        <v>3621</v>
      </c>
    </row>
    <row r="437" spans="1:40" x14ac:dyDescent="0.3">
      <c r="A437" t="s">
        <v>3623</v>
      </c>
      <c r="B437">
        <v>1589</v>
      </c>
      <c r="C437" t="str">
        <f>IF(Y437&lt;0, "Down", "Up")</f>
        <v>Down</v>
      </c>
      <c r="D437" s="7" t="str">
        <f>IF(AC437&lt;0.05, "Sig", "N")</f>
        <v>Sig</v>
      </c>
      <c r="E437" s="1" t="str">
        <f>IF(AND(H437&gt;2,J437&gt;2,L437&gt;2,N437&gt;2),"Y","N")</f>
        <v>Y</v>
      </c>
      <c r="F437" s="1" t="str">
        <f>IF(AND(P437&gt;2,R437&gt;2,T437&gt;2,V437&gt;2),"Y","N")</f>
        <v>N</v>
      </c>
      <c r="G437" s="1" t="str">
        <f>IF(OR(E437="Y", F437="Y"), "Expressed", "N")</f>
        <v>Expressed</v>
      </c>
      <c r="H437" s="8">
        <v>2.899750795268131</v>
      </c>
      <c r="I437" s="8">
        <v>205</v>
      </c>
      <c r="J437" s="8">
        <v>2.456573863150405</v>
      </c>
      <c r="K437" s="8">
        <v>389</v>
      </c>
      <c r="L437" s="8">
        <v>5.8794735778726217</v>
      </c>
      <c r="M437" s="8">
        <v>722</v>
      </c>
      <c r="N437" s="8">
        <v>2.106966402113398</v>
      </c>
      <c r="O437" s="8">
        <v>154</v>
      </c>
      <c r="P437" s="9">
        <v>1.0234563412777189</v>
      </c>
      <c r="Q437" s="9">
        <v>345</v>
      </c>
      <c r="R437" s="9">
        <v>4.9335594802028018</v>
      </c>
      <c r="S437" s="9">
        <v>73</v>
      </c>
      <c r="T437" s="9">
        <v>1.766964142389138</v>
      </c>
      <c r="U437" s="9">
        <v>60</v>
      </c>
      <c r="V437" s="9">
        <v>0.37602703710003249</v>
      </c>
      <c r="W437" s="9">
        <v>239</v>
      </c>
      <c r="X437">
        <v>226.42019412625359</v>
      </c>
      <c r="Y437">
        <v>-0.98777345957017038</v>
      </c>
      <c r="Z437">
        <v>0.29931663072408099</v>
      </c>
      <c r="AA437">
        <v>-3.300095478091658</v>
      </c>
      <c r="AB437">
        <v>9.6651940139258496E-4</v>
      </c>
      <c r="AC437">
        <v>3.0081943152169478E-2</v>
      </c>
      <c r="AD437" t="s">
        <v>3624</v>
      </c>
      <c r="AE437" t="s">
        <v>3625</v>
      </c>
      <c r="AF437" t="s">
        <v>43</v>
      </c>
      <c r="AG437" t="s">
        <v>3626</v>
      </c>
      <c r="AH437" t="s">
        <v>43</v>
      </c>
      <c r="AI437" t="s">
        <v>43</v>
      </c>
      <c r="AJ437" t="s">
        <v>43</v>
      </c>
      <c r="AK437" t="s">
        <v>43</v>
      </c>
      <c r="AL437" t="s">
        <v>43</v>
      </c>
      <c r="AM437" t="s">
        <v>3627</v>
      </c>
      <c r="AN437" t="s">
        <v>43</v>
      </c>
    </row>
    <row r="438" spans="1:40" x14ac:dyDescent="0.3">
      <c r="A438" t="s">
        <v>3628</v>
      </c>
      <c r="B438">
        <v>1689</v>
      </c>
      <c r="C438" t="str">
        <f>IF(Y438&lt;0, "Down", "Up")</f>
        <v>Down</v>
      </c>
      <c r="D438" s="7" t="str">
        <f>IF(AC438&lt;0.05, "Sig", "N")</f>
        <v>Sig</v>
      </c>
      <c r="E438" s="1" t="str">
        <f>IF(AND(H438&gt;2,J438&gt;2,L438&gt;2,N438&gt;2),"Y","N")</f>
        <v>Y</v>
      </c>
      <c r="F438" s="1" t="str">
        <f>IF(AND(P438&gt;2,R438&gt;2,T438&gt;2,V438&gt;2),"Y","N")</f>
        <v>N</v>
      </c>
      <c r="G438" s="1" t="str">
        <f>IF(OR(E438="Y", F438="Y"), "Expressed", "N")</f>
        <v>Expressed</v>
      </c>
      <c r="H438" s="8">
        <v>3.0341420529373182</v>
      </c>
      <c r="I438" s="8">
        <v>228</v>
      </c>
      <c r="J438" s="8">
        <v>2.441834891080199</v>
      </c>
      <c r="K438" s="8">
        <v>411</v>
      </c>
      <c r="L438" s="8">
        <v>3.5164802178467598</v>
      </c>
      <c r="M438" s="8">
        <v>459</v>
      </c>
      <c r="N438" s="8">
        <v>2.0723209294913181</v>
      </c>
      <c r="O438" s="8">
        <v>161</v>
      </c>
      <c r="P438" s="9">
        <v>1.006627345515819</v>
      </c>
      <c r="Q438" s="9">
        <v>296</v>
      </c>
      <c r="R438" s="9">
        <v>3.9822381825392039</v>
      </c>
      <c r="S438" s="9">
        <v>114</v>
      </c>
      <c r="T438" s="9">
        <v>2.5959957382355019</v>
      </c>
      <c r="U438" s="9">
        <v>81</v>
      </c>
      <c r="V438" s="9">
        <v>0.47758105306994358</v>
      </c>
      <c r="W438" s="9">
        <v>219</v>
      </c>
      <c r="X438">
        <v>220.13121069053531</v>
      </c>
      <c r="Y438">
        <v>-0.71096931526086415</v>
      </c>
      <c r="Z438">
        <v>0.19848181595219519</v>
      </c>
      <c r="AA438">
        <v>-3.582037537545014</v>
      </c>
      <c r="AB438">
        <v>3.4092479007297139E-4</v>
      </c>
      <c r="AC438">
        <v>1.489860237875266E-2</v>
      </c>
    </row>
    <row r="439" spans="1:40" x14ac:dyDescent="0.3">
      <c r="A439" t="s">
        <v>3629</v>
      </c>
      <c r="B439">
        <v>2406</v>
      </c>
      <c r="C439" t="str">
        <f>IF(Y439&lt;0, "Down", "Up")</f>
        <v>Down</v>
      </c>
      <c r="D439" s="7" t="str">
        <f>IF(AC439&lt;0.05, "Sig", "N")</f>
        <v>Sig</v>
      </c>
      <c r="E439" s="1" t="str">
        <f>IF(AND(H439&gt;2,J439&gt;2,L439&gt;2,N439&gt;2),"Y","N")</f>
        <v>Y</v>
      </c>
      <c r="F439" s="1" t="str">
        <f>IF(AND(P439&gt;2,R439&gt;2,T439&gt;2,V439&gt;2),"Y","N")</f>
        <v>N</v>
      </c>
      <c r="G439" s="1" t="str">
        <f>IF(OR(E439="Y", F439="Y"), "Expressed", "N")</f>
        <v>Expressed</v>
      </c>
      <c r="H439" s="8">
        <v>2.8773043736467092</v>
      </c>
      <c r="I439" s="8">
        <v>308</v>
      </c>
      <c r="J439" s="8">
        <v>2.4356862633806018</v>
      </c>
      <c r="K439" s="8">
        <v>584</v>
      </c>
      <c r="L439" s="8">
        <v>7.0829682428108791</v>
      </c>
      <c r="M439" s="8">
        <v>1317</v>
      </c>
      <c r="N439" s="8">
        <v>2.5932659663584561</v>
      </c>
      <c r="O439" s="8">
        <v>287</v>
      </c>
      <c r="P439" s="9">
        <v>1.25967575715828</v>
      </c>
      <c r="Q439" s="9">
        <v>537</v>
      </c>
      <c r="R439" s="9">
        <v>5.0715864560105652</v>
      </c>
      <c r="S439" s="9">
        <v>169</v>
      </c>
      <c r="T439" s="9">
        <v>2.7015925811118402</v>
      </c>
      <c r="U439" s="9">
        <v>87</v>
      </c>
      <c r="V439" s="9">
        <v>0.36009355562357848</v>
      </c>
      <c r="W439" s="9">
        <v>401</v>
      </c>
      <c r="X439">
        <v>382.99172835702677</v>
      </c>
      <c r="Y439">
        <v>-0.98664400814337117</v>
      </c>
      <c r="Z439">
        <v>0.28820088559586088</v>
      </c>
      <c r="AA439">
        <v>-3.4234593211032842</v>
      </c>
      <c r="AB439">
        <v>6.1829505112485873E-4</v>
      </c>
      <c r="AC439">
        <v>2.2392788079980741E-2</v>
      </c>
    </row>
    <row r="440" spans="1:40" x14ac:dyDescent="0.3">
      <c r="A440" t="s">
        <v>3630</v>
      </c>
      <c r="B440">
        <v>2194</v>
      </c>
      <c r="C440" t="str">
        <f>IF(Y440&lt;0, "Down", "Up")</f>
        <v>Down</v>
      </c>
      <c r="D440" s="7" t="str">
        <f>IF(AC440&lt;0.05, "Sig", "N")</f>
        <v>Sig</v>
      </c>
      <c r="E440" s="1" t="str">
        <f>IF(AND(H440&gt;2,J440&gt;2,L440&gt;2,N440&gt;2),"Y","N")</f>
        <v>Y</v>
      </c>
      <c r="F440" s="1" t="str">
        <f>IF(AND(P440&gt;2,R440&gt;2,T440&gt;2,V440&gt;2),"Y","N")</f>
        <v>N</v>
      </c>
      <c r="G440" s="1" t="str">
        <f>IF(OR(E440="Y", F440="Y"), "Expressed", "N")</f>
        <v>Expressed</v>
      </c>
      <c r="H440" s="8">
        <v>2.6431012195782588</v>
      </c>
      <c r="I440" s="8">
        <v>258</v>
      </c>
      <c r="J440" s="8">
        <v>2.4103389270618152</v>
      </c>
      <c r="K440" s="8">
        <v>527</v>
      </c>
      <c r="L440" s="8">
        <v>4.446925618401897</v>
      </c>
      <c r="M440" s="8">
        <v>754</v>
      </c>
      <c r="N440" s="8">
        <v>4.9643442449065729</v>
      </c>
      <c r="O440" s="8">
        <v>501</v>
      </c>
      <c r="P440" s="9">
        <v>2.4114241179350939</v>
      </c>
      <c r="Q440" s="9">
        <v>277</v>
      </c>
      <c r="R440" s="9">
        <v>2.8688531381894018</v>
      </c>
      <c r="S440" s="9">
        <v>79</v>
      </c>
      <c r="T440" s="9">
        <v>1.384902634571564</v>
      </c>
      <c r="U440" s="9">
        <v>101</v>
      </c>
      <c r="V440" s="9">
        <v>0.45843363078963167</v>
      </c>
      <c r="W440" s="9">
        <v>218</v>
      </c>
      <c r="X440">
        <v>314.06434461330838</v>
      </c>
      <c r="Y440">
        <v>-1.5182172161244021</v>
      </c>
      <c r="Z440">
        <v>0.28430940768089741</v>
      </c>
      <c r="AA440">
        <v>-5.3400175129920981</v>
      </c>
      <c r="AB440">
        <v>9.2937603162868723E-8</v>
      </c>
      <c r="AC440">
        <v>4.308295713679495E-5</v>
      </c>
      <c r="AD440" t="s">
        <v>3631</v>
      </c>
      <c r="AE440" t="s">
        <v>3632</v>
      </c>
      <c r="AF440" t="s">
        <v>3633</v>
      </c>
      <c r="AG440" t="s">
        <v>3634</v>
      </c>
      <c r="AH440" t="s">
        <v>3635</v>
      </c>
      <c r="AI440" t="s">
        <v>3636</v>
      </c>
      <c r="AJ440" t="s">
        <v>3637</v>
      </c>
      <c r="AK440" t="s">
        <v>1017</v>
      </c>
      <c r="AL440" t="s">
        <v>3638</v>
      </c>
      <c r="AM440" t="s">
        <v>2033</v>
      </c>
      <c r="AN440" t="s">
        <v>43</v>
      </c>
    </row>
    <row r="441" spans="1:40" x14ac:dyDescent="0.3">
      <c r="A441" t="s">
        <v>3639</v>
      </c>
      <c r="B441">
        <v>858</v>
      </c>
      <c r="C441" t="str">
        <f>IF(Y441&lt;0, "Down", "Up")</f>
        <v>Down</v>
      </c>
      <c r="D441" s="7" t="str">
        <f>IF(AC441&lt;0.05, "Sig", "N")</f>
        <v>Sig</v>
      </c>
      <c r="E441" s="1" t="str">
        <f>IF(AND(H441&gt;2,J441&gt;2,L441&gt;2,N441&gt;2),"Y","N")</f>
        <v>Y</v>
      </c>
      <c r="F441" s="1" t="str">
        <f>IF(AND(P441&gt;2,R441&gt;2,T441&gt;2,V441&gt;2),"Y","N")</f>
        <v>N</v>
      </c>
      <c r="G441" s="1" t="str">
        <f>IF(OR(E441="Y", F441="Y"), "Expressed", "N")</f>
        <v>Expressed</v>
      </c>
      <c r="H441" s="8">
        <v>4.3486205371030531</v>
      </c>
      <c r="I441" s="8">
        <v>166</v>
      </c>
      <c r="J441" s="8">
        <v>2.4092621356549722</v>
      </c>
      <c r="K441" s="8">
        <v>206</v>
      </c>
      <c r="L441" s="8">
        <v>4.6601117819076689</v>
      </c>
      <c r="M441" s="8">
        <v>309</v>
      </c>
      <c r="N441" s="8">
        <v>2.103059651526729</v>
      </c>
      <c r="O441" s="8">
        <v>83</v>
      </c>
      <c r="P441" s="9">
        <v>1.0215586419799481</v>
      </c>
      <c r="Q441" s="9">
        <v>124</v>
      </c>
      <c r="R441" s="9">
        <v>3.2839729257161561</v>
      </c>
      <c r="S441" s="9">
        <v>56</v>
      </c>
      <c r="T441" s="9">
        <v>2.5103224645776261</v>
      </c>
      <c r="U441" s="9">
        <v>18</v>
      </c>
      <c r="V441" s="9">
        <v>0.20891851816501811</v>
      </c>
      <c r="W441" s="9">
        <v>77</v>
      </c>
      <c r="X441">
        <v>114.8203504733636</v>
      </c>
      <c r="Y441">
        <v>-1.4263106049615151</v>
      </c>
      <c r="Z441">
        <v>0.32122067691139111</v>
      </c>
      <c r="AA441">
        <v>-4.440282670081551</v>
      </c>
      <c r="AB441">
        <v>8.9840793093972037E-6</v>
      </c>
      <c r="AC441">
        <v>1.1535914195963161E-3</v>
      </c>
      <c r="AD441" t="s">
        <v>3640</v>
      </c>
      <c r="AE441" t="s">
        <v>3641</v>
      </c>
      <c r="AF441" t="s">
        <v>3642</v>
      </c>
      <c r="AG441" t="s">
        <v>3643</v>
      </c>
      <c r="AH441" t="s">
        <v>43</v>
      </c>
      <c r="AI441" t="s">
        <v>43</v>
      </c>
      <c r="AJ441" t="s">
        <v>43</v>
      </c>
      <c r="AK441" t="s">
        <v>43</v>
      </c>
      <c r="AL441" t="s">
        <v>43</v>
      </c>
      <c r="AM441" t="s">
        <v>3644</v>
      </c>
      <c r="AN441" t="s">
        <v>43</v>
      </c>
    </row>
    <row r="442" spans="1:40" x14ac:dyDescent="0.3">
      <c r="A442" t="s">
        <v>3645</v>
      </c>
      <c r="B442">
        <v>1690</v>
      </c>
      <c r="C442" t="str">
        <f>IF(Y442&lt;0, "Down", "Up")</f>
        <v>Down</v>
      </c>
      <c r="D442" s="7" t="str">
        <f>IF(AC442&lt;0.05, "Sig", "N")</f>
        <v>Sig</v>
      </c>
      <c r="E442" s="1" t="str">
        <f>IF(AND(H442&gt;2,J442&gt;2,L442&gt;2,N442&gt;2),"Y","N")</f>
        <v>Y</v>
      </c>
      <c r="F442" s="1" t="str">
        <f>IF(AND(P442&gt;2,R442&gt;2,T442&gt;2,V442&gt;2),"Y","N")</f>
        <v>N</v>
      </c>
      <c r="G442" s="1" t="str">
        <f>IF(OR(E442="Y", F442="Y"), "Expressed", "N")</f>
        <v>Expressed</v>
      </c>
      <c r="H442" s="8">
        <v>9.3896349650998072</v>
      </c>
      <c r="I442" s="8">
        <v>706</v>
      </c>
      <c r="J442" s="8">
        <v>2.3869508208811689</v>
      </c>
      <c r="K442" s="8">
        <v>402</v>
      </c>
      <c r="L442" s="8">
        <v>20.098689724060339</v>
      </c>
      <c r="M442" s="8">
        <v>2625</v>
      </c>
      <c r="N442" s="8">
        <v>4.9268898861253616</v>
      </c>
      <c r="O442" s="8">
        <v>383</v>
      </c>
      <c r="P442" s="9">
        <v>2.3932307091723009</v>
      </c>
      <c r="Q442" s="9">
        <v>363</v>
      </c>
      <c r="R442" s="9">
        <v>4.8807334587039497</v>
      </c>
      <c r="S442" s="9">
        <v>8</v>
      </c>
      <c r="T442" s="9">
        <v>0.18206734358475091</v>
      </c>
      <c r="U442" s="9">
        <v>20</v>
      </c>
      <c r="V442" s="9">
        <v>0.1178514717853948</v>
      </c>
      <c r="W442" s="9">
        <v>238</v>
      </c>
      <c r="X442">
        <v>484.08403436368371</v>
      </c>
      <c r="Y442">
        <v>-3.0003644205213522</v>
      </c>
      <c r="Z442">
        <v>0.92630526853356032</v>
      </c>
      <c r="AA442">
        <v>-3.2390665609310929</v>
      </c>
      <c r="AB442">
        <v>1.199215839991374E-3</v>
      </c>
      <c r="AC442">
        <v>3.449131495021418E-2</v>
      </c>
    </row>
    <row r="443" spans="1:40" x14ac:dyDescent="0.3">
      <c r="A443" t="s">
        <v>3647</v>
      </c>
      <c r="B443">
        <v>1804</v>
      </c>
      <c r="C443" t="str">
        <f>IF(Y443&lt;0, "Down", "Up")</f>
        <v>Down</v>
      </c>
      <c r="D443" s="7" t="str">
        <f>IF(AC443&lt;0.05, "Sig", "N")</f>
        <v>Sig</v>
      </c>
      <c r="E443" s="1" t="str">
        <f>IF(AND(H443&gt;2,J443&gt;2,L443&gt;2,N443&gt;2),"Y","N")</f>
        <v>Y</v>
      </c>
      <c r="F443" s="1" t="str">
        <f>IF(AND(P443&gt;2,R443&gt;2,T443&gt;2,V443&gt;2),"Y","N")</f>
        <v>N</v>
      </c>
      <c r="G443" s="1" t="str">
        <f>IF(OR(E443="Y", F443="Y"), "Expressed", "N")</f>
        <v>Expressed</v>
      </c>
      <c r="H443" s="8">
        <v>4.8715923134208383</v>
      </c>
      <c r="I443" s="8">
        <v>391</v>
      </c>
      <c r="J443" s="8">
        <v>2.3417993727988979</v>
      </c>
      <c r="K443" s="8">
        <v>421</v>
      </c>
      <c r="L443" s="8">
        <v>7.0508605802744606</v>
      </c>
      <c r="M443" s="8">
        <v>983</v>
      </c>
      <c r="N443" s="8">
        <v>2.892247772302408</v>
      </c>
      <c r="O443" s="8">
        <v>240</v>
      </c>
      <c r="P443" s="9">
        <v>1.4049058020764491</v>
      </c>
      <c r="Q443" s="9">
        <v>455</v>
      </c>
      <c r="R443" s="9">
        <v>5.7311270227019264</v>
      </c>
      <c r="S443" s="9">
        <v>132</v>
      </c>
      <c r="T443" s="9">
        <v>2.8142726584594109</v>
      </c>
      <c r="U443" s="9">
        <v>68</v>
      </c>
      <c r="V443" s="9">
        <v>0.37537392288186172</v>
      </c>
      <c r="W443" s="9">
        <v>324</v>
      </c>
      <c r="X443">
        <v>324.50745164559578</v>
      </c>
      <c r="Y443">
        <v>-1.080252879927643</v>
      </c>
      <c r="Z443">
        <v>0.2944827698635567</v>
      </c>
      <c r="AA443">
        <v>-3.668305892491297</v>
      </c>
      <c r="AB443">
        <v>2.4416295895077699E-4</v>
      </c>
      <c r="AC443">
        <v>1.2204018341467801E-2</v>
      </c>
      <c r="AD443" t="s">
        <v>3648</v>
      </c>
      <c r="AE443" t="s">
        <v>3649</v>
      </c>
      <c r="AF443" t="s">
        <v>3650</v>
      </c>
      <c r="AG443" t="s">
        <v>2868</v>
      </c>
      <c r="AH443" t="s">
        <v>43</v>
      </c>
      <c r="AI443" t="s">
        <v>43</v>
      </c>
      <c r="AJ443" t="s">
        <v>43</v>
      </c>
      <c r="AK443" t="s">
        <v>43</v>
      </c>
      <c r="AL443" t="s">
        <v>43</v>
      </c>
      <c r="AM443" t="s">
        <v>2869</v>
      </c>
      <c r="AN443" t="s">
        <v>43</v>
      </c>
    </row>
    <row r="444" spans="1:40" x14ac:dyDescent="0.3">
      <c r="A444" t="s">
        <v>3659</v>
      </c>
      <c r="B444">
        <v>1085</v>
      </c>
      <c r="C444" t="str">
        <f>IF(Y444&lt;0, "Down", "Up")</f>
        <v>Down</v>
      </c>
      <c r="D444" s="7" t="str">
        <f>IF(AC444&lt;0.05, "Sig", "N")</f>
        <v>Sig</v>
      </c>
      <c r="E444" s="1" t="str">
        <f>IF(AND(H444&gt;2,J444&gt;2,L444&gt;2,N444&gt;2),"Y","N")</f>
        <v>Y</v>
      </c>
      <c r="F444" s="1" t="str">
        <f>IF(AND(P444&gt;2,R444&gt;2,T444&gt;2,V444&gt;2),"Y","N")</f>
        <v>N</v>
      </c>
      <c r="G444" s="1" t="str">
        <f>IF(OR(E444="Y", F444="Y"), "Expressed", "N")</f>
        <v>Expressed</v>
      </c>
      <c r="H444" s="8">
        <v>3.3973854478754362</v>
      </c>
      <c r="I444" s="8">
        <v>164</v>
      </c>
      <c r="J444" s="8">
        <v>2.2936442855944139</v>
      </c>
      <c r="K444" s="8">
        <v>248</v>
      </c>
      <c r="L444" s="8">
        <v>3.4704707902201042</v>
      </c>
      <c r="M444" s="8">
        <v>291</v>
      </c>
      <c r="N444" s="8">
        <v>2.344320095254703</v>
      </c>
      <c r="O444" s="8">
        <v>117</v>
      </c>
      <c r="P444" s="9">
        <v>1.138750606116252</v>
      </c>
      <c r="Q444" s="9">
        <v>174</v>
      </c>
      <c r="R444" s="9">
        <v>3.6440529658541432</v>
      </c>
      <c r="S444" s="9">
        <v>43</v>
      </c>
      <c r="T444" s="9">
        <v>1.524289615011964</v>
      </c>
      <c r="U444" s="9">
        <v>13</v>
      </c>
      <c r="V444" s="9">
        <v>0.1193178265034619</v>
      </c>
      <c r="W444" s="9">
        <v>209</v>
      </c>
      <c r="X444">
        <v>132.083923012502</v>
      </c>
      <c r="Y444">
        <v>-1.114029642459027</v>
      </c>
      <c r="Z444">
        <v>0.35156229436906899</v>
      </c>
      <c r="AA444">
        <v>-3.1687972808867899</v>
      </c>
      <c r="AB444">
        <v>1.530711185894543E-3</v>
      </c>
      <c r="AC444">
        <v>3.9835502092602407E-2</v>
      </c>
      <c r="AD444" t="s">
        <v>3660</v>
      </c>
      <c r="AE444" t="s">
        <v>3661</v>
      </c>
      <c r="AF444" t="s">
        <v>43</v>
      </c>
      <c r="AG444" t="s">
        <v>43</v>
      </c>
      <c r="AH444" t="s">
        <v>43</v>
      </c>
      <c r="AI444" t="s">
        <v>43</v>
      </c>
      <c r="AJ444" t="s">
        <v>43</v>
      </c>
      <c r="AK444" t="s">
        <v>43</v>
      </c>
      <c r="AL444" t="s">
        <v>43</v>
      </c>
      <c r="AM444" t="s">
        <v>43</v>
      </c>
      <c r="AN444" t="s">
        <v>43</v>
      </c>
    </row>
    <row r="445" spans="1:40" x14ac:dyDescent="0.3">
      <c r="A445" t="s">
        <v>3662</v>
      </c>
      <c r="B445">
        <v>2043</v>
      </c>
      <c r="C445" t="str">
        <f>IF(Y445&lt;0, "Down", "Up")</f>
        <v>Down</v>
      </c>
      <c r="D445" s="7" t="str">
        <f>IF(AC445&lt;0.05, "Sig", "N")</f>
        <v>Sig</v>
      </c>
      <c r="E445" s="1" t="str">
        <f>IF(AND(H445&gt;2,J445&gt;2,L445&gt;2,N445&gt;2),"Y","N")</f>
        <v>Y</v>
      </c>
      <c r="F445" s="1" t="str">
        <f>IF(AND(P445&gt;2,R445&gt;2,T445&gt;2,V445&gt;2),"Y","N")</f>
        <v>N</v>
      </c>
      <c r="G445" s="1" t="str">
        <f>IF(OR(E445="Y", F445="Y"), "Expressed", "N")</f>
        <v>Expressed</v>
      </c>
      <c r="H445" s="8">
        <v>4.7197569854689414</v>
      </c>
      <c r="I445" s="8">
        <v>429</v>
      </c>
      <c r="J445" s="8">
        <v>2.2839611324063318</v>
      </c>
      <c r="K445" s="8">
        <v>465</v>
      </c>
      <c r="L445" s="8">
        <v>8.5504809650502125</v>
      </c>
      <c r="M445" s="8">
        <v>1350</v>
      </c>
      <c r="N445" s="8">
        <v>4.8736899604441239</v>
      </c>
      <c r="O445" s="8">
        <v>458</v>
      </c>
      <c r="P445" s="9">
        <v>2.3673889106322989</v>
      </c>
      <c r="Q445" s="9">
        <v>622</v>
      </c>
      <c r="R445" s="9">
        <v>6.9181056286000002</v>
      </c>
      <c r="S445" s="9">
        <v>71</v>
      </c>
      <c r="T445" s="9">
        <v>1.3366532401330311</v>
      </c>
      <c r="U445" s="9">
        <v>125</v>
      </c>
      <c r="V445" s="9">
        <v>0.60930306937505274</v>
      </c>
      <c r="W445" s="9">
        <v>452</v>
      </c>
      <c r="X445">
        <v>429.39410433119281</v>
      </c>
      <c r="Y445">
        <v>-1.171169816460109</v>
      </c>
      <c r="Z445">
        <v>0.36976565613556589</v>
      </c>
      <c r="AA445">
        <v>-3.167329894020031</v>
      </c>
      <c r="AB445">
        <v>1.5384568596876549E-3</v>
      </c>
      <c r="AC445">
        <v>3.9835502092602407E-2</v>
      </c>
      <c r="AD445" t="s">
        <v>3663</v>
      </c>
      <c r="AE445" t="s">
        <v>3664</v>
      </c>
      <c r="AF445" t="s">
        <v>43</v>
      </c>
      <c r="AG445" t="s">
        <v>43</v>
      </c>
      <c r="AH445" t="s">
        <v>43</v>
      </c>
      <c r="AI445" t="s">
        <v>43</v>
      </c>
      <c r="AJ445" t="s">
        <v>43</v>
      </c>
      <c r="AK445" t="s">
        <v>43</v>
      </c>
      <c r="AL445" t="s">
        <v>43</v>
      </c>
      <c r="AM445" t="s">
        <v>43</v>
      </c>
      <c r="AN445" t="s">
        <v>43</v>
      </c>
    </row>
    <row r="446" spans="1:40" x14ac:dyDescent="0.3">
      <c r="A446" t="s">
        <v>3665</v>
      </c>
      <c r="B446">
        <v>1525</v>
      </c>
      <c r="C446" t="str">
        <f>IF(Y446&lt;0, "Down", "Up")</f>
        <v>Down</v>
      </c>
      <c r="D446" s="7" t="str">
        <f>IF(AC446&lt;0.05, "Sig", "N")</f>
        <v>Sig</v>
      </c>
      <c r="E446" s="1" t="str">
        <f>IF(AND(H446&gt;2,J446&gt;2,L446&gt;2,N446&gt;2),"Y","N")</f>
        <v>Y</v>
      </c>
      <c r="F446" s="1" t="str">
        <f>IF(AND(P446&gt;2,R446&gt;2,T446&gt;2,V446&gt;2),"Y","N")</f>
        <v>N</v>
      </c>
      <c r="G446" s="1" t="str">
        <f>IF(OR(E446="Y", F446="Y"), "Expressed", "N")</f>
        <v>Expressed</v>
      </c>
      <c r="H446" s="8">
        <v>3.625734305847391</v>
      </c>
      <c r="I446" s="8">
        <v>246</v>
      </c>
      <c r="J446" s="8">
        <v>2.2833040859462428</v>
      </c>
      <c r="K446" s="8">
        <v>347</v>
      </c>
      <c r="L446" s="8">
        <v>2.206117536862354</v>
      </c>
      <c r="M446" s="8">
        <v>260</v>
      </c>
      <c r="N446" s="8">
        <v>2.8654115060872738</v>
      </c>
      <c r="O446" s="8">
        <v>201</v>
      </c>
      <c r="P446" s="9">
        <v>1.3918701187325919</v>
      </c>
      <c r="Q446" s="9">
        <v>244</v>
      </c>
      <c r="R446" s="9">
        <v>3.635675832599305</v>
      </c>
      <c r="S446" s="9">
        <v>50</v>
      </c>
      <c r="T446" s="9">
        <v>1.261040207615693</v>
      </c>
      <c r="U446" s="9">
        <v>51</v>
      </c>
      <c r="V446" s="9">
        <v>0.33303666731748133</v>
      </c>
      <c r="W446" s="9">
        <v>219</v>
      </c>
      <c r="X446">
        <v>184.22355168471859</v>
      </c>
      <c r="Y446">
        <v>-1.051270846201046</v>
      </c>
      <c r="Z446">
        <v>0.28194970770210892</v>
      </c>
      <c r="AA446">
        <v>-3.7285757618580542</v>
      </c>
      <c r="AB446">
        <v>1.9256501796163669E-4</v>
      </c>
      <c r="AC446">
        <v>1.048991279873045E-2</v>
      </c>
      <c r="AD446" t="s">
        <v>3666</v>
      </c>
      <c r="AE446" t="s">
        <v>3667</v>
      </c>
      <c r="AF446" t="s">
        <v>3668</v>
      </c>
      <c r="AG446" t="s">
        <v>1295</v>
      </c>
      <c r="AH446" t="s">
        <v>43</v>
      </c>
      <c r="AI446" t="s">
        <v>43</v>
      </c>
      <c r="AJ446" t="s">
        <v>43</v>
      </c>
      <c r="AK446" t="s">
        <v>43</v>
      </c>
      <c r="AL446" t="s">
        <v>43</v>
      </c>
      <c r="AM446" t="s">
        <v>130</v>
      </c>
      <c r="AN446" t="s">
        <v>43</v>
      </c>
    </row>
    <row r="447" spans="1:40" x14ac:dyDescent="0.3">
      <c r="A447" t="s">
        <v>3669</v>
      </c>
      <c r="B447">
        <v>1380</v>
      </c>
      <c r="C447" t="str">
        <f>IF(Y447&lt;0, "Down", "Up")</f>
        <v>Down</v>
      </c>
      <c r="D447" s="7" t="str">
        <f>IF(AC447&lt;0.05, "Sig", "N")</f>
        <v>Sig</v>
      </c>
      <c r="E447" s="1" t="str">
        <f>IF(AND(H447&gt;2,J447&gt;2,L447&gt;2,N447&gt;2),"Y","N")</f>
        <v>Y</v>
      </c>
      <c r="F447" s="1" t="str">
        <f>IF(AND(P447&gt;2,R447&gt;2,T447&gt;2,V447&gt;2),"Y","N")</f>
        <v>N</v>
      </c>
      <c r="G447" s="1" t="str">
        <f>IF(OR(E447="Y", F447="Y"), "Expressed", "N")</f>
        <v>Expressed</v>
      </c>
      <c r="H447" s="8">
        <v>4.2510100656442438</v>
      </c>
      <c r="I447" s="8">
        <v>261</v>
      </c>
      <c r="J447" s="8">
        <v>2.2759848866564139</v>
      </c>
      <c r="K447" s="8">
        <v>313</v>
      </c>
      <c r="L447" s="8">
        <v>4.4070087640638027</v>
      </c>
      <c r="M447" s="8">
        <v>470</v>
      </c>
      <c r="N447" s="8">
        <v>3.2452556948493658</v>
      </c>
      <c r="O447" s="8">
        <v>206</v>
      </c>
      <c r="P447" s="9">
        <v>1.576378966759838</v>
      </c>
      <c r="Q447" s="9">
        <v>249</v>
      </c>
      <c r="R447" s="9">
        <v>4.100014865567152</v>
      </c>
      <c r="S447" s="9">
        <v>68</v>
      </c>
      <c r="T447" s="9">
        <v>1.8952155004311211</v>
      </c>
      <c r="U447" s="9">
        <v>78</v>
      </c>
      <c r="V447" s="9">
        <v>0.56286887720111389</v>
      </c>
      <c r="W447" s="9">
        <v>274</v>
      </c>
      <c r="X447">
        <v>217.58015479671391</v>
      </c>
      <c r="Y447">
        <v>-0.9235157691632444</v>
      </c>
      <c r="Z447">
        <v>0.24396432701442131</v>
      </c>
      <c r="AA447">
        <v>-3.7854541295648239</v>
      </c>
      <c r="AB447">
        <v>1.534281343337228E-4</v>
      </c>
      <c r="AC447">
        <v>8.8769920367523115E-3</v>
      </c>
      <c r="AD447" t="s">
        <v>3670</v>
      </c>
      <c r="AE447" t="s">
        <v>3671</v>
      </c>
      <c r="AF447" t="s">
        <v>3672</v>
      </c>
      <c r="AG447" t="s">
        <v>43</v>
      </c>
      <c r="AH447" t="s">
        <v>43</v>
      </c>
      <c r="AI447" t="s">
        <v>43</v>
      </c>
      <c r="AJ447" t="s">
        <v>43</v>
      </c>
      <c r="AK447" t="s">
        <v>43</v>
      </c>
      <c r="AL447" t="s">
        <v>43</v>
      </c>
      <c r="AM447" t="s">
        <v>43</v>
      </c>
      <c r="AN447" t="s">
        <v>43</v>
      </c>
    </row>
    <row r="448" spans="1:40" x14ac:dyDescent="0.3">
      <c r="A448" t="s">
        <v>3673</v>
      </c>
      <c r="B448">
        <v>2349</v>
      </c>
      <c r="C448" t="str">
        <f>IF(Y448&lt;0, "Down", "Up")</f>
        <v>Down</v>
      </c>
      <c r="D448" s="7" t="str">
        <f>IF(AC448&lt;0.05, "Sig", "N")</f>
        <v>Sig</v>
      </c>
      <c r="E448" s="1" t="str">
        <f>IF(AND(H448&gt;2,J448&gt;2,L448&gt;2,N448&gt;2),"Y","N")</f>
        <v>Y</v>
      </c>
      <c r="F448" s="1" t="str">
        <f>IF(AND(P448&gt;2,R448&gt;2,T448&gt;2,V448&gt;2),"Y","N")</f>
        <v>N</v>
      </c>
      <c r="G448" s="1" t="str">
        <f>IF(OR(E448="Y", F448="Y"), "Expressed", "N")</f>
        <v>Expressed</v>
      </c>
      <c r="H448" s="8">
        <v>3.033241280330802</v>
      </c>
      <c r="I448" s="8">
        <v>317</v>
      </c>
      <c r="J448" s="8">
        <v>2.2641071465398239</v>
      </c>
      <c r="K448" s="8">
        <v>530</v>
      </c>
      <c r="L448" s="8">
        <v>3.3492356488502062</v>
      </c>
      <c r="M448" s="8">
        <v>608</v>
      </c>
      <c r="N448" s="8">
        <v>2.193441802455566</v>
      </c>
      <c r="O448" s="8">
        <v>237</v>
      </c>
      <c r="P448" s="9">
        <v>1.0654616607531251</v>
      </c>
      <c r="Q448" s="9">
        <v>337</v>
      </c>
      <c r="R448" s="9">
        <v>3.2599583748030172</v>
      </c>
      <c r="S448" s="9">
        <v>98</v>
      </c>
      <c r="T448" s="9">
        <v>1.6046186379579841</v>
      </c>
      <c r="U448" s="9">
        <v>100</v>
      </c>
      <c r="V448" s="9">
        <v>0.42394420459199073</v>
      </c>
      <c r="W448" s="9">
        <v>403</v>
      </c>
      <c r="X448">
        <v>289.28910691437551</v>
      </c>
      <c r="Y448">
        <v>-0.84188928689340792</v>
      </c>
      <c r="Z448">
        <v>0.2006394458303376</v>
      </c>
      <c r="AA448">
        <v>-4.1960307625915032</v>
      </c>
      <c r="AB448">
        <v>2.716333689446664E-5</v>
      </c>
      <c r="AC448">
        <v>2.6240623250523582E-3</v>
      </c>
      <c r="AD448" t="s">
        <v>3674</v>
      </c>
      <c r="AE448" t="s">
        <v>3675</v>
      </c>
      <c r="AF448" t="s">
        <v>3676</v>
      </c>
      <c r="AG448" t="s">
        <v>3677</v>
      </c>
      <c r="AH448" t="s">
        <v>43</v>
      </c>
      <c r="AI448" t="s">
        <v>43</v>
      </c>
      <c r="AJ448" t="s">
        <v>43</v>
      </c>
      <c r="AK448" t="s">
        <v>43</v>
      </c>
      <c r="AL448" t="s">
        <v>43</v>
      </c>
      <c r="AM448" t="s">
        <v>3678</v>
      </c>
      <c r="AN448" t="s">
        <v>43</v>
      </c>
    </row>
    <row r="449" spans="1:40" x14ac:dyDescent="0.3">
      <c r="A449" t="s">
        <v>3679</v>
      </c>
      <c r="B449">
        <v>1499</v>
      </c>
      <c r="C449" t="str">
        <f>IF(Y449&lt;0, "Down", "Up")</f>
        <v>Down</v>
      </c>
      <c r="D449" s="7" t="str">
        <f>IF(AC449&lt;0.05, "Sig", "N")</f>
        <v>Sig</v>
      </c>
      <c r="E449" s="1" t="str">
        <f>IF(AND(H449&gt;2,J449&gt;2,L449&gt;2,N449&gt;2),"Y","N")</f>
        <v>Y</v>
      </c>
      <c r="F449" s="1" t="str">
        <f>IF(AND(P449&gt;2,R449&gt;2,T449&gt;2,V449&gt;2),"Y","N")</f>
        <v>N</v>
      </c>
      <c r="G449" s="1" t="str">
        <f>IF(OR(E449="Y", F449="Y"), "Expressed", "N")</f>
        <v>Expressed</v>
      </c>
      <c r="H449" s="8">
        <v>2.234165534871956</v>
      </c>
      <c r="I449" s="8">
        <v>149</v>
      </c>
      <c r="J449" s="8">
        <v>2.2626594311692729</v>
      </c>
      <c r="K449" s="8">
        <v>338</v>
      </c>
      <c r="L449" s="8">
        <v>2.5724075399679189</v>
      </c>
      <c r="M449" s="8">
        <v>298</v>
      </c>
      <c r="N449" s="8">
        <v>21.537019810795559</v>
      </c>
      <c r="O449" s="8">
        <v>1485</v>
      </c>
      <c r="P449" s="9">
        <v>10.46158091342752</v>
      </c>
      <c r="Q449" s="9">
        <v>235</v>
      </c>
      <c r="R449" s="9">
        <v>3.562307457725304</v>
      </c>
      <c r="S449" s="9">
        <v>156</v>
      </c>
      <c r="T449" s="9">
        <v>4.0026879972217912</v>
      </c>
      <c r="U449" s="9">
        <v>111</v>
      </c>
      <c r="V449" s="9">
        <v>0.73741686431695175</v>
      </c>
      <c r="W449" s="9">
        <v>141</v>
      </c>
      <c r="X449">
        <v>418.50998077302461</v>
      </c>
      <c r="Y449">
        <v>-1.8764831305362311</v>
      </c>
      <c r="Z449">
        <v>0.90560346989223439</v>
      </c>
      <c r="AA449">
        <v>-2.072080323145769</v>
      </c>
      <c r="AD449" t="s">
        <v>3680</v>
      </c>
      <c r="AE449" t="s">
        <v>3681</v>
      </c>
      <c r="AF449" t="s">
        <v>3682</v>
      </c>
      <c r="AG449" t="s">
        <v>3683</v>
      </c>
      <c r="AH449" t="s">
        <v>43</v>
      </c>
      <c r="AI449" t="s">
        <v>43</v>
      </c>
      <c r="AJ449" t="s">
        <v>43</v>
      </c>
      <c r="AK449" t="s">
        <v>43</v>
      </c>
      <c r="AL449" t="s">
        <v>43</v>
      </c>
      <c r="AM449" t="s">
        <v>3185</v>
      </c>
      <c r="AN449" t="s">
        <v>43</v>
      </c>
    </row>
    <row r="450" spans="1:40" x14ac:dyDescent="0.3">
      <c r="A450" t="s">
        <v>3684</v>
      </c>
      <c r="B450">
        <v>4496</v>
      </c>
      <c r="C450" t="str">
        <f>IF(Y450&lt;0, "Down", "Up")</f>
        <v>Down</v>
      </c>
      <c r="D450" s="7" t="str">
        <f>IF(AC450&lt;0.05, "Sig", "N")</f>
        <v>Sig</v>
      </c>
      <c r="E450" s="1" t="str">
        <f>IF(AND(H450&gt;2,J450&gt;2,L450&gt;2,N450&gt;2),"Y","N")</f>
        <v>Y</v>
      </c>
      <c r="F450" s="1" t="str">
        <f>IF(AND(P450&gt;2,R450&gt;2,T450&gt;2,V450&gt;2),"Y","N")</f>
        <v>N</v>
      </c>
      <c r="G450" s="1" t="str">
        <f>IF(OR(E450="Y", F450="Y"), "Expressed", "N")</f>
        <v>Expressed</v>
      </c>
      <c r="H450" s="8">
        <v>2.7695816591217199</v>
      </c>
      <c r="I450" s="8">
        <v>554</v>
      </c>
      <c r="J450" s="8">
        <v>2.256466944110274</v>
      </c>
      <c r="K450" s="8">
        <v>1011</v>
      </c>
      <c r="L450" s="8">
        <v>2.5816138547190972</v>
      </c>
      <c r="M450" s="8">
        <v>897</v>
      </c>
      <c r="N450" s="8">
        <v>3.0221394603267391</v>
      </c>
      <c r="O450" s="8">
        <v>625</v>
      </c>
      <c r="P450" s="9">
        <v>1.4680005299536589</v>
      </c>
      <c r="Q450" s="9">
        <v>956</v>
      </c>
      <c r="R450" s="9">
        <v>4.8316643905206522</v>
      </c>
      <c r="S450" s="9">
        <v>240</v>
      </c>
      <c r="T450" s="9">
        <v>2.053117064000638</v>
      </c>
      <c r="U450" s="9">
        <v>155</v>
      </c>
      <c r="V450" s="9">
        <v>0.34331842787126521</v>
      </c>
      <c r="W450" s="9">
        <v>481</v>
      </c>
      <c r="X450">
        <v>553.7998377524184</v>
      </c>
      <c r="Y450">
        <v>-0.81877122529109592</v>
      </c>
      <c r="Z450">
        <v>0.23871367214353839</v>
      </c>
      <c r="AA450">
        <v>-3.4299301667093851</v>
      </c>
      <c r="AB450">
        <v>6.0373660914370369E-4</v>
      </c>
      <c r="AC450">
        <v>2.2067085972490259E-2</v>
      </c>
      <c r="AD450" t="s">
        <v>3685</v>
      </c>
      <c r="AE450" t="s">
        <v>3686</v>
      </c>
      <c r="AF450" t="s">
        <v>43</v>
      </c>
      <c r="AG450" t="s">
        <v>3687</v>
      </c>
      <c r="AH450" t="s">
        <v>43</v>
      </c>
      <c r="AI450" t="s">
        <v>43</v>
      </c>
      <c r="AJ450" t="s">
        <v>43</v>
      </c>
      <c r="AK450" t="s">
        <v>43</v>
      </c>
      <c r="AL450" t="s">
        <v>43</v>
      </c>
      <c r="AM450" t="s">
        <v>3688</v>
      </c>
      <c r="AN450" t="s">
        <v>43</v>
      </c>
    </row>
    <row r="451" spans="1:40" x14ac:dyDescent="0.3">
      <c r="A451" t="s">
        <v>3689</v>
      </c>
      <c r="B451">
        <v>1751</v>
      </c>
      <c r="C451" t="str">
        <f>IF(Y451&lt;0, "Down", "Up")</f>
        <v>Down</v>
      </c>
      <c r="D451" s="7" t="str">
        <f>IF(AC451&lt;0.05, "Sig", "N")</f>
        <v>Sig</v>
      </c>
      <c r="E451" s="1" t="str">
        <f>IF(AND(H451&gt;2,J451&gt;2,L451&gt;2,N451&gt;2),"Y","N")</f>
        <v>Y</v>
      </c>
      <c r="F451" s="1" t="str">
        <f>IF(AND(P451&gt;2,R451&gt;2,T451&gt;2,V451&gt;2),"Y","N")</f>
        <v>N</v>
      </c>
      <c r="G451" s="1" t="str">
        <f>IF(OR(E451="Y", F451="Y"), "Expressed", "N")</f>
        <v>Expressed</v>
      </c>
      <c r="H451" s="8">
        <v>4.415735066251437</v>
      </c>
      <c r="I451" s="8">
        <v>344</v>
      </c>
      <c r="J451" s="8">
        <v>2.252218528580181</v>
      </c>
      <c r="K451" s="8">
        <v>393</v>
      </c>
      <c r="L451" s="8">
        <v>7.9884899012784176</v>
      </c>
      <c r="M451" s="8">
        <v>1081</v>
      </c>
      <c r="N451" s="8">
        <v>5.8230092951611736</v>
      </c>
      <c r="O451" s="8">
        <v>469</v>
      </c>
      <c r="P451" s="9">
        <v>2.8285196111689359</v>
      </c>
      <c r="Q451" s="9">
        <v>363</v>
      </c>
      <c r="R451" s="9">
        <v>4.7107021960078086</v>
      </c>
      <c r="S451" s="9">
        <v>15</v>
      </c>
      <c r="T451" s="9">
        <v>0.32948366361175291</v>
      </c>
      <c r="U451" s="9">
        <v>40</v>
      </c>
      <c r="V451" s="9">
        <v>0.2274917045314874</v>
      </c>
      <c r="W451" s="9">
        <v>115</v>
      </c>
      <c r="X451">
        <v>308.86128967664831</v>
      </c>
      <c r="Y451">
        <v>-2.315768205325186</v>
      </c>
      <c r="Z451">
        <v>0.68280599356427818</v>
      </c>
      <c r="AA451">
        <v>-3.3915463940742101</v>
      </c>
      <c r="AB451">
        <v>6.9499395690404188E-4</v>
      </c>
      <c r="AC451">
        <v>2.437840820345008E-2</v>
      </c>
    </row>
    <row r="452" spans="1:40" x14ac:dyDescent="0.3">
      <c r="A452" t="s">
        <v>3690</v>
      </c>
      <c r="B452">
        <v>1227</v>
      </c>
      <c r="C452" t="str">
        <f>IF(Y452&lt;0, "Down", "Up")</f>
        <v>Down</v>
      </c>
      <c r="D452" s="7" t="str">
        <f>IF(AC452&lt;0.05, "Sig", "N")</f>
        <v>Sig</v>
      </c>
      <c r="E452" s="1" t="str">
        <f>IF(AND(H452&gt;2,J452&gt;2,L452&gt;2,N452&gt;2),"Y","N")</f>
        <v>Y</v>
      </c>
      <c r="F452" s="1" t="str">
        <f>IF(AND(P452&gt;2,R452&gt;2,T452&gt;2,V452&gt;2),"Y","N")</f>
        <v>N</v>
      </c>
      <c r="G452" s="1" t="str">
        <f>IF(OR(E452="Y", F452="Y"), "Expressed", "N")</f>
        <v>Expressed</v>
      </c>
      <c r="H452" s="8">
        <v>2.711114532867382</v>
      </c>
      <c r="I452" s="8">
        <v>148</v>
      </c>
      <c r="J452" s="8">
        <v>2.2490144915287531</v>
      </c>
      <c r="K452" s="8">
        <v>275</v>
      </c>
      <c r="L452" s="8">
        <v>3.5961264877024819</v>
      </c>
      <c r="M452" s="8">
        <v>341</v>
      </c>
      <c r="N452" s="8">
        <v>2.4805287196845152</v>
      </c>
      <c r="O452" s="8">
        <v>140</v>
      </c>
      <c r="P452" s="9">
        <v>1.2049137780916459</v>
      </c>
      <c r="Q452" s="9">
        <v>189</v>
      </c>
      <c r="R452" s="9">
        <v>3.5001157923862509</v>
      </c>
      <c r="S452" s="9">
        <v>103</v>
      </c>
      <c r="T452" s="9">
        <v>3.2286534736957599</v>
      </c>
      <c r="U452" s="9">
        <v>57</v>
      </c>
      <c r="V452" s="9">
        <v>0.46261745220403749</v>
      </c>
      <c r="W452" s="9">
        <v>196</v>
      </c>
      <c r="X452">
        <v>163.41866047093629</v>
      </c>
      <c r="Y452">
        <v>-0.62031677329872825</v>
      </c>
      <c r="Z452">
        <v>0.1849037562326461</v>
      </c>
      <c r="AA452">
        <v>-3.3548089337798261</v>
      </c>
      <c r="AB452">
        <v>7.9419818322093341E-4</v>
      </c>
      <c r="AC452">
        <v>2.6370482363842668E-2</v>
      </c>
      <c r="AD452" t="s">
        <v>3691</v>
      </c>
      <c r="AE452" t="s">
        <v>3692</v>
      </c>
      <c r="AF452" t="s">
        <v>3693</v>
      </c>
      <c r="AG452" t="s">
        <v>3694</v>
      </c>
      <c r="AH452" t="s">
        <v>43</v>
      </c>
      <c r="AI452" t="s">
        <v>43</v>
      </c>
      <c r="AJ452" t="s">
        <v>43</v>
      </c>
      <c r="AK452" t="s">
        <v>43</v>
      </c>
      <c r="AL452" t="s">
        <v>43</v>
      </c>
      <c r="AM452" t="s">
        <v>3695</v>
      </c>
      <c r="AN452" t="s">
        <v>43</v>
      </c>
    </row>
    <row r="453" spans="1:40" x14ac:dyDescent="0.3">
      <c r="A453" t="s">
        <v>3696</v>
      </c>
      <c r="B453">
        <v>2255</v>
      </c>
      <c r="C453" t="str">
        <f>IF(Y453&lt;0, "Down", "Up")</f>
        <v>Down</v>
      </c>
      <c r="D453" s="7" t="str">
        <f>IF(AC453&lt;0.05, "Sig", "N")</f>
        <v>Sig</v>
      </c>
      <c r="E453" s="1" t="str">
        <f>IF(AND(H453&gt;2,J453&gt;2,L453&gt;2,N453&gt;2),"Y","N")</f>
        <v>Y</v>
      </c>
      <c r="F453" s="1" t="str">
        <f>IF(AND(P453&gt;2,R453&gt;2,T453&gt;2,V453&gt;2),"Y","N")</f>
        <v>N</v>
      </c>
      <c r="G453" s="1" t="str">
        <f>IF(OR(E453="Y", F453="Y"), "Expressed", "N")</f>
        <v>Expressed</v>
      </c>
      <c r="H453" s="8">
        <v>3.239421998694163</v>
      </c>
      <c r="I453" s="8">
        <v>325</v>
      </c>
      <c r="J453" s="8">
        <v>2.2472374028759021</v>
      </c>
      <c r="K453" s="8">
        <v>505</v>
      </c>
      <c r="L453" s="8">
        <v>4.143008210749267</v>
      </c>
      <c r="M453" s="8">
        <v>722</v>
      </c>
      <c r="N453" s="8">
        <v>3.3646482417784669</v>
      </c>
      <c r="O453" s="8">
        <v>349</v>
      </c>
      <c r="P453" s="9">
        <v>1.6343737497489359</v>
      </c>
      <c r="Q453" s="9">
        <v>354</v>
      </c>
      <c r="R453" s="9">
        <v>3.5671542259982099</v>
      </c>
      <c r="S453" s="9">
        <v>97</v>
      </c>
      <c r="T453" s="9">
        <v>1.6544511992155331</v>
      </c>
      <c r="U453" s="9">
        <v>100</v>
      </c>
      <c r="V453" s="9">
        <v>0.44161637986101382</v>
      </c>
      <c r="W453" s="9">
        <v>324</v>
      </c>
      <c r="X453">
        <v>312.2239653956517</v>
      </c>
      <c r="Y453">
        <v>-1.1127133309045789</v>
      </c>
      <c r="Z453">
        <v>0.2071316722920353</v>
      </c>
      <c r="AA453">
        <v>-5.3720095946300406</v>
      </c>
      <c r="AB453">
        <v>7.7863964766153785E-8</v>
      </c>
      <c r="AC453">
        <v>3.8351246979195998E-5</v>
      </c>
      <c r="AD453" t="s">
        <v>3697</v>
      </c>
      <c r="AE453" t="s">
        <v>3698</v>
      </c>
      <c r="AF453" t="s">
        <v>43</v>
      </c>
      <c r="AG453" t="s">
        <v>3699</v>
      </c>
      <c r="AH453" t="s">
        <v>43</v>
      </c>
      <c r="AI453" t="s">
        <v>43</v>
      </c>
      <c r="AJ453" t="s">
        <v>43</v>
      </c>
      <c r="AK453" t="s">
        <v>43</v>
      </c>
      <c r="AL453" t="s">
        <v>43</v>
      </c>
      <c r="AM453" t="s">
        <v>1042</v>
      </c>
      <c r="AN453" t="s">
        <v>43</v>
      </c>
    </row>
    <row r="454" spans="1:40" x14ac:dyDescent="0.3">
      <c r="A454" t="s">
        <v>3706</v>
      </c>
      <c r="B454">
        <v>2528</v>
      </c>
      <c r="C454" t="str">
        <f>IF(Y454&lt;0, "Down", "Up")</f>
        <v>Down</v>
      </c>
      <c r="D454" s="7" t="str">
        <f>IF(AC454&lt;0.05, "Sig", "N")</f>
        <v>Sig</v>
      </c>
      <c r="E454" s="1" t="str">
        <f>IF(AND(H454&gt;2,J454&gt;2,L454&gt;2,N454&gt;2),"Y","N")</f>
        <v>Y</v>
      </c>
      <c r="F454" s="1" t="str">
        <f>IF(AND(P454&gt;2,R454&gt;2,T454&gt;2,V454&gt;2),"Y","N")</f>
        <v>N</v>
      </c>
      <c r="G454" s="1" t="str">
        <f>IF(OR(E454="Y", F454="Y"), "Expressed", "N")</f>
        <v>Expressed</v>
      </c>
      <c r="H454" s="8">
        <v>5.1568160079017726</v>
      </c>
      <c r="I454" s="8">
        <v>580</v>
      </c>
      <c r="J454" s="8">
        <v>2.2308140376603109</v>
      </c>
      <c r="K454" s="8">
        <v>562</v>
      </c>
      <c r="L454" s="8">
        <v>4.6169440388130036</v>
      </c>
      <c r="M454" s="8">
        <v>902</v>
      </c>
      <c r="N454" s="8">
        <v>2.8035048850905451</v>
      </c>
      <c r="O454" s="8">
        <v>326</v>
      </c>
      <c r="P454" s="9">
        <v>1.361799053639847</v>
      </c>
      <c r="Q454" s="9">
        <v>509</v>
      </c>
      <c r="R454" s="9">
        <v>4.5751557525540116</v>
      </c>
      <c r="S454" s="9">
        <v>119</v>
      </c>
      <c r="T454" s="9">
        <v>1.8105005670653309</v>
      </c>
      <c r="U454" s="9">
        <v>95</v>
      </c>
      <c r="V454" s="9">
        <v>0.37422970322676302</v>
      </c>
      <c r="W454" s="9">
        <v>644</v>
      </c>
      <c r="X454">
        <v>409.44114425471412</v>
      </c>
      <c r="Y454">
        <v>-0.9756686154262828</v>
      </c>
      <c r="Z454">
        <v>0.29438634259502572</v>
      </c>
      <c r="AA454">
        <v>-3.3142455143323928</v>
      </c>
      <c r="AB454">
        <v>9.1890783763213721E-4</v>
      </c>
      <c r="AC454">
        <v>2.9099056681424321E-2</v>
      </c>
    </row>
    <row r="455" spans="1:40" x14ac:dyDescent="0.3">
      <c r="A455" t="s">
        <v>3712</v>
      </c>
      <c r="B455">
        <v>2660</v>
      </c>
      <c r="C455" t="str">
        <f>IF(Y455&lt;0, "Down", "Up")</f>
        <v>Down</v>
      </c>
      <c r="D455" s="7" t="str">
        <f>IF(AC455&lt;0.05, "Sig", "N")</f>
        <v>Sig</v>
      </c>
      <c r="E455" s="1" t="str">
        <f>IF(AND(H455&gt;2,J455&gt;2,L455&gt;2,N455&gt;2),"Y","N")</f>
        <v>Y</v>
      </c>
      <c r="F455" s="1" t="str">
        <f>IF(AND(P455&gt;2,R455&gt;2,T455&gt;2,V455&gt;2),"Y","N")</f>
        <v>N</v>
      </c>
      <c r="G455" s="1" t="str">
        <f>IF(OR(E455="Y", F455="Y"), "Expressed", "N")</f>
        <v>Expressed</v>
      </c>
      <c r="H455" s="8">
        <v>3.2869922268878269</v>
      </c>
      <c r="I455" s="8">
        <v>389</v>
      </c>
      <c r="J455" s="8">
        <v>2.2181954604103868</v>
      </c>
      <c r="K455" s="8">
        <v>588</v>
      </c>
      <c r="L455" s="8">
        <v>3.424649779605875</v>
      </c>
      <c r="M455" s="8">
        <v>704</v>
      </c>
      <c r="N455" s="8">
        <v>2.190352153775986</v>
      </c>
      <c r="O455" s="8">
        <v>268</v>
      </c>
      <c r="P455" s="9">
        <v>1.0639608677028589</v>
      </c>
      <c r="Q455" s="9">
        <v>485</v>
      </c>
      <c r="R455" s="9">
        <v>4.1430986344235503</v>
      </c>
      <c r="S455" s="9">
        <v>124</v>
      </c>
      <c r="T455" s="9">
        <v>1.7929526560911839</v>
      </c>
      <c r="U455" s="9">
        <v>95</v>
      </c>
      <c r="V455" s="9">
        <v>0.35565890592378069</v>
      </c>
      <c r="W455" s="9">
        <v>448</v>
      </c>
      <c r="X455">
        <v>337.53039169786342</v>
      </c>
      <c r="Y455">
        <v>-0.81253413916954287</v>
      </c>
      <c r="Z455">
        <v>0.20999760664904399</v>
      </c>
      <c r="AA455">
        <v>-3.8692542840618231</v>
      </c>
      <c r="AB455">
        <v>1.0916873957107551E-4</v>
      </c>
      <c r="AC455">
        <v>7.1743724938910843E-3</v>
      </c>
      <c r="AD455" t="s">
        <v>3713</v>
      </c>
      <c r="AE455" t="s">
        <v>3714</v>
      </c>
      <c r="AF455" t="s">
        <v>3715</v>
      </c>
      <c r="AG455" t="s">
        <v>3415</v>
      </c>
      <c r="AH455" t="s">
        <v>43</v>
      </c>
      <c r="AI455" t="s">
        <v>43</v>
      </c>
      <c r="AJ455" t="s">
        <v>43</v>
      </c>
      <c r="AK455" t="s">
        <v>43</v>
      </c>
      <c r="AL455" t="s">
        <v>43</v>
      </c>
      <c r="AM455" t="s">
        <v>3416</v>
      </c>
      <c r="AN455" t="s">
        <v>43</v>
      </c>
    </row>
    <row r="456" spans="1:40" x14ac:dyDescent="0.3">
      <c r="A456" t="s">
        <v>3716</v>
      </c>
      <c r="B456">
        <v>1150</v>
      </c>
      <c r="C456" t="str">
        <f>IF(Y456&lt;0, "Down", "Up")</f>
        <v>Down</v>
      </c>
      <c r="D456" s="7" t="str">
        <f>IF(AC456&lt;0.05, "Sig", "N")</f>
        <v>Sig</v>
      </c>
      <c r="E456" s="1" t="str">
        <f>IF(AND(H456&gt;2,J456&gt;2,L456&gt;2,N456&gt;2),"Y","N")</f>
        <v>Y</v>
      </c>
      <c r="F456" s="1" t="str">
        <f>IF(AND(P456&gt;2,R456&gt;2,T456&gt;2,V456&gt;2),"Y","N")</f>
        <v>N</v>
      </c>
      <c r="G456" s="1" t="str">
        <f>IF(OR(E456="Y", F456="Y"), "Expressed", "N")</f>
        <v>Expressed</v>
      </c>
      <c r="H456" s="8">
        <v>5.8439172856442712</v>
      </c>
      <c r="I456" s="8">
        <v>299</v>
      </c>
      <c r="J456" s="8">
        <v>2.1901809835811878</v>
      </c>
      <c r="K456" s="8">
        <v>251</v>
      </c>
      <c r="L456" s="8">
        <v>13.55858441028991</v>
      </c>
      <c r="M456" s="8">
        <v>1205</v>
      </c>
      <c r="N456" s="8">
        <v>13.40322109309631</v>
      </c>
      <c r="O456" s="8">
        <v>709</v>
      </c>
      <c r="P456" s="9">
        <v>6.5105981792197589</v>
      </c>
      <c r="Q456" s="9">
        <v>308</v>
      </c>
      <c r="R456" s="9">
        <v>6.0858051980466632</v>
      </c>
      <c r="S456" s="9">
        <v>51</v>
      </c>
      <c r="T456" s="9">
        <v>1.705693950388008</v>
      </c>
      <c r="U456" s="9">
        <v>67</v>
      </c>
      <c r="V456" s="9">
        <v>0.58018791957653282</v>
      </c>
      <c r="W456" s="9">
        <v>182</v>
      </c>
      <c r="X456">
        <v>355.79743691947118</v>
      </c>
      <c r="Y456">
        <v>-2.11916444523035</v>
      </c>
      <c r="Z456">
        <v>0.59350431225769029</v>
      </c>
      <c r="AA456">
        <v>-3.570596542372285</v>
      </c>
      <c r="AB456">
        <v>3.561691472864848E-4</v>
      </c>
      <c r="AC456">
        <v>1.533936559634623E-2</v>
      </c>
    </row>
    <row r="457" spans="1:40" x14ac:dyDescent="0.3">
      <c r="A457" t="s">
        <v>3717</v>
      </c>
      <c r="B457">
        <v>1863</v>
      </c>
      <c r="C457" t="str">
        <f>IF(Y457&lt;0, "Down", "Up")</f>
        <v>Down</v>
      </c>
      <c r="D457" s="7" t="str">
        <f>IF(AC457&lt;0.05, "Sig", "N")</f>
        <v>Sig</v>
      </c>
      <c r="E457" s="1" t="str">
        <f>IF(AND(H457&gt;2,J457&gt;2,L457&gt;2,N457&gt;2),"Y","N")</f>
        <v>Y</v>
      </c>
      <c r="F457" s="1" t="str">
        <f>IF(AND(P457&gt;2,R457&gt;2,T457&gt;2,V457&gt;2),"Y","N")</f>
        <v>N</v>
      </c>
      <c r="G457" s="1" t="str">
        <f>IF(OR(E457="Y", F457="Y"), "Expressed", "N")</f>
        <v>Expressed</v>
      </c>
      <c r="H457" s="8">
        <v>3.547032664394516</v>
      </c>
      <c r="I457" s="8">
        <v>294</v>
      </c>
      <c r="J457" s="8">
        <v>2.1868414719737399</v>
      </c>
      <c r="K457" s="8">
        <v>406</v>
      </c>
      <c r="L457" s="8">
        <v>4.4938292676899607</v>
      </c>
      <c r="M457" s="8">
        <v>647</v>
      </c>
      <c r="N457" s="8">
        <v>2.5439257154878159</v>
      </c>
      <c r="O457" s="8">
        <v>218</v>
      </c>
      <c r="P457" s="9">
        <v>1.235708790915659</v>
      </c>
      <c r="Q457" s="9">
        <v>350</v>
      </c>
      <c r="R457" s="9">
        <v>4.2689430401561896</v>
      </c>
      <c r="S457" s="9">
        <v>103</v>
      </c>
      <c r="T457" s="9">
        <v>2.1264400495033269</v>
      </c>
      <c r="U457" s="9">
        <v>71</v>
      </c>
      <c r="V457" s="9">
        <v>0.37952222489343862</v>
      </c>
      <c r="W457" s="9">
        <v>335</v>
      </c>
      <c r="X457">
        <v>263.89593764239788</v>
      </c>
      <c r="Y457">
        <v>-0.89103548706697511</v>
      </c>
      <c r="Z457">
        <v>0.22055621447862719</v>
      </c>
      <c r="AA457">
        <v>-4.0399473176182932</v>
      </c>
      <c r="AB457">
        <v>5.346320917887607E-5</v>
      </c>
      <c r="AC457">
        <v>4.2846684454474178E-3</v>
      </c>
      <c r="AD457" t="s">
        <v>3718</v>
      </c>
      <c r="AE457" t="s">
        <v>3719</v>
      </c>
      <c r="AF457" t="s">
        <v>3720</v>
      </c>
      <c r="AG457" t="s">
        <v>3721</v>
      </c>
      <c r="AH457" t="s">
        <v>43</v>
      </c>
      <c r="AI457" t="s">
        <v>43</v>
      </c>
      <c r="AJ457" t="s">
        <v>43</v>
      </c>
      <c r="AK457" t="s">
        <v>43</v>
      </c>
      <c r="AL457" t="s">
        <v>43</v>
      </c>
      <c r="AM457" t="s">
        <v>3722</v>
      </c>
      <c r="AN457" t="s">
        <v>43</v>
      </c>
    </row>
    <row r="458" spans="1:40" x14ac:dyDescent="0.3">
      <c r="A458" t="s">
        <v>3723</v>
      </c>
      <c r="B458">
        <v>1851</v>
      </c>
      <c r="C458" t="str">
        <f>IF(Y458&lt;0, "Down", "Up")</f>
        <v>Down</v>
      </c>
      <c r="D458" s="7" t="str">
        <f>IF(AC458&lt;0.05, "Sig", "N")</f>
        <v>Sig</v>
      </c>
      <c r="E458" s="1" t="str">
        <f>IF(AND(H458&gt;2,J458&gt;2,L458&gt;2,N458&gt;2),"Y","N")</f>
        <v>Y</v>
      </c>
      <c r="F458" s="1" t="str">
        <f>IF(AND(P458&gt;2,R458&gt;2,T458&gt;2,V458&gt;2),"Y","N")</f>
        <v>N</v>
      </c>
      <c r="G458" s="1" t="str">
        <f>IF(OR(E458="Y", F458="Y"), "Expressed", "N")</f>
        <v>Expressed</v>
      </c>
      <c r="H458" s="8">
        <v>2.7321642963677868</v>
      </c>
      <c r="I458" s="8">
        <v>225</v>
      </c>
      <c r="J458" s="8">
        <v>2.1739125843002158</v>
      </c>
      <c r="K458" s="8">
        <v>401</v>
      </c>
      <c r="L458" s="8">
        <v>5.494665639280349</v>
      </c>
      <c r="M458" s="8">
        <v>786</v>
      </c>
      <c r="N458" s="8">
        <v>3.8758620200951501</v>
      </c>
      <c r="O458" s="8">
        <v>330</v>
      </c>
      <c r="P458" s="9">
        <v>1.8826952145060141</v>
      </c>
      <c r="Q458" s="9">
        <v>372</v>
      </c>
      <c r="R458" s="9">
        <v>4.5666916860039901</v>
      </c>
      <c r="S458" s="9">
        <v>102</v>
      </c>
      <c r="T458" s="9">
        <v>2.1194468319245918</v>
      </c>
      <c r="U458" s="9">
        <v>67</v>
      </c>
      <c r="V458" s="9">
        <v>0.36046251081200043</v>
      </c>
      <c r="W458" s="9">
        <v>273</v>
      </c>
      <c r="X458">
        <v>277.86830062926822</v>
      </c>
      <c r="Y458">
        <v>-1.1082916241830101</v>
      </c>
      <c r="Z458">
        <v>0.26104720831276451</v>
      </c>
      <c r="AA458">
        <v>-4.2455601473245776</v>
      </c>
      <c r="AB458">
        <v>2.1804800569804151E-5</v>
      </c>
      <c r="AC458">
        <v>2.2911515336502659E-3</v>
      </c>
      <c r="AD458" t="s">
        <v>3724</v>
      </c>
      <c r="AE458" t="s">
        <v>3725</v>
      </c>
      <c r="AF458" t="s">
        <v>3726</v>
      </c>
      <c r="AG458" t="s">
        <v>3727</v>
      </c>
      <c r="AH458" t="s">
        <v>43</v>
      </c>
      <c r="AI458" t="s">
        <v>43</v>
      </c>
      <c r="AJ458" t="s">
        <v>43</v>
      </c>
      <c r="AK458" t="s">
        <v>43</v>
      </c>
      <c r="AL458" t="s">
        <v>43</v>
      </c>
      <c r="AM458" t="s">
        <v>3728</v>
      </c>
      <c r="AN458" t="s">
        <v>43</v>
      </c>
    </row>
    <row r="459" spans="1:40" x14ac:dyDescent="0.3">
      <c r="A459" t="s">
        <v>3729</v>
      </c>
      <c r="B459">
        <v>1506</v>
      </c>
      <c r="C459" t="str">
        <f>IF(Y459&lt;0, "Down", "Up")</f>
        <v>Down</v>
      </c>
      <c r="D459" s="7" t="str">
        <f>IF(AC459&lt;0.05, "Sig", "N")</f>
        <v>Sig</v>
      </c>
      <c r="E459" s="1" t="str">
        <f>IF(AND(H459&gt;2,J459&gt;2,L459&gt;2,N459&gt;2),"Y","N")</f>
        <v>Y</v>
      </c>
      <c r="F459" s="1" t="str">
        <f>IF(AND(P459&gt;2,R459&gt;2,T459&gt;2,V459&gt;2),"Y","N")</f>
        <v>N</v>
      </c>
      <c r="G459" s="1" t="str">
        <f>IF(OR(E459="Y", F459="Y"), "Expressed", "N")</f>
        <v>Expressed</v>
      </c>
      <c r="H459" s="8">
        <v>3.4177573256015381</v>
      </c>
      <c r="I459" s="8">
        <v>229</v>
      </c>
      <c r="J459" s="8">
        <v>2.1655215594817778</v>
      </c>
      <c r="K459" s="8">
        <v>325</v>
      </c>
      <c r="L459" s="8">
        <v>4.596782473663227</v>
      </c>
      <c r="M459" s="8">
        <v>535</v>
      </c>
      <c r="N459" s="8">
        <v>2.454057511093688</v>
      </c>
      <c r="O459" s="8">
        <v>170</v>
      </c>
      <c r="P459" s="9">
        <v>1.192055421040298</v>
      </c>
      <c r="Q459" s="9">
        <v>281</v>
      </c>
      <c r="R459" s="9">
        <v>4.2398112091650271</v>
      </c>
      <c r="S459" s="9">
        <v>73</v>
      </c>
      <c r="T459" s="9">
        <v>1.8643466283242629</v>
      </c>
      <c r="U459" s="9">
        <v>76</v>
      </c>
      <c r="V459" s="9">
        <v>0.50255122961872878</v>
      </c>
      <c r="W459" s="9">
        <v>245</v>
      </c>
      <c r="X459">
        <v>212.95809353684419</v>
      </c>
      <c r="Y459">
        <v>-0.85849728175947759</v>
      </c>
      <c r="Z459">
        <v>0.24180553438042551</v>
      </c>
      <c r="AA459">
        <v>-3.550362418127408</v>
      </c>
      <c r="AB459">
        <v>3.8470115536917877E-4</v>
      </c>
      <c r="AC459">
        <v>1.6176695319279951E-2</v>
      </c>
      <c r="AD459" t="s">
        <v>3730</v>
      </c>
      <c r="AE459" t="s">
        <v>3731</v>
      </c>
      <c r="AF459" t="s">
        <v>43</v>
      </c>
      <c r="AG459" t="s">
        <v>3732</v>
      </c>
      <c r="AH459" t="s">
        <v>43</v>
      </c>
      <c r="AI459" t="s">
        <v>43</v>
      </c>
      <c r="AJ459" t="s">
        <v>43</v>
      </c>
      <c r="AK459" t="s">
        <v>43</v>
      </c>
      <c r="AL459" t="s">
        <v>43</v>
      </c>
      <c r="AM459" t="s">
        <v>3733</v>
      </c>
      <c r="AN459" t="s">
        <v>243</v>
      </c>
    </row>
    <row r="460" spans="1:40" x14ac:dyDescent="0.3">
      <c r="A460" t="s">
        <v>3734</v>
      </c>
      <c r="B460">
        <v>2702</v>
      </c>
      <c r="C460" t="str">
        <f>IF(Y460&lt;0, "Down", "Up")</f>
        <v>Down</v>
      </c>
      <c r="D460" s="7" t="str">
        <f>IF(AC460&lt;0.05, "Sig", "N")</f>
        <v>Sig</v>
      </c>
      <c r="E460" s="1" t="str">
        <f>IF(AND(H460&gt;2,J460&gt;2,L460&gt;2,N460&gt;2),"Y","N")</f>
        <v>Y</v>
      </c>
      <c r="F460" s="1" t="str">
        <f>IF(AND(P460&gt;2,R460&gt;2,T460&gt;2,V460&gt;2),"Y","N")</f>
        <v>N</v>
      </c>
      <c r="G460" s="1" t="str">
        <f>IF(OR(E460="Y", F460="Y"), "Expressed", "N")</f>
        <v>Expressed</v>
      </c>
      <c r="H460" s="8">
        <v>5.1574741176044068</v>
      </c>
      <c r="I460" s="8">
        <v>620</v>
      </c>
      <c r="J460" s="8">
        <v>2.1577191222965588</v>
      </c>
      <c r="K460" s="8">
        <v>581</v>
      </c>
      <c r="L460" s="8">
        <v>5.4881303212684243</v>
      </c>
      <c r="M460" s="8">
        <v>1146</v>
      </c>
      <c r="N460" s="8">
        <v>3.5321566999159968</v>
      </c>
      <c r="O460" s="8">
        <v>439</v>
      </c>
      <c r="P460" s="9">
        <v>1.7157407774939191</v>
      </c>
      <c r="Q460" s="9">
        <v>400</v>
      </c>
      <c r="R460" s="9">
        <v>3.3638747525900312</v>
      </c>
      <c r="S460" s="9">
        <v>28</v>
      </c>
      <c r="T460" s="9">
        <v>0.39856711225159203</v>
      </c>
      <c r="U460" s="9">
        <v>93</v>
      </c>
      <c r="V460" s="9">
        <v>0.34275936011307367</v>
      </c>
      <c r="W460" s="9">
        <v>326</v>
      </c>
      <c r="X460">
        <v>407.32642811684309</v>
      </c>
      <c r="Y460">
        <v>-1.8609431083676951</v>
      </c>
      <c r="Z460">
        <v>0.55280810702571936</v>
      </c>
      <c r="AA460">
        <v>-3.3663455450755801</v>
      </c>
      <c r="AB460">
        <v>7.6171225925726843E-4</v>
      </c>
      <c r="AC460">
        <v>2.5689588064708051E-2</v>
      </c>
      <c r="AD460" t="s">
        <v>3735</v>
      </c>
      <c r="AE460" t="s">
        <v>3736</v>
      </c>
      <c r="AF460" t="s">
        <v>3737</v>
      </c>
      <c r="AG460" t="s">
        <v>3738</v>
      </c>
      <c r="AH460" t="s">
        <v>43</v>
      </c>
      <c r="AI460" t="s">
        <v>43</v>
      </c>
      <c r="AJ460" t="s">
        <v>43</v>
      </c>
      <c r="AK460" t="s">
        <v>43</v>
      </c>
      <c r="AL460" t="s">
        <v>43</v>
      </c>
      <c r="AM460" t="s">
        <v>3737</v>
      </c>
      <c r="AN460" t="s">
        <v>43</v>
      </c>
    </row>
    <row r="461" spans="1:40" x14ac:dyDescent="0.3">
      <c r="A461" t="s">
        <v>3739</v>
      </c>
      <c r="B461">
        <v>2988</v>
      </c>
      <c r="C461" t="str">
        <f>IF(Y461&lt;0, "Down", "Up")</f>
        <v>Down</v>
      </c>
      <c r="D461" s="7" t="str">
        <f>IF(AC461&lt;0.05, "Sig", "N")</f>
        <v>Sig</v>
      </c>
      <c r="E461" s="1" t="str">
        <f>IF(AND(H461&gt;2,J461&gt;2,L461&gt;2,N461&gt;2),"Y","N")</f>
        <v>Y</v>
      </c>
      <c r="F461" s="1" t="str">
        <f>IF(AND(P461&gt;2,R461&gt;2,T461&gt;2,V461&gt;2),"Y","N")</f>
        <v>N</v>
      </c>
      <c r="G461" s="1" t="str">
        <f>IF(OR(E461="Y", F461="Y"), "Expressed", "N")</f>
        <v>Expressed</v>
      </c>
      <c r="H461" s="8">
        <v>4.7540877928730039</v>
      </c>
      <c r="I461" s="8">
        <v>632</v>
      </c>
      <c r="J461" s="8">
        <v>2.1493319945329179</v>
      </c>
      <c r="K461" s="8">
        <v>640</v>
      </c>
      <c r="L461" s="8">
        <v>8.8603357437970782</v>
      </c>
      <c r="M461" s="8">
        <v>2046</v>
      </c>
      <c r="N461" s="8">
        <v>3.274105786416631</v>
      </c>
      <c r="O461" s="8">
        <v>450</v>
      </c>
      <c r="P461" s="9">
        <v>1.590392863294374</v>
      </c>
      <c r="Q461" s="9">
        <v>467</v>
      </c>
      <c r="R461" s="9">
        <v>3.5514152732259778</v>
      </c>
      <c r="S461" s="9">
        <v>34</v>
      </c>
      <c r="T461" s="9">
        <v>0.43765016576220661</v>
      </c>
      <c r="U461" s="9">
        <v>33</v>
      </c>
      <c r="V461" s="9">
        <v>0.1099828745226149</v>
      </c>
      <c r="W461" s="9">
        <v>181</v>
      </c>
      <c r="X461">
        <v>467.28218265861562</v>
      </c>
      <c r="Y461">
        <v>-2.5956514416254892</v>
      </c>
      <c r="Z461">
        <v>0.64275930076161614</v>
      </c>
      <c r="AA461">
        <v>-4.0382946439668137</v>
      </c>
      <c r="AB461">
        <v>5.3841198585634273E-5</v>
      </c>
      <c r="AC461">
        <v>4.3003838410863686E-3</v>
      </c>
    </row>
    <row r="462" spans="1:40" x14ac:dyDescent="0.3">
      <c r="A462" t="s">
        <v>3740</v>
      </c>
      <c r="B462">
        <v>2883</v>
      </c>
      <c r="C462" t="str">
        <f>IF(Y462&lt;0, "Down", "Up")</f>
        <v>Down</v>
      </c>
      <c r="D462" s="7" t="str">
        <f>IF(AC462&lt;0.05, "Sig", "N")</f>
        <v>Sig</v>
      </c>
      <c r="E462" s="1" t="str">
        <f>IF(AND(H462&gt;2,J462&gt;2,L462&gt;2,N462&gt;2),"Y","N")</f>
        <v>Y</v>
      </c>
      <c r="F462" s="1" t="str">
        <f>IF(AND(P462&gt;2,R462&gt;2,T462&gt;2,V462&gt;2),"Y","N")</f>
        <v>N</v>
      </c>
      <c r="G462" s="1" t="str">
        <f>IF(OR(E462="Y", F462="Y"), "Expressed", "N")</f>
        <v>Expressed</v>
      </c>
      <c r="H462" s="8">
        <v>2.6897081879816338</v>
      </c>
      <c r="I462" s="8">
        <v>345</v>
      </c>
      <c r="J462" s="8">
        <v>2.147556726821513</v>
      </c>
      <c r="K462" s="8">
        <v>617</v>
      </c>
      <c r="L462" s="8">
        <v>4.9146729126551181</v>
      </c>
      <c r="M462" s="8">
        <v>1095</v>
      </c>
      <c r="N462" s="8">
        <v>2.24715178692276</v>
      </c>
      <c r="O462" s="8">
        <v>298</v>
      </c>
      <c r="P462" s="9">
        <v>1.0915512197217629</v>
      </c>
      <c r="Q462" s="9">
        <v>486</v>
      </c>
      <c r="R462" s="9">
        <v>3.8305117383005172</v>
      </c>
      <c r="S462" s="9">
        <v>102</v>
      </c>
      <c r="T462" s="9">
        <v>1.3607686735665689</v>
      </c>
      <c r="U462" s="9">
        <v>136</v>
      </c>
      <c r="V462" s="9">
        <v>0.46977076439741838</v>
      </c>
      <c r="W462" s="9">
        <v>434</v>
      </c>
      <c r="X462">
        <v>376.13908753587378</v>
      </c>
      <c r="Y462">
        <v>-0.94649701822044352</v>
      </c>
      <c r="Z462">
        <v>0.2689933949568708</v>
      </c>
      <c r="AA462">
        <v>-3.518662673379771</v>
      </c>
      <c r="AB462">
        <v>4.3372781455552228E-4</v>
      </c>
      <c r="AC462">
        <v>1.7515664722497579E-2</v>
      </c>
      <c r="AD462" t="s">
        <v>3741</v>
      </c>
      <c r="AE462" t="s">
        <v>3742</v>
      </c>
      <c r="AF462" t="s">
        <v>43</v>
      </c>
      <c r="AG462" t="s">
        <v>1221</v>
      </c>
      <c r="AH462" t="s">
        <v>43</v>
      </c>
      <c r="AI462" t="s">
        <v>43</v>
      </c>
      <c r="AJ462" t="s">
        <v>43</v>
      </c>
      <c r="AK462" t="s">
        <v>43</v>
      </c>
      <c r="AL462" t="s">
        <v>43</v>
      </c>
      <c r="AM462" t="s">
        <v>1222</v>
      </c>
      <c r="AN462" t="s">
        <v>43</v>
      </c>
    </row>
    <row r="463" spans="1:40" x14ac:dyDescent="0.3">
      <c r="A463" t="s">
        <v>3743</v>
      </c>
      <c r="B463">
        <v>1402</v>
      </c>
      <c r="C463" t="str">
        <f>IF(Y463&lt;0, "Down", "Up")</f>
        <v>Down</v>
      </c>
      <c r="D463" s="7" t="str">
        <f>IF(AC463&lt;0.05, "Sig", "N")</f>
        <v>Sig</v>
      </c>
      <c r="E463" s="1" t="str">
        <f>IF(AND(H463&gt;2,J463&gt;2,L463&gt;2,N463&gt;2),"Y","N")</f>
        <v>Y</v>
      </c>
      <c r="F463" s="1" t="str">
        <f>IF(AND(P463&gt;2,R463&gt;2,T463&gt;2,V463&gt;2),"Y","N")</f>
        <v>N</v>
      </c>
      <c r="G463" s="1" t="str">
        <f>IF(OR(E463="Y", F463="Y"), "Expressed", "N")</f>
        <v>Expressed</v>
      </c>
      <c r="H463" s="8">
        <v>2.597154066373236</v>
      </c>
      <c r="I463" s="8">
        <v>162</v>
      </c>
      <c r="J463" s="8">
        <v>2.132909227777259</v>
      </c>
      <c r="K463" s="8">
        <v>298</v>
      </c>
      <c r="L463" s="8">
        <v>3.8302332825133392</v>
      </c>
      <c r="M463" s="8">
        <v>415</v>
      </c>
      <c r="N463" s="8">
        <v>17.46027837871187</v>
      </c>
      <c r="O463" s="8">
        <v>1126</v>
      </c>
      <c r="P463" s="9">
        <v>8.4813087713418316</v>
      </c>
      <c r="Q463" s="9">
        <v>417</v>
      </c>
      <c r="R463" s="9">
        <v>6.7585450347446079</v>
      </c>
      <c r="S463" s="9">
        <v>149</v>
      </c>
      <c r="T463" s="9">
        <v>4.087587177966844</v>
      </c>
      <c r="U463" s="9">
        <v>55</v>
      </c>
      <c r="V463" s="9">
        <v>0.39066670122868929</v>
      </c>
      <c r="W463" s="9">
        <v>260</v>
      </c>
      <c r="X463">
        <v>371.71797682942912</v>
      </c>
      <c r="Y463">
        <v>-1.532862243198406</v>
      </c>
      <c r="Z463">
        <v>0.75871720630443196</v>
      </c>
      <c r="AA463">
        <v>-2.0203340987410692</v>
      </c>
    </row>
    <row r="464" spans="1:40" x14ac:dyDescent="0.3">
      <c r="A464" t="s">
        <v>3744</v>
      </c>
      <c r="B464">
        <v>2200</v>
      </c>
      <c r="C464" t="str">
        <f>IF(Y464&lt;0, "Down", "Up")</f>
        <v>Down</v>
      </c>
      <c r="D464" s="7" t="str">
        <f>IF(AC464&lt;0.05, "Sig", "N")</f>
        <v>Sig</v>
      </c>
      <c r="E464" s="1" t="str">
        <f>IF(AND(H464&gt;2,J464&gt;2,L464&gt;2,N464&gt;2),"Y","N")</f>
        <v>Y</v>
      </c>
      <c r="F464" s="1" t="str">
        <f>IF(AND(P464&gt;2,R464&gt;2,T464&gt;2,V464&gt;2),"Y","N")</f>
        <v>N</v>
      </c>
      <c r="G464" s="1" t="str">
        <f>IF(OR(E464="Y", F464="Y"), "Expressed", "N")</f>
        <v>Expressed</v>
      </c>
      <c r="H464" s="8">
        <v>3.8925393108924249</v>
      </c>
      <c r="I464" s="8">
        <v>381</v>
      </c>
      <c r="J464" s="8">
        <v>2.1164081362530269</v>
      </c>
      <c r="K464" s="8">
        <v>464</v>
      </c>
      <c r="L464" s="8">
        <v>6.028736844069873</v>
      </c>
      <c r="M464" s="8">
        <v>1025</v>
      </c>
      <c r="N464" s="8">
        <v>2.0257785438501452</v>
      </c>
      <c r="O464" s="8">
        <v>205</v>
      </c>
      <c r="P464" s="9">
        <v>0.98401943887104637</v>
      </c>
      <c r="Q464" s="9">
        <v>450</v>
      </c>
      <c r="R464" s="9">
        <v>4.6478810359934304</v>
      </c>
      <c r="S464" s="9">
        <v>93</v>
      </c>
      <c r="T464" s="9">
        <v>1.6258820676826871</v>
      </c>
      <c r="U464" s="9">
        <v>87</v>
      </c>
      <c r="V464" s="9">
        <v>0.39381140674105908</v>
      </c>
      <c r="W464" s="9">
        <v>455</v>
      </c>
      <c r="X464">
        <v>331.44360020258961</v>
      </c>
      <c r="Y464">
        <v>-0.97307740454965097</v>
      </c>
      <c r="Z464">
        <v>0.31762443717978722</v>
      </c>
      <c r="AA464">
        <v>-3.0636100080638728</v>
      </c>
      <c r="AB464">
        <v>2.1868378621019671E-3</v>
      </c>
      <c r="AC464">
        <v>4.8791690839631682E-2</v>
      </c>
      <c r="AD464" t="s">
        <v>3745</v>
      </c>
      <c r="AE464" t="s">
        <v>3746</v>
      </c>
      <c r="AF464" t="s">
        <v>3747</v>
      </c>
      <c r="AG464" t="s">
        <v>3748</v>
      </c>
      <c r="AH464" t="s">
        <v>43</v>
      </c>
      <c r="AI464" t="s">
        <v>43</v>
      </c>
      <c r="AJ464" t="s">
        <v>43</v>
      </c>
      <c r="AK464" t="s">
        <v>43</v>
      </c>
      <c r="AL464" t="s">
        <v>43</v>
      </c>
      <c r="AM464" t="s">
        <v>3749</v>
      </c>
      <c r="AN464" t="s">
        <v>43</v>
      </c>
    </row>
    <row r="465" spans="1:40" x14ac:dyDescent="0.3">
      <c r="A465" t="s">
        <v>3750</v>
      </c>
      <c r="B465">
        <v>1162</v>
      </c>
      <c r="C465" t="str">
        <f>IF(Y465&lt;0, "Down", "Up")</f>
        <v>Down</v>
      </c>
      <c r="D465" s="7" t="str">
        <f>IF(AC465&lt;0.05, "Sig", "N")</f>
        <v>Sig</v>
      </c>
      <c r="E465" s="1" t="str">
        <f>IF(AND(H465&gt;2,J465&gt;2,L465&gt;2,N465&gt;2),"Y","N")</f>
        <v>Y</v>
      </c>
      <c r="F465" s="1" t="str">
        <f>IF(AND(P465&gt;2,R465&gt;2,T465&gt;2,V465&gt;2),"Y","N")</f>
        <v>N</v>
      </c>
      <c r="G465" s="1" t="str">
        <f>IF(OR(E465="Y", F465="Y"), "Expressed", "N")</f>
        <v>Expressed</v>
      </c>
      <c r="H465" s="8">
        <v>4.3521825409438666</v>
      </c>
      <c r="I465" s="8">
        <v>225</v>
      </c>
      <c r="J465" s="8">
        <v>2.098477264305131</v>
      </c>
      <c r="K465" s="8">
        <v>243</v>
      </c>
      <c r="L465" s="8">
        <v>7.1825511789892529</v>
      </c>
      <c r="M465" s="8">
        <v>645</v>
      </c>
      <c r="N465" s="8">
        <v>4.5089113972937609</v>
      </c>
      <c r="O465" s="8">
        <v>241</v>
      </c>
      <c r="P465" s="9">
        <v>2.190198171736824</v>
      </c>
      <c r="Q465" s="9">
        <v>138</v>
      </c>
      <c r="R465" s="9">
        <v>2.6985975951952681</v>
      </c>
      <c r="S465" s="9">
        <v>16</v>
      </c>
      <c r="T465" s="9">
        <v>0.52959347789712385</v>
      </c>
      <c r="U465" s="9">
        <v>21</v>
      </c>
      <c r="V465" s="9">
        <v>0.17997197649155169</v>
      </c>
      <c r="W465" s="9">
        <v>31</v>
      </c>
      <c r="X465">
        <v>173.19571229307999</v>
      </c>
      <c r="Y465">
        <v>-2.757745017873809</v>
      </c>
      <c r="Z465">
        <v>0.4457278308754824</v>
      </c>
      <c r="AA465">
        <v>-6.187060414103259</v>
      </c>
      <c r="AB465">
        <v>6.1296478243094508E-10</v>
      </c>
      <c r="AC465">
        <v>8.5245372860190612E-7</v>
      </c>
      <c r="AD465" t="s">
        <v>3751</v>
      </c>
      <c r="AE465" t="s">
        <v>3752</v>
      </c>
      <c r="AF465" t="s">
        <v>43</v>
      </c>
      <c r="AG465" t="s">
        <v>1895</v>
      </c>
      <c r="AH465" t="s">
        <v>43</v>
      </c>
      <c r="AI465" t="s">
        <v>43</v>
      </c>
      <c r="AJ465" t="s">
        <v>43</v>
      </c>
      <c r="AK465" t="s">
        <v>43</v>
      </c>
      <c r="AL465" t="s">
        <v>43</v>
      </c>
      <c r="AM465" t="s">
        <v>1896</v>
      </c>
      <c r="AN465" t="s">
        <v>43</v>
      </c>
    </row>
    <row r="466" spans="1:40" x14ac:dyDescent="0.3">
      <c r="A466" t="s">
        <v>3753</v>
      </c>
      <c r="B466">
        <v>1282</v>
      </c>
      <c r="C466" t="str">
        <f>IF(Y466&lt;0, "Down", "Up")</f>
        <v>Down</v>
      </c>
      <c r="D466" s="7" t="str">
        <f>IF(AC466&lt;0.05, "Sig", "N")</f>
        <v>Sig</v>
      </c>
      <c r="E466" s="1" t="str">
        <f>IF(AND(H466&gt;2,J466&gt;2,L466&gt;2,N466&gt;2),"Y","N")</f>
        <v>Y</v>
      </c>
      <c r="F466" s="1" t="str">
        <f>IF(AND(P466&gt;2,R466&gt;2,T466&gt;2,V466&gt;2),"Y","N")</f>
        <v>N</v>
      </c>
      <c r="G466" s="1" t="str">
        <f>IF(OR(E466="Y", F466="Y"), "Expressed", "N")</f>
        <v>Expressed</v>
      </c>
      <c r="H466" s="8">
        <v>3.173374021065682</v>
      </c>
      <c r="I466" s="8">
        <v>181</v>
      </c>
      <c r="J466" s="8">
        <v>2.0820815424028858</v>
      </c>
      <c r="K466" s="8">
        <v>266</v>
      </c>
      <c r="L466" s="8">
        <v>4.1382905013896174</v>
      </c>
      <c r="M466" s="8">
        <v>410</v>
      </c>
      <c r="N466" s="8">
        <v>2.06886709474289</v>
      </c>
      <c r="O466" s="8">
        <v>122</v>
      </c>
      <c r="P466" s="9">
        <v>1.0049496495300361</v>
      </c>
      <c r="Q466" s="9">
        <v>190</v>
      </c>
      <c r="R466" s="9">
        <v>3.3676794471229918</v>
      </c>
      <c r="S466" s="9">
        <v>70</v>
      </c>
      <c r="T466" s="9">
        <v>2.100094261512873</v>
      </c>
      <c r="U466" s="9">
        <v>70</v>
      </c>
      <c r="V466" s="9">
        <v>0.54375308549969603</v>
      </c>
      <c r="W466" s="9">
        <v>214</v>
      </c>
      <c r="X466">
        <v>170.01606509903431</v>
      </c>
      <c r="Y466">
        <v>-0.74321663390230264</v>
      </c>
      <c r="Z466">
        <v>0.23855957284658699</v>
      </c>
      <c r="AA466">
        <v>-3.1154341242061609</v>
      </c>
      <c r="AB466">
        <v>1.8367436960948461E-3</v>
      </c>
      <c r="AC466">
        <v>4.4070675720372737E-2</v>
      </c>
      <c r="AD466" t="s">
        <v>3754</v>
      </c>
      <c r="AE466" t="s">
        <v>3755</v>
      </c>
      <c r="AF466" t="s">
        <v>3756</v>
      </c>
      <c r="AG466" t="s">
        <v>2235</v>
      </c>
      <c r="AH466" t="s">
        <v>43</v>
      </c>
      <c r="AI466" t="s">
        <v>43</v>
      </c>
      <c r="AJ466" t="s">
        <v>43</v>
      </c>
      <c r="AK466" t="s">
        <v>43</v>
      </c>
      <c r="AL466" t="s">
        <v>43</v>
      </c>
      <c r="AM466" t="s">
        <v>2236</v>
      </c>
      <c r="AN466" t="s">
        <v>43</v>
      </c>
    </row>
    <row r="467" spans="1:40" x14ac:dyDescent="0.3">
      <c r="A467" t="s">
        <v>3757</v>
      </c>
      <c r="B467">
        <v>2400</v>
      </c>
      <c r="C467" t="str">
        <f>IF(Y467&lt;0, "Down", "Up")</f>
        <v>Down</v>
      </c>
      <c r="D467" s="7" t="str">
        <f>IF(AC467&lt;0.05, "Sig", "N")</f>
        <v>Sig</v>
      </c>
      <c r="E467" s="1" t="str">
        <f>IF(AND(H467&gt;2,J467&gt;2,L467&gt;2,N467&gt;2),"Y","N")</f>
        <v>Y</v>
      </c>
      <c r="F467" s="1" t="str">
        <f>IF(AND(P467&gt;2,R467&gt;2,T467&gt;2,V467&gt;2),"Y","N")</f>
        <v>N</v>
      </c>
      <c r="G467" s="1" t="str">
        <f>IF(OR(E467="Y", F467="Y"), "Expressed", "N")</f>
        <v>Expressed</v>
      </c>
      <c r="H467" s="8">
        <v>2.1821037300562738</v>
      </c>
      <c r="I467" s="8">
        <v>233</v>
      </c>
      <c r="J467" s="8">
        <v>2.0738367082249489</v>
      </c>
      <c r="K467" s="8">
        <v>496</v>
      </c>
      <c r="L467" s="8">
        <v>4.1946284480934937</v>
      </c>
      <c r="M467" s="8">
        <v>778</v>
      </c>
      <c r="N467" s="8">
        <v>2.0290724927019341</v>
      </c>
      <c r="O467" s="8">
        <v>224</v>
      </c>
      <c r="P467" s="9">
        <v>0.9856194704789667</v>
      </c>
      <c r="Q467" s="9">
        <v>327</v>
      </c>
      <c r="R467" s="9">
        <v>3.0960052011978458</v>
      </c>
      <c r="S467" s="9">
        <v>104</v>
      </c>
      <c r="T467" s="9">
        <v>1.6666748077320741</v>
      </c>
      <c r="U467" s="9">
        <v>56</v>
      </c>
      <c r="V467" s="9">
        <v>0.2323638185368701</v>
      </c>
      <c r="W467" s="9">
        <v>278</v>
      </c>
      <c r="X467">
        <v>262.15648637035218</v>
      </c>
      <c r="Y467">
        <v>-1.132290167817777</v>
      </c>
      <c r="Z467">
        <v>0.23188365209642961</v>
      </c>
      <c r="AA467">
        <v>-4.8830098956131263</v>
      </c>
      <c r="AB467">
        <v>1.044786256228009E-6</v>
      </c>
      <c r="AC467">
        <v>2.3630176330458511E-4</v>
      </c>
      <c r="AD467" t="s">
        <v>3758</v>
      </c>
      <c r="AE467" t="s">
        <v>3759</v>
      </c>
      <c r="AF467" t="s">
        <v>3760</v>
      </c>
      <c r="AG467" t="s">
        <v>3189</v>
      </c>
      <c r="AH467" t="s">
        <v>830</v>
      </c>
      <c r="AI467" t="s">
        <v>3190</v>
      </c>
      <c r="AJ467" t="s">
        <v>3191</v>
      </c>
      <c r="AK467" t="s">
        <v>3192</v>
      </c>
      <c r="AL467" t="s">
        <v>834</v>
      </c>
      <c r="AM467" t="s">
        <v>3193</v>
      </c>
      <c r="AN467" t="s">
        <v>43</v>
      </c>
    </row>
    <row r="468" spans="1:40" x14ac:dyDescent="0.3">
      <c r="A468" t="s">
        <v>3765</v>
      </c>
      <c r="B468">
        <v>1421</v>
      </c>
      <c r="C468" t="str">
        <f>IF(Y468&lt;0, "Down", "Up")</f>
        <v>Down</v>
      </c>
      <c r="D468" s="7" t="str">
        <f>IF(AC468&lt;0.05, "Sig", "N")</f>
        <v>Sig</v>
      </c>
      <c r="E468" s="1" t="str">
        <f>IF(AND(H468&gt;2,J468&gt;2,L468&gt;2,N468&gt;2),"Y","N")</f>
        <v>Y</v>
      </c>
      <c r="F468" s="1" t="str">
        <f>IF(AND(P468&gt;2,R468&gt;2,T468&gt;2,V468&gt;2),"Y","N")</f>
        <v>N</v>
      </c>
      <c r="G468" s="1" t="str">
        <f>IF(OR(E468="Y", F468="Y"), "Expressed", "N")</f>
        <v>Expressed</v>
      </c>
      <c r="H468" s="8">
        <v>2.831324620068004</v>
      </c>
      <c r="I468" s="8">
        <v>179</v>
      </c>
      <c r="J468" s="8">
        <v>2.054958396268395</v>
      </c>
      <c r="K468" s="8">
        <v>291</v>
      </c>
      <c r="L468" s="8">
        <v>2.9048368666299842</v>
      </c>
      <c r="M468" s="8">
        <v>319</v>
      </c>
      <c r="N468" s="8">
        <v>2.9986292995595081</v>
      </c>
      <c r="O468" s="8">
        <v>196</v>
      </c>
      <c r="P468" s="9">
        <v>1.456580498244779</v>
      </c>
      <c r="Q468" s="9">
        <v>129</v>
      </c>
      <c r="R468" s="9">
        <v>2.062817480670788</v>
      </c>
      <c r="S468" s="9">
        <v>97</v>
      </c>
      <c r="T468" s="9">
        <v>2.6254661887621582</v>
      </c>
      <c r="U468" s="9">
        <v>42</v>
      </c>
      <c r="V468" s="9">
        <v>0.29433840490243918</v>
      </c>
      <c r="W468" s="9">
        <v>174</v>
      </c>
      <c r="X468">
        <v>165.8882343907982</v>
      </c>
      <c r="Y468">
        <v>-1.095133091603274</v>
      </c>
      <c r="Z468">
        <v>0.2297211836318164</v>
      </c>
      <c r="AA468">
        <v>-4.7672272721634963</v>
      </c>
      <c r="AB468">
        <v>1.8677857599811219E-6</v>
      </c>
      <c r="AC468">
        <v>3.4770229084624962E-4</v>
      </c>
      <c r="AD468" t="s">
        <v>3766</v>
      </c>
      <c r="AE468" t="s">
        <v>3767</v>
      </c>
      <c r="AF468" t="s">
        <v>3768</v>
      </c>
      <c r="AG468" t="s">
        <v>3769</v>
      </c>
      <c r="AH468" t="s">
        <v>43</v>
      </c>
      <c r="AI468" t="s">
        <v>43</v>
      </c>
      <c r="AJ468" t="s">
        <v>43</v>
      </c>
      <c r="AK468" t="s">
        <v>43</v>
      </c>
      <c r="AL468" t="s">
        <v>43</v>
      </c>
      <c r="AM468" t="s">
        <v>3770</v>
      </c>
      <c r="AN468" t="s">
        <v>43</v>
      </c>
    </row>
    <row r="469" spans="1:40" x14ac:dyDescent="0.3">
      <c r="A469" t="s">
        <v>3771</v>
      </c>
      <c r="B469">
        <v>938</v>
      </c>
      <c r="C469" t="str">
        <f>IF(Y469&lt;0, "Down", "Up")</f>
        <v>Down</v>
      </c>
      <c r="D469" s="7" t="str">
        <f>IF(AC469&lt;0.05, "Sig", "N")</f>
        <v>Sig</v>
      </c>
      <c r="E469" s="1" t="str">
        <f>IF(AND(H469&gt;2,J469&gt;2,L469&gt;2,N469&gt;2),"Y","N")</f>
        <v>Y</v>
      </c>
      <c r="F469" s="1" t="str">
        <f>IF(AND(P469&gt;2,R469&gt;2,T469&gt;2,V469&gt;2),"Y","N")</f>
        <v>N</v>
      </c>
      <c r="G469" s="1" t="str">
        <f>IF(OR(E469="Y", F469="Y"), "Expressed", "N")</f>
        <v>Expressed</v>
      </c>
      <c r="H469" s="8">
        <v>3.3547171559381579</v>
      </c>
      <c r="I469" s="8">
        <v>140</v>
      </c>
      <c r="J469" s="8">
        <v>2.0540098079949982</v>
      </c>
      <c r="K469" s="8">
        <v>192</v>
      </c>
      <c r="L469" s="8">
        <v>6.207758568442638</v>
      </c>
      <c r="M469" s="8">
        <v>450</v>
      </c>
      <c r="N469" s="8">
        <v>2.3640579605802299</v>
      </c>
      <c r="O469" s="8">
        <v>102</v>
      </c>
      <c r="P469" s="9">
        <v>1.1483382499488419</v>
      </c>
      <c r="Q469" s="9">
        <v>140</v>
      </c>
      <c r="R469" s="9">
        <v>3.3914886498127852</v>
      </c>
      <c r="S469" s="9">
        <v>77</v>
      </c>
      <c r="T469" s="9">
        <v>3.1573058929482452</v>
      </c>
      <c r="U469" s="9">
        <v>49</v>
      </c>
      <c r="V469" s="9">
        <v>0.52021750418702262</v>
      </c>
      <c r="W469" s="9">
        <v>129</v>
      </c>
      <c r="X469">
        <v>141.92326214811021</v>
      </c>
      <c r="Y469">
        <v>-0.94751234294233844</v>
      </c>
      <c r="Z469">
        <v>0.30604051100301932</v>
      </c>
      <c r="AA469">
        <v>-3.0960356844162722</v>
      </c>
      <c r="AB469">
        <v>1.961267571409275E-3</v>
      </c>
      <c r="AC469">
        <v>4.5902752625545322E-2</v>
      </c>
    </row>
    <row r="470" spans="1:40" x14ac:dyDescent="0.3">
      <c r="A470" t="s">
        <v>3772</v>
      </c>
      <c r="B470">
        <v>1446</v>
      </c>
      <c r="C470" t="str">
        <f>IF(Y470&lt;0, "Down", "Up")</f>
        <v>Down</v>
      </c>
      <c r="D470" s="7" t="str">
        <f>IF(AC470&lt;0.05, "Sig", "N")</f>
        <v>Sig</v>
      </c>
      <c r="E470" s="1" t="str">
        <f>IF(AND(H470&gt;2,J470&gt;2,L470&gt;2,N470&gt;2),"Y","N")</f>
        <v>Y</v>
      </c>
      <c r="F470" s="1" t="str">
        <f>IF(AND(P470&gt;2,R470&gt;2,T470&gt;2,V470&gt;2),"Y","N")</f>
        <v>N</v>
      </c>
      <c r="G470" s="1" t="str">
        <f>IF(OR(E470="Y", F470="Y"), "Expressed", "N")</f>
        <v>Expressed</v>
      </c>
      <c r="H470" s="8">
        <v>9.7927116979356601</v>
      </c>
      <c r="I470" s="8">
        <v>630</v>
      </c>
      <c r="J470" s="8">
        <v>2.0263696921485921</v>
      </c>
      <c r="K470" s="8">
        <v>292</v>
      </c>
      <c r="L470" s="8">
        <v>16.563925497703561</v>
      </c>
      <c r="M470" s="8">
        <v>1851</v>
      </c>
      <c r="N470" s="8">
        <v>7.5624145215550724</v>
      </c>
      <c r="O470" s="8">
        <v>503</v>
      </c>
      <c r="P470" s="9">
        <v>3.6734335629143469</v>
      </c>
      <c r="Q470" s="9">
        <v>346</v>
      </c>
      <c r="R470" s="9">
        <v>5.4371708077427376</v>
      </c>
      <c r="S470" s="9">
        <v>62</v>
      </c>
      <c r="T470" s="9">
        <v>1.649119662933108</v>
      </c>
      <c r="U470" s="9">
        <v>68</v>
      </c>
      <c r="V470" s="9">
        <v>0.46830882218456332</v>
      </c>
      <c r="W470" s="9">
        <v>226</v>
      </c>
      <c r="X470">
        <v>441.41213667130768</v>
      </c>
      <c r="Y470">
        <v>-2.2842492677376378</v>
      </c>
      <c r="Z470">
        <v>0.56861193241477193</v>
      </c>
      <c r="AA470">
        <v>-4.0172376580929727</v>
      </c>
      <c r="AB470">
        <v>5.8884331187094473E-5</v>
      </c>
      <c r="AC470">
        <v>4.6215466504617754E-3</v>
      </c>
    </row>
    <row r="471" spans="1:40" x14ac:dyDescent="0.3">
      <c r="A471" t="s">
        <v>3773</v>
      </c>
      <c r="B471">
        <v>970</v>
      </c>
      <c r="C471" t="str">
        <f>IF(Y471&lt;0, "Down", "Up")</f>
        <v>Down</v>
      </c>
      <c r="D471" s="7" t="str">
        <f>IF(AC471&lt;0.05, "Sig", "N")</f>
        <v>Sig</v>
      </c>
      <c r="E471" s="1" t="str">
        <f>IF(AND(H471&gt;2,J471&gt;2,L471&gt;2,N471&gt;2),"Y","N")</f>
        <v>Y</v>
      </c>
      <c r="F471" s="1" t="str">
        <f>IF(AND(P471&gt;2,R471&gt;2,T471&gt;2,V471&gt;2),"Y","N")</f>
        <v>N</v>
      </c>
      <c r="G471" s="1" t="str">
        <f>IF(OR(E471="Y", F471="Y"), "Expressed", "N")</f>
        <v>Expressed</v>
      </c>
      <c r="H471" s="8">
        <v>4.4953209889571317</v>
      </c>
      <c r="I471" s="8">
        <v>194</v>
      </c>
      <c r="J471" s="8">
        <v>2.017283794997665</v>
      </c>
      <c r="K471" s="8">
        <v>195</v>
      </c>
      <c r="L471" s="8">
        <v>4.6556340446334907</v>
      </c>
      <c r="M471" s="8">
        <v>349</v>
      </c>
      <c r="N471" s="8">
        <v>2.5101927744766188</v>
      </c>
      <c r="O471" s="8">
        <v>112</v>
      </c>
      <c r="P471" s="9">
        <v>1.2193230562626389</v>
      </c>
      <c r="Q471" s="9">
        <v>184</v>
      </c>
      <c r="R471" s="9">
        <v>4.3103373273084546</v>
      </c>
      <c r="S471" s="9">
        <v>55</v>
      </c>
      <c r="T471" s="9">
        <v>2.1808195343044581</v>
      </c>
      <c r="U471" s="9">
        <v>19</v>
      </c>
      <c r="V471" s="9">
        <v>0.19506241025922821</v>
      </c>
      <c r="W471" s="9">
        <v>104</v>
      </c>
      <c r="X471">
        <v>133.72132553420761</v>
      </c>
      <c r="Y471">
        <v>-1.3174035949356551</v>
      </c>
      <c r="Z471">
        <v>0.33648261193217671</v>
      </c>
      <c r="AA471">
        <v>-3.9152204251231799</v>
      </c>
      <c r="AB471">
        <v>9.0321651767437443E-5</v>
      </c>
      <c r="AC471">
        <v>6.2075130554818496E-3</v>
      </c>
      <c r="AD471" t="s">
        <v>3774</v>
      </c>
      <c r="AE471" t="s">
        <v>3775</v>
      </c>
      <c r="AF471" t="s">
        <v>43</v>
      </c>
      <c r="AG471" t="s">
        <v>3776</v>
      </c>
      <c r="AH471" t="s">
        <v>43</v>
      </c>
      <c r="AI471" t="s">
        <v>43</v>
      </c>
      <c r="AJ471" t="s">
        <v>43</v>
      </c>
      <c r="AK471" t="s">
        <v>43</v>
      </c>
      <c r="AL471" t="s">
        <v>43</v>
      </c>
      <c r="AM471" t="s">
        <v>3777</v>
      </c>
      <c r="AN471" t="s">
        <v>43</v>
      </c>
    </row>
    <row r="472" spans="1:40" x14ac:dyDescent="0.3">
      <c r="A472" t="s">
        <v>3778</v>
      </c>
      <c r="B472">
        <v>1226</v>
      </c>
      <c r="C472" t="str">
        <f>IF(Y472&lt;0, "Down", "Up")</f>
        <v>Down</v>
      </c>
      <c r="D472" s="7" t="str">
        <f>IF(AC472&lt;0.05, "Sig", "N")</f>
        <v>Sig</v>
      </c>
      <c r="E472" s="1" t="str">
        <f>IF(AND(H472&gt;2,J472&gt;2,L472&gt;2,N472&gt;2),"Y","N")</f>
        <v>Y</v>
      </c>
      <c r="F472" s="1" t="str">
        <f>IF(AND(P472&gt;2,R472&gt;2,T472&gt;2,V472&gt;2),"Y","N")</f>
        <v>N</v>
      </c>
      <c r="G472" s="1" t="str">
        <f>IF(OR(E472="Y", F472="Y"), "Expressed", "N")</f>
        <v>Expressed</v>
      </c>
      <c r="H472" s="8">
        <v>2.9883251272431171</v>
      </c>
      <c r="I472" s="8">
        <v>163</v>
      </c>
      <c r="J472" s="8">
        <v>2.0134866740383259</v>
      </c>
      <c r="K472" s="8">
        <v>246</v>
      </c>
      <c r="L472" s="8">
        <v>2.5119536955834838</v>
      </c>
      <c r="M472" s="8">
        <v>238</v>
      </c>
      <c r="N472" s="8">
        <v>3.1918525578508632</v>
      </c>
      <c r="O472" s="8">
        <v>180</v>
      </c>
      <c r="P472" s="9">
        <v>1.550438458572134</v>
      </c>
      <c r="Q472" s="9">
        <v>171</v>
      </c>
      <c r="R472" s="9">
        <v>3.1693544421619149</v>
      </c>
      <c r="S472" s="9">
        <v>89</v>
      </c>
      <c r="T472" s="9">
        <v>2.7920829066662289</v>
      </c>
      <c r="U472" s="9">
        <v>38</v>
      </c>
      <c r="V472" s="9">
        <v>0.30866319404804471</v>
      </c>
      <c r="W472" s="9">
        <v>209</v>
      </c>
      <c r="X472">
        <v>153.565660434172</v>
      </c>
      <c r="Y472">
        <v>-0.76651807579754516</v>
      </c>
      <c r="Z472">
        <v>0.23495069436818461</v>
      </c>
      <c r="AA472">
        <v>-3.2624635473362611</v>
      </c>
      <c r="AB472">
        <v>1.104483764841077E-3</v>
      </c>
      <c r="AC472">
        <v>3.2763118153541708E-2</v>
      </c>
      <c r="AD472" t="s">
        <v>3779</v>
      </c>
      <c r="AE472" t="s">
        <v>3780</v>
      </c>
      <c r="AF472" t="s">
        <v>3781</v>
      </c>
      <c r="AG472" t="s">
        <v>3782</v>
      </c>
      <c r="AH472" t="s">
        <v>1490</v>
      </c>
      <c r="AI472" t="s">
        <v>3783</v>
      </c>
      <c r="AJ472" t="s">
        <v>3784</v>
      </c>
      <c r="AK472" t="s">
        <v>1017</v>
      </c>
      <c r="AL472" t="s">
        <v>3785</v>
      </c>
      <c r="AM472" t="s">
        <v>3786</v>
      </c>
      <c r="AN472" t="s">
        <v>43</v>
      </c>
    </row>
    <row r="473" spans="1:40" x14ac:dyDescent="0.3">
      <c r="A473" t="s">
        <v>3787</v>
      </c>
      <c r="B473">
        <v>4008</v>
      </c>
      <c r="C473" t="str">
        <f>IF(Y473&lt;0, "Down", "Up")</f>
        <v>Down</v>
      </c>
      <c r="D473" s="7" t="str">
        <f>IF(AC473&lt;0.05, "Sig", "N")</f>
        <v>Sig</v>
      </c>
      <c r="E473" s="1" t="str">
        <f>IF(AND(H473&gt;2,J473&gt;2,L473&gt;2,N473&gt;2),"Y","N")</f>
        <v>Y</v>
      </c>
      <c r="F473" s="1" t="str">
        <f>IF(AND(P473&gt;2,R473&gt;2,T473&gt;2,V473&gt;2),"Y","N")</f>
        <v>N</v>
      </c>
      <c r="G473" s="1" t="str">
        <f>IF(OR(E473="Y", F473="Y"), "Expressed", "N")</f>
        <v>Expressed</v>
      </c>
      <c r="H473" s="8">
        <v>2.9161263900420509</v>
      </c>
      <c r="I473" s="8">
        <v>520</v>
      </c>
      <c r="J473" s="8">
        <v>2.0129475485474928</v>
      </c>
      <c r="K473" s="8">
        <v>804</v>
      </c>
      <c r="L473" s="8">
        <v>4.0775639440466751</v>
      </c>
      <c r="M473" s="8">
        <v>1263</v>
      </c>
      <c r="N473" s="8">
        <v>3.086351177147669</v>
      </c>
      <c r="O473" s="8">
        <v>569</v>
      </c>
      <c r="P473" s="9">
        <v>1.499191292511046</v>
      </c>
      <c r="Q473" s="9">
        <v>779</v>
      </c>
      <c r="R473" s="9">
        <v>4.4164662450019634</v>
      </c>
      <c r="S473" s="9">
        <v>206</v>
      </c>
      <c r="T473" s="9">
        <v>1.976825255601147</v>
      </c>
      <c r="U473" s="9">
        <v>147</v>
      </c>
      <c r="V473" s="9">
        <v>0.36524252913729582</v>
      </c>
      <c r="W473" s="9">
        <v>560</v>
      </c>
      <c r="X473">
        <v>535.15015586896413</v>
      </c>
      <c r="Y473">
        <v>-0.9344249886491387</v>
      </c>
      <c r="Z473">
        <v>0.21049121394900761</v>
      </c>
      <c r="AA473">
        <v>-4.4392588703275164</v>
      </c>
      <c r="AB473">
        <v>9.0269187304508247E-6</v>
      </c>
      <c r="AC473">
        <v>1.1535914195963161E-3</v>
      </c>
      <c r="AD473" t="s">
        <v>3788</v>
      </c>
      <c r="AE473" t="s">
        <v>3789</v>
      </c>
      <c r="AF473" t="s">
        <v>55</v>
      </c>
      <c r="AG473" t="s">
        <v>3790</v>
      </c>
      <c r="AH473" t="s">
        <v>43</v>
      </c>
      <c r="AI473" t="s">
        <v>43</v>
      </c>
      <c r="AJ473" t="s">
        <v>43</v>
      </c>
      <c r="AK473" t="s">
        <v>43</v>
      </c>
      <c r="AL473" t="s">
        <v>43</v>
      </c>
      <c r="AM473" t="s">
        <v>3791</v>
      </c>
      <c r="AN473" t="s">
        <v>43</v>
      </c>
    </row>
    <row r="474" spans="1:40" x14ac:dyDescent="0.3">
      <c r="A474" t="s">
        <v>3792</v>
      </c>
      <c r="B474">
        <v>1457</v>
      </c>
      <c r="C474" t="str">
        <f>IF(Y474&lt;0, "Down", "Up")</f>
        <v>Down</v>
      </c>
      <c r="D474" s="7" t="str">
        <f>IF(AC474&lt;0.05, "Sig", "N")</f>
        <v>Sig</v>
      </c>
      <c r="E474" s="1" t="str">
        <f>IF(AND(H474&gt;2,J474&gt;2,L474&gt;2,N474&gt;2),"Y","N")</f>
        <v>Y</v>
      </c>
      <c r="F474" s="1" t="str">
        <f>IF(AND(P474&gt;2,R474&gt;2,T474&gt;2,V474&gt;2),"Y","N")</f>
        <v>N</v>
      </c>
      <c r="G474" s="1" t="str">
        <f>IF(OR(E474="Y", F474="Y"), "Expressed", "N")</f>
        <v>Expressed</v>
      </c>
      <c r="H474" s="8">
        <v>4.3503106344746438</v>
      </c>
      <c r="I474" s="8">
        <v>282</v>
      </c>
      <c r="J474" s="8">
        <v>2.0041838579940889</v>
      </c>
      <c r="K474" s="8">
        <v>291</v>
      </c>
      <c r="L474" s="8">
        <v>6.0302506638576263</v>
      </c>
      <c r="M474" s="8">
        <v>679</v>
      </c>
      <c r="N474" s="8">
        <v>2.3724570522081141</v>
      </c>
      <c r="O474" s="8">
        <v>159</v>
      </c>
      <c r="P474" s="9">
        <v>1.1524180983882419</v>
      </c>
      <c r="Q474" s="9">
        <v>211</v>
      </c>
      <c r="R474" s="9">
        <v>3.2906983556900031</v>
      </c>
      <c r="S474" s="9">
        <v>56</v>
      </c>
      <c r="T474" s="9">
        <v>1.4782818631486641</v>
      </c>
      <c r="U474" s="9">
        <v>64</v>
      </c>
      <c r="V474" s="9">
        <v>0.43743360289321559</v>
      </c>
      <c r="W474" s="9">
        <v>215</v>
      </c>
      <c r="X474">
        <v>214.76244194703659</v>
      </c>
      <c r="Y474">
        <v>-1.3227132600310829</v>
      </c>
      <c r="Z474">
        <v>0.30896865294372983</v>
      </c>
      <c r="AA474">
        <v>-4.2810597367363972</v>
      </c>
      <c r="AB474">
        <v>1.8600541471511869E-5</v>
      </c>
      <c r="AC474">
        <v>2.035898154951313E-3</v>
      </c>
      <c r="AD474" t="s">
        <v>3793</v>
      </c>
      <c r="AE474" t="s">
        <v>3794</v>
      </c>
      <c r="AF474" t="s">
        <v>1445</v>
      </c>
      <c r="AG474" t="s">
        <v>1295</v>
      </c>
      <c r="AH474" t="s">
        <v>43</v>
      </c>
      <c r="AI474" t="s">
        <v>43</v>
      </c>
      <c r="AJ474" t="s">
        <v>43</v>
      </c>
      <c r="AK474" t="s">
        <v>43</v>
      </c>
      <c r="AL474" t="s">
        <v>43</v>
      </c>
      <c r="AM474" t="s">
        <v>130</v>
      </c>
      <c r="AN474" t="s">
        <v>43</v>
      </c>
    </row>
    <row r="475" spans="1:40" s="29" customFormat="1" x14ac:dyDescent="0.3">
      <c r="A475" s="29" t="s">
        <v>587</v>
      </c>
      <c r="B475" s="29">
        <v>2124</v>
      </c>
      <c r="C475" s="29" t="str">
        <f>IF(Y475&lt;0, "Down", "Up")</f>
        <v>Up</v>
      </c>
      <c r="D475" s="30" t="str">
        <f>IF(AC475&lt;0.05, "Sig", "N")</f>
        <v>Sig</v>
      </c>
      <c r="E475" s="31" t="str">
        <f>IF(AND(H475&gt;2,J475&gt;2,L475&gt;2,N475&gt;2),"Y","N")</f>
        <v>Y</v>
      </c>
      <c r="F475" s="31" t="str">
        <f>IF(AND(P475&gt;2,R475&gt;2,T475&gt;2,V475&gt;2),"Y","N")</f>
        <v>Y</v>
      </c>
      <c r="G475" s="31" t="str">
        <f>IF(OR(E475="Y", F475="Y"), "Expressed", "N")</f>
        <v>Expressed</v>
      </c>
      <c r="H475" s="29">
        <v>435.1508813251088</v>
      </c>
      <c r="I475" s="29">
        <v>41121</v>
      </c>
      <c r="J475" s="29">
        <v>495.06851380122163</v>
      </c>
      <c r="K475" s="29">
        <v>104789</v>
      </c>
      <c r="L475" s="29">
        <v>630.54977072106192</v>
      </c>
      <c r="M475" s="29">
        <v>103502</v>
      </c>
      <c r="N475" s="29">
        <v>585.37472220599409</v>
      </c>
      <c r="O475" s="29">
        <v>57191</v>
      </c>
      <c r="P475" s="29">
        <v>284.34505213964178</v>
      </c>
      <c r="Q475" s="29">
        <v>144836</v>
      </c>
      <c r="R475" s="29">
        <v>1549.4843011133271</v>
      </c>
      <c r="S475" s="29">
        <v>105246</v>
      </c>
      <c r="T475" s="29">
        <v>1905.8111344477379</v>
      </c>
      <c r="U475" s="29">
        <v>37078</v>
      </c>
      <c r="V475" s="29">
        <v>173.84151863821771</v>
      </c>
      <c r="W475" s="29">
        <v>159243</v>
      </c>
      <c r="X475" s="29">
        <v>86716.527986847708</v>
      </c>
      <c r="Y475" s="29">
        <v>0.66891726025948339</v>
      </c>
      <c r="Z475" s="29">
        <v>0.19907901607136</v>
      </c>
      <c r="AA475" s="29">
        <v>3.3600591034652769</v>
      </c>
      <c r="AB475" s="29">
        <v>7.7925799875658405E-4</v>
      </c>
      <c r="AC475" s="29">
        <v>2.609520907450872E-2</v>
      </c>
      <c r="AD475" s="29" t="s">
        <v>588</v>
      </c>
      <c r="AE475" s="29" t="s">
        <v>589</v>
      </c>
      <c r="AF475" s="29" t="s">
        <v>43</v>
      </c>
      <c r="AG475" s="29" t="s">
        <v>590</v>
      </c>
      <c r="AH475" s="29" t="s">
        <v>43</v>
      </c>
      <c r="AI475" s="29" t="s">
        <v>43</v>
      </c>
      <c r="AJ475" s="29" t="s">
        <v>43</v>
      </c>
      <c r="AK475" s="29" t="s">
        <v>43</v>
      </c>
      <c r="AL475" s="29" t="s">
        <v>43</v>
      </c>
      <c r="AM475" s="29" t="s">
        <v>591</v>
      </c>
      <c r="AN475" s="29" t="s">
        <v>43</v>
      </c>
    </row>
    <row r="476" spans="1:40" s="29" customFormat="1" x14ac:dyDescent="0.3">
      <c r="A476" s="29" t="s">
        <v>592</v>
      </c>
      <c r="B476" s="29">
        <v>3006</v>
      </c>
      <c r="C476" s="29" t="str">
        <f>IF(Y476&lt;0, "Down", "Up")</f>
        <v>Up</v>
      </c>
      <c r="D476" s="30" t="str">
        <f>IF(AC476&lt;0.05, "Sig", "N")</f>
        <v>Sig</v>
      </c>
      <c r="E476" s="31" t="str">
        <f>IF(AND(H476&gt;2,J476&gt;2,L476&gt;2,N476&gt;2),"Y","N")</f>
        <v>Y</v>
      </c>
      <c r="F476" s="31" t="str">
        <f>IF(AND(P476&gt;2,R476&gt;2,T476&gt;2,V476&gt;2),"Y","N")</f>
        <v>Y</v>
      </c>
      <c r="G476" s="31" t="str">
        <f>IF(OR(E476="Y", F476="Y"), "Expressed", "N")</f>
        <v>Expressed</v>
      </c>
      <c r="H476" s="29">
        <v>360.14160917019342</v>
      </c>
      <c r="I476" s="29">
        <v>48165</v>
      </c>
      <c r="J476" s="29">
        <v>368.66316487386308</v>
      </c>
      <c r="K476" s="29">
        <v>110437</v>
      </c>
      <c r="L476" s="29">
        <v>385.60905580121522</v>
      </c>
      <c r="M476" s="29">
        <v>89580</v>
      </c>
      <c r="N476" s="29">
        <v>404.25957058939258</v>
      </c>
      <c r="O476" s="29">
        <v>55897</v>
      </c>
      <c r="P476" s="29">
        <v>196.36858975393071</v>
      </c>
      <c r="Q476" s="29">
        <v>152368</v>
      </c>
      <c r="R476" s="29">
        <v>1151.781136189061</v>
      </c>
      <c r="S476" s="29">
        <v>70072</v>
      </c>
      <c r="T476" s="29">
        <v>896.57022207432726</v>
      </c>
      <c r="U476" s="29">
        <v>42394</v>
      </c>
      <c r="V476" s="29">
        <v>140.44527691833579</v>
      </c>
      <c r="W476" s="29">
        <v>147944</v>
      </c>
      <c r="X476" s="29">
        <v>81877.933816977835</v>
      </c>
      <c r="Y476" s="29">
        <v>0.50983471627577237</v>
      </c>
      <c r="Z476" s="29">
        <v>0.11772511483417621</v>
      </c>
      <c r="AA476" s="29">
        <v>4.3307217580030306</v>
      </c>
      <c r="AB476" s="29">
        <v>1.486213851427663E-5</v>
      </c>
      <c r="AC476" s="29">
        <v>1.6811994198781251E-3</v>
      </c>
      <c r="AD476" s="29" t="s">
        <v>593</v>
      </c>
      <c r="AE476" s="29" t="s">
        <v>594</v>
      </c>
      <c r="AF476" s="29" t="s">
        <v>595</v>
      </c>
      <c r="AG476" s="29" t="s">
        <v>596</v>
      </c>
      <c r="AH476" s="29" t="s">
        <v>43</v>
      </c>
      <c r="AI476" s="29" t="s">
        <v>43</v>
      </c>
      <c r="AJ476" s="29" t="s">
        <v>43</v>
      </c>
      <c r="AK476" s="29" t="s">
        <v>43</v>
      </c>
      <c r="AL476" s="29" t="s">
        <v>43</v>
      </c>
      <c r="AM476" s="29" t="s">
        <v>597</v>
      </c>
      <c r="AN476" s="29" t="s">
        <v>43</v>
      </c>
    </row>
    <row r="477" spans="1:40" s="29" customFormat="1" x14ac:dyDescent="0.3">
      <c r="A477" s="29" t="s">
        <v>601</v>
      </c>
      <c r="B477" s="29">
        <v>4414</v>
      </c>
      <c r="C477" s="29" t="str">
        <f>IF(Y477&lt;0, "Down", "Up")</f>
        <v>Up</v>
      </c>
      <c r="D477" s="30" t="str">
        <f>IF(AC477&lt;0.05, "Sig", "N")</f>
        <v>Sig</v>
      </c>
      <c r="E477" s="31" t="str">
        <f>IF(AND(H477&gt;2,J477&gt;2,L477&gt;2,N477&gt;2),"Y","N")</f>
        <v>Y</v>
      </c>
      <c r="F477" s="31" t="str">
        <f>IF(AND(P477&gt;2,R477&gt;2,T477&gt;2,V477&gt;2),"Y","N")</f>
        <v>Y</v>
      </c>
      <c r="G477" s="31" t="str">
        <f>IF(OR(E477="Y", F477="Y"), "Expressed", "N")</f>
        <v>Expressed</v>
      </c>
      <c r="H477" s="29">
        <v>243.56614583574711</v>
      </c>
      <c r="I477" s="29">
        <v>47832</v>
      </c>
      <c r="J477" s="29">
        <v>291.14024808033253</v>
      </c>
      <c r="K477" s="29">
        <v>128065</v>
      </c>
      <c r="L477" s="29">
        <v>267.39563594526868</v>
      </c>
      <c r="M477" s="29">
        <v>91214</v>
      </c>
      <c r="N477" s="29">
        <v>259.11750883806889</v>
      </c>
      <c r="O477" s="29">
        <v>52610</v>
      </c>
      <c r="P477" s="29">
        <v>125.86601157493629</v>
      </c>
      <c r="Q477" s="29">
        <v>150169</v>
      </c>
      <c r="R477" s="29">
        <v>773.05987214771903</v>
      </c>
      <c r="S477" s="29">
        <v>78475</v>
      </c>
      <c r="T477" s="29">
        <v>683.7979098154882</v>
      </c>
      <c r="U477" s="29">
        <v>38728</v>
      </c>
      <c r="V477" s="29">
        <v>87.374451074139799</v>
      </c>
      <c r="W477" s="29">
        <v>148165</v>
      </c>
      <c r="X477" s="29">
        <v>83118.903044690232</v>
      </c>
      <c r="Y477" s="29">
        <v>0.48033344692738439</v>
      </c>
      <c r="Z477" s="29">
        <v>0.14328133578991509</v>
      </c>
      <c r="AA477" s="29">
        <v>3.352379737942063</v>
      </c>
      <c r="AB477" s="29">
        <v>8.0120041716196173E-4</v>
      </c>
      <c r="AC477" s="29">
        <v>2.6492280087472869E-2</v>
      </c>
      <c r="AD477" s="29" t="s">
        <v>602</v>
      </c>
      <c r="AE477" s="29" t="s">
        <v>603</v>
      </c>
      <c r="AF477" s="29" t="s">
        <v>43</v>
      </c>
      <c r="AG477" s="29" t="s">
        <v>604</v>
      </c>
      <c r="AH477" s="29" t="s">
        <v>43</v>
      </c>
      <c r="AI477" s="29" t="s">
        <v>43</v>
      </c>
      <c r="AJ477" s="29" t="s">
        <v>43</v>
      </c>
      <c r="AK477" s="29" t="s">
        <v>43</v>
      </c>
      <c r="AL477" s="29" t="s">
        <v>43</v>
      </c>
      <c r="AM477" s="29" t="s">
        <v>605</v>
      </c>
      <c r="AN477" s="29" t="s">
        <v>43</v>
      </c>
    </row>
    <row r="478" spans="1:40" s="29" customFormat="1" x14ac:dyDescent="0.3">
      <c r="A478" s="29" t="s">
        <v>609</v>
      </c>
      <c r="B478" s="29">
        <v>4101</v>
      </c>
      <c r="C478" s="29" t="str">
        <f>IF(Y478&lt;0, "Down", "Up")</f>
        <v>Up</v>
      </c>
      <c r="D478" s="30" t="str">
        <f>IF(AC478&lt;0.05, "Sig", "N")</f>
        <v>Sig</v>
      </c>
      <c r="E478" s="31" t="str">
        <f>IF(AND(H478&gt;2,J478&gt;2,L478&gt;2,N478&gt;2),"Y","N")</f>
        <v>Y</v>
      </c>
      <c r="F478" s="31" t="str">
        <f>IF(AND(P478&gt;2,R478&gt;2,T478&gt;2,V478&gt;2),"Y","N")</f>
        <v>Y</v>
      </c>
      <c r="G478" s="31" t="str">
        <f>IF(OR(E478="Y", F478="Y"), "Expressed", "N")</f>
        <v>Expressed</v>
      </c>
      <c r="H478" s="29">
        <v>278.6254975806068</v>
      </c>
      <c r="I478" s="29">
        <v>50837</v>
      </c>
      <c r="J478" s="29">
        <v>219.90195739218939</v>
      </c>
      <c r="K478" s="29">
        <v>89870</v>
      </c>
      <c r="L478" s="29">
        <v>301.73135719054142</v>
      </c>
      <c r="M478" s="29">
        <v>95628</v>
      </c>
      <c r="N478" s="29">
        <v>321.37760162389492</v>
      </c>
      <c r="O478" s="29">
        <v>60624</v>
      </c>
      <c r="P478" s="29">
        <v>156.10877515497151</v>
      </c>
      <c r="Q478" s="29">
        <v>168237</v>
      </c>
      <c r="R478" s="29">
        <v>932.17385248873654</v>
      </c>
      <c r="S478" s="29">
        <v>85592</v>
      </c>
      <c r="T478" s="29">
        <v>802.73496226100758</v>
      </c>
      <c r="U478" s="29">
        <v>44062</v>
      </c>
      <c r="V478" s="29">
        <v>106.995658609798</v>
      </c>
      <c r="W478" s="29">
        <v>132369</v>
      </c>
      <c r="X478" s="29">
        <v>85394.857099589164</v>
      </c>
      <c r="Y478" s="29">
        <v>0.6040486200767784</v>
      </c>
      <c r="Z478" s="29">
        <v>0.1713252794513507</v>
      </c>
      <c r="AA478" s="29">
        <v>3.5257413384129519</v>
      </c>
      <c r="AB478" s="29">
        <v>4.222992076519346E-4</v>
      </c>
      <c r="AC478" s="29">
        <v>1.723645541355338E-2</v>
      </c>
      <c r="AD478" s="29" t="s">
        <v>610</v>
      </c>
      <c r="AE478" s="29" t="s">
        <v>611</v>
      </c>
      <c r="AF478" s="29" t="s">
        <v>612</v>
      </c>
      <c r="AG478" s="29" t="s">
        <v>613</v>
      </c>
      <c r="AH478" s="29" t="s">
        <v>43</v>
      </c>
      <c r="AI478" s="29" t="s">
        <v>43</v>
      </c>
      <c r="AJ478" s="29" t="s">
        <v>43</v>
      </c>
      <c r="AK478" s="29" t="s">
        <v>43</v>
      </c>
      <c r="AL478" s="29" t="s">
        <v>43</v>
      </c>
      <c r="AM478" s="29" t="s">
        <v>614</v>
      </c>
      <c r="AN478" s="29" t="s">
        <v>43</v>
      </c>
    </row>
    <row r="479" spans="1:40" s="29" customFormat="1" x14ac:dyDescent="0.3">
      <c r="A479" s="29" t="s">
        <v>648</v>
      </c>
      <c r="B479" s="29">
        <v>1255</v>
      </c>
      <c r="C479" s="29" t="str">
        <f>IF(Y479&lt;0, "Down", "Up")</f>
        <v>Up</v>
      </c>
      <c r="D479" s="30" t="str">
        <f>IF(AC479&lt;0.05, "Sig", "N")</f>
        <v>Sig</v>
      </c>
      <c r="E479" s="31" t="str">
        <f>IF(AND(H479&gt;2,J479&gt;2,L479&gt;2,N479&gt;2),"Y","N")</f>
        <v>Y</v>
      </c>
      <c r="F479" s="31" t="str">
        <f>IF(AND(P479&gt;2,R479&gt;2,T479&gt;2,V479&gt;2),"Y","N")</f>
        <v>Y</v>
      </c>
      <c r="G479" s="31" t="str">
        <f>IF(OR(E479="Y", F479="Y"), "Expressed", "N")</f>
        <v>Expressed</v>
      </c>
      <c r="H479" s="29">
        <v>124.40039677010451</v>
      </c>
      <c r="I479" s="29">
        <v>6946</v>
      </c>
      <c r="J479" s="29">
        <v>117.3139654918768</v>
      </c>
      <c r="K479" s="29">
        <v>14672</v>
      </c>
      <c r="L479" s="29">
        <v>137.37763666337679</v>
      </c>
      <c r="M479" s="29">
        <v>13324</v>
      </c>
      <c r="N479" s="29">
        <v>149.4780865639583</v>
      </c>
      <c r="O479" s="29">
        <v>8629</v>
      </c>
      <c r="P479" s="29">
        <v>72.608796904635781</v>
      </c>
      <c r="Q479" s="29">
        <v>20707</v>
      </c>
      <c r="R479" s="29">
        <v>374.92001725913258</v>
      </c>
      <c r="S479" s="29">
        <v>9811</v>
      </c>
      <c r="T479" s="29">
        <v>300.67569485735902</v>
      </c>
      <c r="U479" s="29">
        <v>5515</v>
      </c>
      <c r="V479" s="29">
        <v>43.761632073904558</v>
      </c>
      <c r="W479" s="29">
        <v>19652</v>
      </c>
      <c r="X479" s="29">
        <v>11384.8838713859</v>
      </c>
      <c r="Y479" s="29">
        <v>0.40402887088589928</v>
      </c>
      <c r="Z479" s="29">
        <v>0.13097055272561439</v>
      </c>
      <c r="AA479" s="29">
        <v>3.084883299930381</v>
      </c>
      <c r="AB479" s="29">
        <v>2.0363203539529098E-3</v>
      </c>
      <c r="AC479" s="29">
        <v>4.6968473959175312E-2</v>
      </c>
      <c r="AD479" s="29" t="s">
        <v>649</v>
      </c>
      <c r="AE479" s="29" t="s">
        <v>650</v>
      </c>
      <c r="AF479" s="29" t="s">
        <v>651</v>
      </c>
      <c r="AG479" s="29" t="s">
        <v>652</v>
      </c>
      <c r="AH479" s="29" t="s">
        <v>43</v>
      </c>
      <c r="AI479" s="29" t="s">
        <v>43</v>
      </c>
      <c r="AJ479" s="29" t="s">
        <v>43</v>
      </c>
      <c r="AK479" s="29" t="s">
        <v>43</v>
      </c>
      <c r="AL479" s="29" t="s">
        <v>43</v>
      </c>
      <c r="AM479" s="29" t="s">
        <v>653</v>
      </c>
      <c r="AN479" s="29" t="s">
        <v>654</v>
      </c>
    </row>
    <row r="480" spans="1:40" s="29" customFormat="1" x14ac:dyDescent="0.3">
      <c r="A480" s="29" t="s">
        <v>676</v>
      </c>
      <c r="B480" s="29">
        <v>676</v>
      </c>
      <c r="C480" s="29" t="str">
        <f>IF(Y480&lt;0, "Down", "Up")</f>
        <v>Up</v>
      </c>
      <c r="D480" s="30" t="str">
        <f>IF(AC480&lt;0.05, "Sig", "N")</f>
        <v>Sig</v>
      </c>
      <c r="E480" s="31" t="str">
        <f>IF(AND(H480&gt;2,J480&gt;2,L480&gt;2,N480&gt;2),"Y","N")</f>
        <v>Y</v>
      </c>
      <c r="F480" s="31" t="str">
        <f>IF(AND(P480&gt;2,R480&gt;2,T480&gt;2,V480&gt;2),"Y","N")</f>
        <v>Y</v>
      </c>
      <c r="G480" s="31" t="str">
        <f>IF(OR(E480="Y", F480="Y"), "Expressed", "N")</f>
        <v>Expressed</v>
      </c>
      <c r="H480" s="29">
        <v>107.3623629685102</v>
      </c>
      <c r="I480" s="29">
        <v>3229</v>
      </c>
      <c r="J480" s="29">
        <v>109.03080708564789</v>
      </c>
      <c r="K480" s="29">
        <v>7345</v>
      </c>
      <c r="L480" s="29">
        <v>121.95119260189369</v>
      </c>
      <c r="M480" s="29">
        <v>6371</v>
      </c>
      <c r="N480" s="29">
        <v>139.6380932477567</v>
      </c>
      <c r="O480" s="29">
        <v>4342</v>
      </c>
      <c r="P480" s="29">
        <v>67.829032240379448</v>
      </c>
      <c r="Q480" s="29">
        <v>10468</v>
      </c>
      <c r="R480" s="29">
        <v>351.86995761510292</v>
      </c>
      <c r="S480" s="29">
        <v>4918</v>
      </c>
      <c r="T480" s="29">
        <v>279.81474867181402</v>
      </c>
      <c r="U480" s="29">
        <v>2700</v>
      </c>
      <c r="V480" s="29">
        <v>39.774871727570748</v>
      </c>
      <c r="W480" s="29">
        <v>9941</v>
      </c>
      <c r="X480" s="29">
        <v>5635.8948250903677</v>
      </c>
      <c r="Y480" s="29">
        <v>0.44124813467520629</v>
      </c>
      <c r="Z480" s="29">
        <v>0.14181380339531499</v>
      </c>
      <c r="AA480" s="29">
        <v>3.1114611138747841</v>
      </c>
      <c r="AB480" s="29">
        <v>1.8616399085845481E-3</v>
      </c>
      <c r="AC480" s="29">
        <v>4.4457465372480701E-2</v>
      </c>
      <c r="AD480" s="29" t="s">
        <v>677</v>
      </c>
      <c r="AE480" s="29" t="s">
        <v>678</v>
      </c>
      <c r="AF480" s="29" t="s">
        <v>43</v>
      </c>
      <c r="AG480" s="29" t="s">
        <v>679</v>
      </c>
      <c r="AH480" s="29" t="s">
        <v>43</v>
      </c>
      <c r="AI480" s="29" t="s">
        <v>43</v>
      </c>
      <c r="AJ480" s="29" t="s">
        <v>43</v>
      </c>
      <c r="AK480" s="29" t="s">
        <v>43</v>
      </c>
      <c r="AL480" s="29" t="s">
        <v>43</v>
      </c>
      <c r="AM480" s="29" t="s">
        <v>680</v>
      </c>
      <c r="AN480" s="29" t="s">
        <v>43</v>
      </c>
    </row>
    <row r="481" spans="1:40" s="29" customFormat="1" x14ac:dyDescent="0.3">
      <c r="A481" s="29" t="s">
        <v>705</v>
      </c>
      <c r="B481" s="29">
        <v>1065</v>
      </c>
      <c r="C481" s="29" t="str">
        <f>IF(Y481&lt;0, "Down", "Up")</f>
        <v>Up</v>
      </c>
      <c r="D481" s="30" t="str">
        <f>IF(AC481&lt;0.05, "Sig", "N")</f>
        <v>Sig</v>
      </c>
      <c r="E481" s="31" t="str">
        <f>IF(AND(H481&gt;2,J481&gt;2,L481&gt;2,N481&gt;2),"Y","N")</f>
        <v>Y</v>
      </c>
      <c r="F481" s="31" t="str">
        <f>IF(AND(P481&gt;2,R481&gt;2,T481&gt;2,V481&gt;2),"Y","N")</f>
        <v>Y</v>
      </c>
      <c r="G481" s="31" t="str">
        <f>IF(OR(E481="Y", F481="Y"), "Expressed", "N")</f>
        <v>Expressed</v>
      </c>
      <c r="H481" s="29">
        <v>95.73134275074905</v>
      </c>
      <c r="I481" s="29">
        <v>4536</v>
      </c>
      <c r="J481" s="29">
        <v>96.625149672180171</v>
      </c>
      <c r="K481" s="29">
        <v>10255</v>
      </c>
      <c r="L481" s="29">
        <v>114.05185486007061</v>
      </c>
      <c r="M481" s="29">
        <v>9387</v>
      </c>
      <c r="N481" s="29">
        <v>125.7657507800464</v>
      </c>
      <c r="O481" s="29">
        <v>6161</v>
      </c>
      <c r="P481" s="29">
        <v>61.090558929787868</v>
      </c>
      <c r="Q481" s="29">
        <v>14544</v>
      </c>
      <c r="R481" s="29">
        <v>310.31261331763079</v>
      </c>
      <c r="S481" s="29">
        <v>7087</v>
      </c>
      <c r="T481" s="29">
        <v>255.94202302052449</v>
      </c>
      <c r="U481" s="29">
        <v>4095</v>
      </c>
      <c r="V481" s="29">
        <v>38.290939111005351</v>
      </c>
      <c r="W481" s="29">
        <v>15950</v>
      </c>
      <c r="X481" s="29">
        <v>8213.3342685381031</v>
      </c>
      <c r="Y481" s="29">
        <v>0.50224926605209463</v>
      </c>
      <c r="Z481" s="29">
        <v>0.13293026443037859</v>
      </c>
      <c r="AA481" s="29">
        <v>3.778291333461874</v>
      </c>
      <c r="AB481" s="29">
        <v>1.579080853239502E-4</v>
      </c>
      <c r="AC481" s="29">
        <v>8.9958143451297108E-3</v>
      </c>
      <c r="AD481" s="29" t="s">
        <v>706</v>
      </c>
      <c r="AE481" s="29" t="s">
        <v>707</v>
      </c>
      <c r="AF481" s="29" t="s">
        <v>708</v>
      </c>
      <c r="AG481" s="29" t="s">
        <v>709</v>
      </c>
      <c r="AH481" s="29" t="s">
        <v>43</v>
      </c>
      <c r="AI481" s="29" t="s">
        <v>43</v>
      </c>
      <c r="AJ481" s="29" t="s">
        <v>43</v>
      </c>
      <c r="AK481" s="29" t="s">
        <v>43</v>
      </c>
      <c r="AL481" s="29" t="s">
        <v>43</v>
      </c>
      <c r="AM481" s="29" t="s">
        <v>710</v>
      </c>
      <c r="AN481" s="29" t="s">
        <v>43</v>
      </c>
    </row>
    <row r="482" spans="1:40" s="29" customFormat="1" x14ac:dyDescent="0.3">
      <c r="A482" s="29" t="s">
        <v>711</v>
      </c>
      <c r="B482" s="29">
        <v>3787</v>
      </c>
      <c r="C482" s="29" t="str">
        <f>IF(Y482&lt;0, "Down", "Up")</f>
        <v>Up</v>
      </c>
      <c r="D482" s="30" t="str">
        <f>IF(AC482&lt;0.05, "Sig", "N")</f>
        <v>Sig</v>
      </c>
      <c r="E482" s="31" t="str">
        <f>IF(AND(H482&gt;2,J482&gt;2,L482&gt;2,N482&gt;2),"Y","N")</f>
        <v>Y</v>
      </c>
      <c r="F482" s="31" t="str">
        <f>IF(AND(P482&gt;2,R482&gt;2,T482&gt;2,V482&gt;2),"Y","N")</f>
        <v>Y</v>
      </c>
      <c r="G482" s="31" t="str">
        <f>IF(OR(E482="Y", F482="Y"), "Expressed", "N")</f>
        <v>Expressed</v>
      </c>
      <c r="H482" s="29">
        <v>86.173178556467647</v>
      </c>
      <c r="I482" s="29">
        <v>14519</v>
      </c>
      <c r="J482" s="29">
        <v>94.562481076718868</v>
      </c>
      <c r="K482" s="29">
        <v>35687</v>
      </c>
      <c r="L482" s="29">
        <v>102.72168964047729</v>
      </c>
      <c r="M482" s="29">
        <v>30063</v>
      </c>
      <c r="N482" s="29">
        <v>109.0734581500719</v>
      </c>
      <c r="O482" s="29">
        <v>19000</v>
      </c>
      <c r="P482" s="29">
        <v>52.982298292373443</v>
      </c>
      <c r="Q482" s="29">
        <v>47700</v>
      </c>
      <c r="R482" s="29">
        <v>286.21226765082332</v>
      </c>
      <c r="S482" s="29">
        <v>21314</v>
      </c>
      <c r="T482" s="29">
        <v>216.47035517459369</v>
      </c>
      <c r="U482" s="29">
        <v>12938</v>
      </c>
      <c r="V482" s="29">
        <v>34.02229149605823</v>
      </c>
      <c r="W482" s="29">
        <v>44293</v>
      </c>
      <c r="X482" s="29">
        <v>25684.437336309569</v>
      </c>
      <c r="Y482" s="29">
        <v>0.41954470418312911</v>
      </c>
      <c r="Z482" s="29">
        <v>0.1282969195105341</v>
      </c>
      <c r="AA482" s="29">
        <v>3.27010738670683</v>
      </c>
      <c r="AB482" s="29">
        <v>1.075066636514279E-3</v>
      </c>
      <c r="AC482" s="29">
        <v>3.221384717423395E-2</v>
      </c>
      <c r="AD482" s="29" t="s">
        <v>712</v>
      </c>
      <c r="AE482" s="29" t="s">
        <v>713</v>
      </c>
      <c r="AF482" s="29" t="s">
        <v>714</v>
      </c>
      <c r="AG482" s="29" t="s">
        <v>715</v>
      </c>
      <c r="AH482" s="29" t="s">
        <v>43</v>
      </c>
      <c r="AI482" s="29" t="s">
        <v>43</v>
      </c>
      <c r="AJ482" s="29" t="s">
        <v>43</v>
      </c>
      <c r="AK482" s="29" t="s">
        <v>43</v>
      </c>
      <c r="AL482" s="29" t="s">
        <v>43</v>
      </c>
      <c r="AM482" s="29" t="s">
        <v>716</v>
      </c>
      <c r="AN482" s="29" t="s">
        <v>43</v>
      </c>
    </row>
    <row r="483" spans="1:40" s="29" customFormat="1" x14ac:dyDescent="0.3">
      <c r="A483" s="29" t="s">
        <v>720</v>
      </c>
      <c r="B483" s="29">
        <v>2152</v>
      </c>
      <c r="C483" s="29" t="str">
        <f>IF(Y483&lt;0, "Down", "Up")</f>
        <v>Up</v>
      </c>
      <c r="D483" s="30" t="str">
        <f>IF(AC483&lt;0.05, "Sig", "N")</f>
        <v>Sig</v>
      </c>
      <c r="E483" s="31" t="str">
        <f>IF(AND(H483&gt;2,J483&gt;2,L483&gt;2,N483&gt;2),"Y","N")</f>
        <v>Y</v>
      </c>
      <c r="F483" s="31" t="str">
        <f>IF(AND(P483&gt;2,R483&gt;2,T483&gt;2,V483&gt;2),"Y","N")</f>
        <v>Y</v>
      </c>
      <c r="G483" s="31" t="str">
        <f>IF(OR(E483="Y", F483="Y"), "Expressed", "N")</f>
        <v>Expressed</v>
      </c>
      <c r="H483" s="29">
        <v>80.224350641681525</v>
      </c>
      <c r="I483" s="29">
        <v>7681</v>
      </c>
      <c r="J483" s="29">
        <v>91.96293221522167</v>
      </c>
      <c r="K483" s="29">
        <v>19722</v>
      </c>
      <c r="L483" s="29">
        <v>90.301502327196928</v>
      </c>
      <c r="M483" s="29">
        <v>15018</v>
      </c>
      <c r="N483" s="29">
        <v>90.940539926162401</v>
      </c>
      <c r="O483" s="29">
        <v>9002</v>
      </c>
      <c r="P483" s="29">
        <v>44.174255542609828</v>
      </c>
      <c r="Q483" s="29">
        <v>22272</v>
      </c>
      <c r="R483" s="29">
        <v>235.17010961794759</v>
      </c>
      <c r="S483" s="29">
        <v>11445</v>
      </c>
      <c r="T483" s="29">
        <v>204.5513280078666</v>
      </c>
      <c r="U483" s="29">
        <v>6794</v>
      </c>
      <c r="V483" s="29">
        <v>31.439453992422241</v>
      </c>
      <c r="W483" s="29">
        <v>25063</v>
      </c>
      <c r="X483" s="29">
        <v>13309.15488164099</v>
      </c>
      <c r="Y483" s="29">
        <v>0.44773325271627368</v>
      </c>
      <c r="Z483" s="29">
        <v>0.12512508533199559</v>
      </c>
      <c r="AA483" s="29">
        <v>3.57828529369869</v>
      </c>
      <c r="AB483" s="29">
        <v>3.4585581566897968E-4</v>
      </c>
      <c r="AC483" s="29">
        <v>1.500316182393765E-2</v>
      </c>
      <c r="AD483" s="29" t="s">
        <v>721</v>
      </c>
      <c r="AE483" s="29" t="s">
        <v>722</v>
      </c>
      <c r="AF483" s="29" t="s">
        <v>723</v>
      </c>
      <c r="AG483" s="29" t="s">
        <v>724</v>
      </c>
      <c r="AH483" s="29" t="s">
        <v>43</v>
      </c>
      <c r="AI483" s="29" t="s">
        <v>43</v>
      </c>
      <c r="AJ483" s="29" t="s">
        <v>43</v>
      </c>
      <c r="AK483" s="29" t="s">
        <v>43</v>
      </c>
      <c r="AL483" s="29" t="s">
        <v>43</v>
      </c>
      <c r="AM483" s="29" t="s">
        <v>725</v>
      </c>
      <c r="AN483" s="29" t="s">
        <v>43</v>
      </c>
    </row>
    <row r="484" spans="1:40" s="29" customFormat="1" x14ac:dyDescent="0.3">
      <c r="A484" s="29" t="s">
        <v>726</v>
      </c>
      <c r="B484" s="29">
        <v>2388</v>
      </c>
      <c r="C484" s="29" t="str">
        <f>IF(Y484&lt;0, "Down", "Up")</f>
        <v>Up</v>
      </c>
      <c r="D484" s="30" t="str">
        <f>IF(AC484&lt;0.05, "Sig", "N")</f>
        <v>Sig</v>
      </c>
      <c r="E484" s="31" t="str">
        <f>IF(AND(H484&gt;2,J484&gt;2,L484&gt;2,N484&gt;2),"Y","N")</f>
        <v>Y</v>
      </c>
      <c r="F484" s="31" t="str">
        <f>IF(AND(P484&gt;2,R484&gt;2,T484&gt;2,V484&gt;2),"Y","N")</f>
        <v>Y</v>
      </c>
      <c r="G484" s="31" t="str">
        <f>IF(OR(E484="Y", F484="Y"), "Expressed", "N")</f>
        <v>Expressed</v>
      </c>
      <c r="H484" s="29">
        <v>82.254208799196761</v>
      </c>
      <c r="I484" s="29">
        <v>8739</v>
      </c>
      <c r="J484" s="29">
        <v>89.690328052263979</v>
      </c>
      <c r="K484" s="29">
        <v>21344</v>
      </c>
      <c r="L484" s="29">
        <v>100.2666349789074</v>
      </c>
      <c r="M484" s="29">
        <v>18504</v>
      </c>
      <c r="N484" s="29">
        <v>103.2561926248444</v>
      </c>
      <c r="O484" s="29">
        <v>11342</v>
      </c>
      <c r="P484" s="29">
        <v>50.156568710393223</v>
      </c>
      <c r="Q484" s="29">
        <v>28761</v>
      </c>
      <c r="R484" s="29">
        <v>273.67481318412013</v>
      </c>
      <c r="S484" s="29">
        <v>12116</v>
      </c>
      <c r="T484" s="29">
        <v>195.1433317595845</v>
      </c>
      <c r="U484" s="29">
        <v>7636</v>
      </c>
      <c r="V484" s="29">
        <v>31.84368482317911</v>
      </c>
      <c r="W484" s="29">
        <v>26734</v>
      </c>
      <c r="X484" s="29">
        <v>15301.204803968991</v>
      </c>
      <c r="Y484" s="29">
        <v>0.39105902530450132</v>
      </c>
      <c r="Z484" s="29">
        <v>0.12124742006226211</v>
      </c>
      <c r="AA484" s="29">
        <v>3.2252977020351219</v>
      </c>
      <c r="AB484" s="29">
        <v>1.258417366277487E-3</v>
      </c>
      <c r="AC484" s="29">
        <v>3.5587922695612853E-2</v>
      </c>
      <c r="AD484" s="29" t="s">
        <v>727</v>
      </c>
      <c r="AE484" s="29" t="s">
        <v>728</v>
      </c>
      <c r="AF484" s="29" t="s">
        <v>729</v>
      </c>
      <c r="AG484" s="29" t="s">
        <v>730</v>
      </c>
      <c r="AH484" s="29" t="s">
        <v>43</v>
      </c>
      <c r="AI484" s="29" t="s">
        <v>43</v>
      </c>
      <c r="AJ484" s="29" t="s">
        <v>43</v>
      </c>
      <c r="AK484" s="29" t="s">
        <v>43</v>
      </c>
      <c r="AL484" s="29" t="s">
        <v>43</v>
      </c>
      <c r="AM484" s="29" t="s">
        <v>731</v>
      </c>
      <c r="AN484" s="29" t="s">
        <v>43</v>
      </c>
    </row>
    <row r="485" spans="1:40" s="29" customFormat="1" x14ac:dyDescent="0.3">
      <c r="A485" s="29" t="s">
        <v>744</v>
      </c>
      <c r="B485" s="29">
        <v>2117</v>
      </c>
      <c r="C485" s="29" t="str">
        <f>IF(Y485&lt;0, "Down", "Up")</f>
        <v>Up</v>
      </c>
      <c r="D485" s="30" t="str">
        <f>IF(AC485&lt;0.05, "Sig", "N")</f>
        <v>Sig</v>
      </c>
      <c r="E485" s="31" t="str">
        <f>IF(AND(H485&gt;2,J485&gt;2,L485&gt;2,N485&gt;2),"Y","N")</f>
        <v>Y</v>
      </c>
      <c r="F485" s="31" t="str">
        <f>IF(AND(P485&gt;2,R485&gt;2,T485&gt;2,V485&gt;2),"Y","N")</f>
        <v>Y</v>
      </c>
      <c r="G485" s="31" t="str">
        <f>IF(OR(E485="Y", F485="Y"), "Expressed", "N")</f>
        <v>Expressed</v>
      </c>
      <c r="H485" s="29">
        <v>70.742380135619669</v>
      </c>
      <c r="I485" s="29">
        <v>6663</v>
      </c>
      <c r="J485" s="29">
        <v>82.600176324214047</v>
      </c>
      <c r="K485" s="29">
        <v>17426</v>
      </c>
      <c r="L485" s="29">
        <v>77.668928636109968</v>
      </c>
      <c r="M485" s="29">
        <v>12707</v>
      </c>
      <c r="N485" s="29">
        <v>83.335194403854132</v>
      </c>
      <c r="O485" s="29">
        <v>8115</v>
      </c>
      <c r="P485" s="29">
        <v>40.479968298823209</v>
      </c>
      <c r="Q485" s="29">
        <v>19207</v>
      </c>
      <c r="R485" s="29">
        <v>206.1597358193637</v>
      </c>
      <c r="S485" s="29">
        <v>10570</v>
      </c>
      <c r="T485" s="29">
        <v>192.0361111630539</v>
      </c>
      <c r="U485" s="29">
        <v>6110</v>
      </c>
      <c r="V485" s="29">
        <v>28.741674834879738</v>
      </c>
      <c r="W485" s="29">
        <v>20428</v>
      </c>
      <c r="X485" s="29">
        <v>11669.88288701135</v>
      </c>
      <c r="Y485" s="29">
        <v>0.44838230611143431</v>
      </c>
      <c r="Z485" s="29">
        <v>0.14657987163239869</v>
      </c>
      <c r="AA485" s="29">
        <v>3.0589623330815341</v>
      </c>
      <c r="AB485" s="29">
        <v>2.2210507373560339E-3</v>
      </c>
      <c r="AC485" s="29">
        <v>4.898328501172701E-2</v>
      </c>
      <c r="AD485" s="29" t="s">
        <v>745</v>
      </c>
      <c r="AE485" s="29" t="s">
        <v>746</v>
      </c>
      <c r="AF485" s="29" t="s">
        <v>747</v>
      </c>
      <c r="AG485" s="29" t="s">
        <v>748</v>
      </c>
      <c r="AH485" s="29" t="s">
        <v>43</v>
      </c>
      <c r="AI485" s="29" t="s">
        <v>43</v>
      </c>
      <c r="AJ485" s="29" t="s">
        <v>43</v>
      </c>
      <c r="AK485" s="29" t="s">
        <v>43</v>
      </c>
      <c r="AL485" s="29" t="s">
        <v>43</v>
      </c>
      <c r="AM485" s="29" t="s">
        <v>749</v>
      </c>
      <c r="AN485" s="29" t="s">
        <v>43</v>
      </c>
    </row>
    <row r="486" spans="1:40" s="29" customFormat="1" x14ac:dyDescent="0.3">
      <c r="A486" s="29" t="s">
        <v>756</v>
      </c>
      <c r="B486" s="29">
        <v>1559</v>
      </c>
      <c r="C486" s="29" t="str">
        <f>IF(Y486&lt;0, "Down", "Up")</f>
        <v>Up</v>
      </c>
      <c r="D486" s="30" t="str">
        <f>IF(AC486&lt;0.05, "Sig", "N")</f>
        <v>Sig</v>
      </c>
      <c r="E486" s="31" t="str">
        <f>IF(AND(H486&gt;2,J486&gt;2,L486&gt;2,N486&gt;2),"Y","N")</f>
        <v>Y</v>
      </c>
      <c r="F486" s="31" t="str">
        <f>IF(AND(P486&gt;2,R486&gt;2,T486&gt;2,V486&gt;2),"Y","N")</f>
        <v>Y</v>
      </c>
      <c r="G486" s="31" t="str">
        <f>IF(OR(E486="Y", F486="Y"), "Expressed", "N")</f>
        <v>Expressed</v>
      </c>
      <c r="H486" s="29">
        <v>77.579609498326889</v>
      </c>
      <c r="I486" s="29">
        <v>5381</v>
      </c>
      <c r="J486" s="29">
        <v>77.220154530120794</v>
      </c>
      <c r="K486" s="29">
        <v>11997</v>
      </c>
      <c r="L486" s="29">
        <v>85.365683800290384</v>
      </c>
      <c r="M486" s="29">
        <v>10285</v>
      </c>
      <c r="N486" s="29">
        <v>73.238491237541609</v>
      </c>
      <c r="O486" s="29">
        <v>5252</v>
      </c>
      <c r="P486" s="29">
        <v>35.575507140260697</v>
      </c>
      <c r="Q486" s="29">
        <v>17864</v>
      </c>
      <c r="R486" s="29">
        <v>260.37409025639028</v>
      </c>
      <c r="S486" s="29">
        <v>5494</v>
      </c>
      <c r="T486" s="29">
        <v>135.54119593940911</v>
      </c>
      <c r="U486" s="29">
        <v>4529</v>
      </c>
      <c r="V486" s="29">
        <v>28.929966118028531</v>
      </c>
      <c r="W486" s="29">
        <v>14589</v>
      </c>
      <c r="X486" s="29">
        <v>8409.2315023317933</v>
      </c>
      <c r="Y486" s="29">
        <v>0.41744365762157343</v>
      </c>
      <c r="Z486" s="29">
        <v>0.13651034402887041</v>
      </c>
      <c r="AA486" s="29">
        <v>3.0579635601335</v>
      </c>
      <c r="AB486" s="29">
        <v>2.2284667287684251E-3</v>
      </c>
      <c r="AC486" s="29">
        <v>4.9101034856983312E-2</v>
      </c>
      <c r="AD486" s="29" t="s">
        <v>757</v>
      </c>
      <c r="AE486" s="29" t="s">
        <v>758</v>
      </c>
      <c r="AF486" s="29" t="s">
        <v>759</v>
      </c>
      <c r="AG486" s="29" t="s">
        <v>760</v>
      </c>
      <c r="AH486" s="29" t="s">
        <v>43</v>
      </c>
      <c r="AI486" s="29" t="s">
        <v>43</v>
      </c>
      <c r="AJ486" s="29" t="s">
        <v>43</v>
      </c>
      <c r="AK486" s="29" t="s">
        <v>43</v>
      </c>
      <c r="AL486" s="29" t="s">
        <v>43</v>
      </c>
      <c r="AM486" s="29" t="s">
        <v>761</v>
      </c>
      <c r="AN486" s="29" t="s">
        <v>43</v>
      </c>
    </row>
    <row r="487" spans="1:40" s="29" customFormat="1" x14ac:dyDescent="0.3">
      <c r="A487" s="29" t="s">
        <v>768</v>
      </c>
      <c r="B487" s="29">
        <v>1510</v>
      </c>
      <c r="C487" s="29" t="str">
        <f>IF(Y487&lt;0, "Down", "Up")</f>
        <v>Up</v>
      </c>
      <c r="D487" s="30" t="str">
        <f>IF(AC487&lt;0.05, "Sig", "N")</f>
        <v>Sig</v>
      </c>
      <c r="E487" s="31" t="str">
        <f>IF(AND(H487&gt;2,J487&gt;2,L487&gt;2,N487&gt;2),"Y","N")</f>
        <v>Y</v>
      </c>
      <c r="F487" s="31" t="str">
        <f>IF(AND(P487&gt;2,R487&gt;2,T487&gt;2,V487&gt;2),"Y","N")</f>
        <v>Y</v>
      </c>
      <c r="G487" s="31" t="str">
        <f>IF(OR(E487="Y", F487="Y"), "Expressed", "N")</f>
        <v>Expressed</v>
      </c>
      <c r="H487" s="29">
        <v>62.473053611434047</v>
      </c>
      <c r="I487" s="29">
        <v>4197</v>
      </c>
      <c r="J487" s="29">
        <v>73.346301266862099</v>
      </c>
      <c r="K487" s="29">
        <v>11037</v>
      </c>
      <c r="L487" s="29">
        <v>80.449115995917637</v>
      </c>
      <c r="M487" s="29">
        <v>9388</v>
      </c>
      <c r="N487" s="29">
        <v>84.901422583703649</v>
      </c>
      <c r="O487" s="29">
        <v>5897</v>
      </c>
      <c r="P487" s="29">
        <v>41.240761712969253</v>
      </c>
      <c r="Q487" s="29">
        <v>14653</v>
      </c>
      <c r="R487" s="29">
        <v>220.503137314063</v>
      </c>
      <c r="S487" s="29">
        <v>7887</v>
      </c>
      <c r="T487" s="29">
        <v>200.89247389581561</v>
      </c>
      <c r="U487" s="29">
        <v>4215</v>
      </c>
      <c r="V487" s="29">
        <v>27.79792322988385</v>
      </c>
      <c r="W487" s="29">
        <v>17266</v>
      </c>
      <c r="X487" s="29">
        <v>8460.8495725753401</v>
      </c>
      <c r="Y487" s="29">
        <v>0.60281082030898436</v>
      </c>
      <c r="Z487" s="29">
        <v>0.1419392081916262</v>
      </c>
      <c r="AA487" s="29">
        <v>4.246964795626833</v>
      </c>
      <c r="AB487" s="29">
        <v>2.1668599115706302E-5</v>
      </c>
      <c r="AC487" s="29">
        <v>2.2897880523072328E-3</v>
      </c>
      <c r="AD487" s="29" t="s">
        <v>769</v>
      </c>
      <c r="AE487" s="29" t="s">
        <v>770</v>
      </c>
      <c r="AF487" s="29" t="s">
        <v>771</v>
      </c>
      <c r="AG487" s="29" t="s">
        <v>772</v>
      </c>
      <c r="AH487" s="29" t="s">
        <v>43</v>
      </c>
      <c r="AI487" s="29" t="s">
        <v>43</v>
      </c>
      <c r="AJ487" s="29" t="s">
        <v>43</v>
      </c>
      <c r="AK487" s="29" t="s">
        <v>43</v>
      </c>
      <c r="AL487" s="29" t="s">
        <v>43</v>
      </c>
      <c r="AM487" s="29" t="s">
        <v>773</v>
      </c>
      <c r="AN487" s="29" t="s">
        <v>43</v>
      </c>
    </row>
    <row r="488" spans="1:40" s="29" customFormat="1" x14ac:dyDescent="0.3">
      <c r="A488" s="29" t="s">
        <v>780</v>
      </c>
      <c r="B488" s="29">
        <v>2188</v>
      </c>
      <c r="C488" s="29" t="str">
        <f>IF(Y488&lt;0, "Down", "Up")</f>
        <v>Up</v>
      </c>
      <c r="D488" s="30" t="str">
        <f>IF(AC488&lt;0.05, "Sig", "N")</f>
        <v>Sig</v>
      </c>
      <c r="E488" s="31" t="str">
        <f>IF(AND(H488&gt;2,J488&gt;2,L488&gt;2,N488&gt;2),"Y","N")</f>
        <v>Y</v>
      </c>
      <c r="F488" s="31" t="str">
        <f>IF(AND(P488&gt;2,R488&gt;2,T488&gt;2,V488&gt;2),"Y","N")</f>
        <v>Y</v>
      </c>
      <c r="G488" s="31" t="str">
        <f>IF(OR(E488="Y", F488="Y"), "Expressed", "N")</f>
        <v>Expressed</v>
      </c>
      <c r="H488" s="29">
        <v>60.475216320819548</v>
      </c>
      <c r="I488" s="29">
        <v>5887</v>
      </c>
      <c r="J488" s="29">
        <v>72.224112050612959</v>
      </c>
      <c r="K488" s="29">
        <v>15748</v>
      </c>
      <c r="L488" s="29">
        <v>59.216405423497392</v>
      </c>
      <c r="M488" s="29">
        <v>10013</v>
      </c>
      <c r="N488" s="29">
        <v>73.616143730879273</v>
      </c>
      <c r="O488" s="29">
        <v>7409</v>
      </c>
      <c r="P488" s="29">
        <v>35.758951374928174</v>
      </c>
      <c r="Q488" s="29">
        <v>18752</v>
      </c>
      <c r="R488" s="29">
        <v>194.74461041162641</v>
      </c>
      <c r="S488" s="29">
        <v>9249</v>
      </c>
      <c r="T488" s="29">
        <v>162.5834126358524</v>
      </c>
      <c r="U488" s="29">
        <v>6117</v>
      </c>
      <c r="V488" s="29">
        <v>27.84087512385808</v>
      </c>
      <c r="W488" s="29">
        <v>17793</v>
      </c>
      <c r="X488" s="29">
        <v>10593.783005768661</v>
      </c>
      <c r="Y488" s="29">
        <v>0.53232954146910194</v>
      </c>
      <c r="Z488" s="29">
        <v>0.1713559160322923</v>
      </c>
      <c r="AA488" s="29">
        <v>3.106572295810222</v>
      </c>
      <c r="AB488" s="29">
        <v>1.8927002152368309E-3</v>
      </c>
      <c r="AC488" s="29">
        <v>4.4919788492839167E-2</v>
      </c>
      <c r="AD488" s="29" t="s">
        <v>781</v>
      </c>
      <c r="AE488" s="29" t="s">
        <v>782</v>
      </c>
      <c r="AF488" s="29" t="s">
        <v>783</v>
      </c>
      <c r="AG488" s="29" t="s">
        <v>784</v>
      </c>
      <c r="AH488" s="29" t="s">
        <v>43</v>
      </c>
      <c r="AI488" s="29" t="s">
        <v>43</v>
      </c>
      <c r="AJ488" s="29" t="s">
        <v>43</v>
      </c>
      <c r="AK488" s="29" t="s">
        <v>43</v>
      </c>
      <c r="AL488" s="29" t="s">
        <v>43</v>
      </c>
      <c r="AM488" s="29" t="s">
        <v>785</v>
      </c>
      <c r="AN488" s="29" t="s">
        <v>43</v>
      </c>
    </row>
    <row r="489" spans="1:40" s="29" customFormat="1" x14ac:dyDescent="0.3">
      <c r="A489" s="29" t="s">
        <v>786</v>
      </c>
      <c r="B489" s="29">
        <v>1524</v>
      </c>
      <c r="C489" s="29" t="str">
        <f>IF(Y489&lt;0, "Down", "Up")</f>
        <v>Up</v>
      </c>
      <c r="D489" s="30" t="str">
        <f>IF(AC489&lt;0.05, "Sig", "N")</f>
        <v>Sig</v>
      </c>
      <c r="E489" s="31" t="str">
        <f>IF(AND(H489&gt;2,J489&gt;2,L489&gt;2,N489&gt;2),"Y","N")</f>
        <v>Y</v>
      </c>
      <c r="F489" s="31" t="str">
        <f>IF(AND(P489&gt;2,R489&gt;2,T489&gt;2,V489&gt;2),"Y","N")</f>
        <v>Y</v>
      </c>
      <c r="G489" s="31" t="str">
        <f>IF(OR(E489="Y", F489="Y"), "Expressed", "N")</f>
        <v>Expressed</v>
      </c>
      <c r="H489" s="29">
        <v>71.9280855090024</v>
      </c>
      <c r="I489" s="29">
        <v>4877</v>
      </c>
      <c r="J489" s="29">
        <v>72.014071875337407</v>
      </c>
      <c r="K489" s="29">
        <v>10937</v>
      </c>
      <c r="L489" s="29">
        <v>61.735407659631583</v>
      </c>
      <c r="M489" s="29">
        <v>7271</v>
      </c>
      <c r="N489" s="29">
        <v>87.61644579707027</v>
      </c>
      <c r="O489" s="29">
        <v>6142</v>
      </c>
      <c r="P489" s="29">
        <v>42.559580903274842</v>
      </c>
      <c r="Q489" s="29">
        <v>14969</v>
      </c>
      <c r="R489" s="29">
        <v>223.18910571759761</v>
      </c>
      <c r="S489" s="29">
        <v>7699</v>
      </c>
      <c r="T489" s="29">
        <v>194.302382567069</v>
      </c>
      <c r="U489" s="29">
        <v>4142</v>
      </c>
      <c r="V489" s="29">
        <v>27.065549392005511</v>
      </c>
      <c r="W489" s="29">
        <v>15425</v>
      </c>
      <c r="X489" s="29">
        <v>8270.3473351262783</v>
      </c>
      <c r="Y489" s="29">
        <v>0.5646373707227047</v>
      </c>
      <c r="Z489" s="29">
        <v>0.17426686586263079</v>
      </c>
      <c r="AA489" s="29">
        <v>3.2400730220728868</v>
      </c>
      <c r="AB489" s="29">
        <v>1.194990927839358E-3</v>
      </c>
      <c r="AC489" s="29">
        <v>3.4411663235052493E-2</v>
      </c>
      <c r="AD489" s="29" t="s">
        <v>787</v>
      </c>
      <c r="AE489" s="29" t="s">
        <v>788</v>
      </c>
      <c r="AF489" s="29" t="s">
        <v>789</v>
      </c>
      <c r="AG489" s="29" t="s">
        <v>790</v>
      </c>
      <c r="AH489" s="29" t="s">
        <v>43</v>
      </c>
      <c r="AI489" s="29" t="s">
        <v>43</v>
      </c>
      <c r="AJ489" s="29" t="s">
        <v>43</v>
      </c>
      <c r="AK489" s="29" t="s">
        <v>43</v>
      </c>
      <c r="AL489" s="29" t="s">
        <v>43</v>
      </c>
      <c r="AM489" s="29" t="s">
        <v>791</v>
      </c>
      <c r="AN489" s="29" t="s">
        <v>43</v>
      </c>
    </row>
    <row r="490" spans="1:40" s="29" customFormat="1" x14ac:dyDescent="0.3">
      <c r="A490" s="29" t="s">
        <v>819</v>
      </c>
      <c r="B490" s="29">
        <v>1186</v>
      </c>
      <c r="C490" s="29" t="str">
        <f>IF(Y490&lt;0, "Down", "Up")</f>
        <v>Up</v>
      </c>
      <c r="D490" s="30" t="str">
        <f>IF(AC490&lt;0.05, "Sig", "N")</f>
        <v>Sig</v>
      </c>
      <c r="E490" s="31" t="str">
        <f>IF(AND(H490&gt;2,J490&gt;2,L490&gt;2,N490&gt;2),"Y","N")</f>
        <v>Y</v>
      </c>
      <c r="F490" s="31" t="str">
        <f>IF(AND(P490&gt;2,R490&gt;2,T490&gt;2,V490&gt;2),"Y","N")</f>
        <v>Y</v>
      </c>
      <c r="G490" s="31" t="str">
        <f>IF(OR(E490="Y", F490="Y"), "Expressed", "N")</f>
        <v>Expressed</v>
      </c>
      <c r="H490" s="29">
        <v>71.599168196796128</v>
      </c>
      <c r="I490" s="29">
        <v>3778</v>
      </c>
      <c r="J490" s="29">
        <v>62.467237733876964</v>
      </c>
      <c r="K490" s="29">
        <v>7383</v>
      </c>
      <c r="L490" s="29">
        <v>98.302654319214426</v>
      </c>
      <c r="M490" s="29">
        <v>9010</v>
      </c>
      <c r="N490" s="29">
        <v>75.356995460409976</v>
      </c>
      <c r="O490" s="29">
        <v>4111</v>
      </c>
      <c r="P490" s="29">
        <v>36.604567963795162</v>
      </c>
      <c r="Q490" s="29">
        <v>11592</v>
      </c>
      <c r="R490" s="29">
        <v>222.09503716005031</v>
      </c>
      <c r="S490" s="29">
        <v>5651</v>
      </c>
      <c r="T490" s="29">
        <v>183.2607213353343</v>
      </c>
      <c r="U490" s="29">
        <v>2818</v>
      </c>
      <c r="V490" s="29">
        <v>23.66181308010961</v>
      </c>
      <c r="W490" s="29">
        <v>11158</v>
      </c>
      <c r="X490" s="29">
        <v>6254.7266574805999</v>
      </c>
      <c r="Y490" s="29">
        <v>0.43245274047042148</v>
      </c>
      <c r="Z490" s="29">
        <v>0.12636011059266619</v>
      </c>
      <c r="AA490" s="29">
        <v>3.4223833648300142</v>
      </c>
      <c r="AB490" s="29">
        <v>6.2074723500185787E-4</v>
      </c>
      <c r="AC490" s="29">
        <v>2.2405658213609039E-2</v>
      </c>
      <c r="AD490" s="29" t="s">
        <v>820</v>
      </c>
      <c r="AE490" s="29" t="s">
        <v>821</v>
      </c>
      <c r="AF490" s="29" t="s">
        <v>822</v>
      </c>
      <c r="AG490" s="29" t="s">
        <v>823</v>
      </c>
      <c r="AH490" s="29" t="s">
        <v>43</v>
      </c>
      <c r="AI490" s="29" t="s">
        <v>43</v>
      </c>
      <c r="AJ490" s="29" t="s">
        <v>43</v>
      </c>
      <c r="AK490" s="29" t="s">
        <v>43</v>
      </c>
      <c r="AL490" s="29" t="s">
        <v>43</v>
      </c>
      <c r="AM490" s="29" t="s">
        <v>824</v>
      </c>
      <c r="AN490" s="29" t="s">
        <v>43</v>
      </c>
    </row>
    <row r="491" spans="1:40" s="29" customFormat="1" x14ac:dyDescent="0.3">
      <c r="A491" s="29" t="s">
        <v>565</v>
      </c>
      <c r="B491" s="29">
        <v>2572</v>
      </c>
      <c r="C491" s="29" t="str">
        <f>IF(Y491&lt;0, "Down", "Up")</f>
        <v>Up</v>
      </c>
      <c r="D491" s="30" t="str">
        <f>IF(AC491&lt;0.05, "Sig", "N")</f>
        <v>Sig</v>
      </c>
      <c r="E491" s="31" t="str">
        <f>IF(AND(H491&gt;2,J491&gt;2,L491&gt;2,N491&gt;2),"Y","N")</f>
        <v>Y</v>
      </c>
      <c r="F491" s="31" t="str">
        <f>IF(AND(P491&gt;2,R491&gt;2,T491&gt;2,V491&gt;2),"Y","N")</f>
        <v>Y</v>
      </c>
      <c r="G491" s="31" t="str">
        <f>IF(OR(E491="Y", F491="Y"), "Expressed", "N")</f>
        <v>Expressed</v>
      </c>
      <c r="H491" s="29">
        <v>41.300324638047051</v>
      </c>
      <c r="I491" s="29">
        <v>4726</v>
      </c>
      <c r="J491" s="29">
        <v>57.43808762821898</v>
      </c>
      <c r="K491" s="29">
        <v>14722</v>
      </c>
      <c r="L491" s="29">
        <v>72.270291879960624</v>
      </c>
      <c r="M491" s="29">
        <v>14365</v>
      </c>
      <c r="N491" s="29">
        <v>61.069965395626539</v>
      </c>
      <c r="O491" s="29">
        <v>7225</v>
      </c>
      <c r="P491" s="29">
        <v>29.664660662396699</v>
      </c>
      <c r="Q491" s="29">
        <v>19291</v>
      </c>
      <c r="R491" s="29">
        <v>170.4311394019081</v>
      </c>
      <c r="S491" s="29">
        <v>7693</v>
      </c>
      <c r="T491" s="29">
        <v>115.0412366540511</v>
      </c>
      <c r="U491" s="29">
        <v>7664</v>
      </c>
      <c r="V491" s="29">
        <v>29.674010863139959</v>
      </c>
      <c r="W491" s="29">
        <v>19816</v>
      </c>
      <c r="X491" s="29">
        <v>10993.987955011189</v>
      </c>
      <c r="Y491" s="29">
        <v>0.59771350161055403</v>
      </c>
      <c r="Z491" s="29">
        <v>0.19080395180474721</v>
      </c>
      <c r="AA491" s="29">
        <v>3.1326054620829029</v>
      </c>
      <c r="AB491" s="29">
        <v>1.7326216953659731E-3</v>
      </c>
      <c r="AC491" s="29">
        <v>4.2754611591860017E-2</v>
      </c>
      <c r="AD491" s="29" t="s">
        <v>566</v>
      </c>
      <c r="AE491" s="29" t="s">
        <v>567</v>
      </c>
      <c r="AF491" s="29" t="s">
        <v>568</v>
      </c>
      <c r="AG491" s="29" t="s">
        <v>569</v>
      </c>
      <c r="AH491" s="29" t="s">
        <v>43</v>
      </c>
      <c r="AI491" s="29" t="s">
        <v>43</v>
      </c>
      <c r="AJ491" s="29" t="s">
        <v>43</v>
      </c>
      <c r="AK491" s="29" t="s">
        <v>43</v>
      </c>
      <c r="AL491" s="29" t="s">
        <v>43</v>
      </c>
      <c r="AM491" s="29" t="s">
        <v>570</v>
      </c>
      <c r="AN491" s="29" t="s">
        <v>43</v>
      </c>
    </row>
    <row r="492" spans="1:40" s="29" customFormat="1" x14ac:dyDescent="0.3">
      <c r="A492" s="29" t="s">
        <v>899</v>
      </c>
      <c r="B492" s="29">
        <v>861</v>
      </c>
      <c r="C492" s="29" t="str">
        <f>IF(Y492&lt;0, "Down", "Up")</f>
        <v>Up</v>
      </c>
      <c r="D492" s="30" t="str">
        <f>IF(AC492&lt;0.05, "Sig", "N")</f>
        <v>Sig</v>
      </c>
      <c r="E492" s="31" t="str">
        <f>IF(AND(H492&gt;2,J492&gt;2,L492&gt;2,N492&gt;2),"Y","N")</f>
        <v>Y</v>
      </c>
      <c r="F492" s="31" t="str">
        <f>IF(AND(P492&gt;2,R492&gt;2,T492&gt;2,V492&gt;2),"Y","N")</f>
        <v>Y</v>
      </c>
      <c r="G492" s="31" t="str">
        <f>IF(OR(E492="Y", F492="Y"), "Expressed", "N")</f>
        <v>Expressed</v>
      </c>
      <c r="H492" s="29">
        <v>37.513218705757247</v>
      </c>
      <c r="I492" s="29">
        <v>1437</v>
      </c>
      <c r="J492" s="29">
        <v>51.921673233349161</v>
      </c>
      <c r="K492" s="29">
        <v>4455</v>
      </c>
      <c r="L492" s="29">
        <v>49.775120410901359</v>
      </c>
      <c r="M492" s="29">
        <v>3312</v>
      </c>
      <c r="N492" s="29">
        <v>46.358600007475737</v>
      </c>
      <c r="O492" s="29">
        <v>1836</v>
      </c>
      <c r="P492" s="29">
        <v>22.5186329989968</v>
      </c>
      <c r="Q492" s="29">
        <v>4336</v>
      </c>
      <c r="R492" s="29">
        <v>114.4330023965635</v>
      </c>
      <c r="S492" s="29">
        <v>2757</v>
      </c>
      <c r="T492" s="29">
        <v>123.1579320535333</v>
      </c>
      <c r="U492" s="29">
        <v>1384</v>
      </c>
      <c r="V492" s="29">
        <v>16.00754230239065</v>
      </c>
      <c r="W492" s="29">
        <v>6290</v>
      </c>
      <c r="X492" s="29">
        <v>2895.428860008115</v>
      </c>
      <c r="Y492" s="29">
        <v>0.53721103600557607</v>
      </c>
      <c r="Z492" s="29">
        <v>0.17056727608007319</v>
      </c>
      <c r="AA492" s="29">
        <v>3.149555110168853</v>
      </c>
      <c r="AB492" s="29">
        <v>1.635192642833972E-3</v>
      </c>
      <c r="AC492" s="29">
        <v>4.1502619018144352E-2</v>
      </c>
      <c r="AD492" s="29" t="s">
        <v>900</v>
      </c>
      <c r="AE492" s="29" t="s">
        <v>901</v>
      </c>
      <c r="AF492" s="29" t="s">
        <v>902</v>
      </c>
      <c r="AG492" s="29" t="s">
        <v>772</v>
      </c>
      <c r="AH492" s="29" t="s">
        <v>43</v>
      </c>
      <c r="AI492" s="29" t="s">
        <v>43</v>
      </c>
      <c r="AJ492" s="29" t="s">
        <v>43</v>
      </c>
      <c r="AK492" s="29" t="s">
        <v>43</v>
      </c>
      <c r="AL492" s="29" t="s">
        <v>43</v>
      </c>
      <c r="AM492" s="29" t="s">
        <v>773</v>
      </c>
      <c r="AN492" s="29" t="s">
        <v>43</v>
      </c>
    </row>
    <row r="493" spans="1:40" s="29" customFormat="1" x14ac:dyDescent="0.3">
      <c r="A493" s="29" t="s">
        <v>930</v>
      </c>
      <c r="B493" s="29">
        <v>2830</v>
      </c>
      <c r="C493" s="29" t="str">
        <f>IF(Y493&lt;0, "Down", "Up")</f>
        <v>Up</v>
      </c>
      <c r="D493" s="30" t="str">
        <f>IF(AC493&lt;0.05, "Sig", "N")</f>
        <v>Sig</v>
      </c>
      <c r="E493" s="31" t="str">
        <f>IF(AND(H493&gt;2,J493&gt;2,L493&gt;2,N493&gt;2),"Y","N")</f>
        <v>Y</v>
      </c>
      <c r="F493" s="31" t="str">
        <f>IF(AND(P493&gt;2,R493&gt;2,T493&gt;2,V493&gt;2),"Y","N")</f>
        <v>Y</v>
      </c>
      <c r="G493" s="31" t="str">
        <f>IF(OR(E493="Y", F493="Y"), "Expressed", "N")</f>
        <v>Expressed</v>
      </c>
      <c r="H493" s="29">
        <v>49.837701776865728</v>
      </c>
      <c r="I493" s="29">
        <v>6275</v>
      </c>
      <c r="J493" s="29">
        <v>48.329638093763933</v>
      </c>
      <c r="K493" s="29">
        <v>13630</v>
      </c>
      <c r="L493" s="29">
        <v>68.406808664340119</v>
      </c>
      <c r="M493" s="29">
        <v>14961</v>
      </c>
      <c r="N493" s="29">
        <v>69.537471746357525</v>
      </c>
      <c r="O493" s="29">
        <v>9052</v>
      </c>
      <c r="P493" s="29">
        <v>33.77774146936752</v>
      </c>
      <c r="Q493" s="29">
        <v>22617</v>
      </c>
      <c r="R493" s="29">
        <v>181.5991172833447</v>
      </c>
      <c r="S493" s="29">
        <v>10478</v>
      </c>
      <c r="T493" s="29">
        <v>142.4035224415602</v>
      </c>
      <c r="U493" s="29">
        <v>5777</v>
      </c>
      <c r="V493" s="29">
        <v>20.32860847583289</v>
      </c>
      <c r="W493" s="29">
        <v>20260</v>
      </c>
      <c r="X493" s="29">
        <v>11786.008842581959</v>
      </c>
      <c r="Y493" s="29">
        <v>0.48669172900371149</v>
      </c>
      <c r="Z493" s="29">
        <v>0.1503677360648614</v>
      </c>
      <c r="AA493" s="29">
        <v>3.2366765753111828</v>
      </c>
      <c r="AB493" s="29">
        <v>1.209303847942341E-3</v>
      </c>
      <c r="AC493" s="29">
        <v>3.4654983724912512E-2</v>
      </c>
      <c r="AD493" s="29" t="s">
        <v>931</v>
      </c>
      <c r="AE493" s="29" t="s">
        <v>932</v>
      </c>
      <c r="AF493" s="29" t="s">
        <v>43</v>
      </c>
      <c r="AG493" s="29" t="s">
        <v>933</v>
      </c>
      <c r="AH493" s="29" t="s">
        <v>43</v>
      </c>
      <c r="AI493" s="29" t="s">
        <v>43</v>
      </c>
      <c r="AJ493" s="29" t="s">
        <v>43</v>
      </c>
      <c r="AK493" s="29" t="s">
        <v>43</v>
      </c>
      <c r="AL493" s="29" t="s">
        <v>43</v>
      </c>
      <c r="AM493" s="29" t="s">
        <v>934</v>
      </c>
      <c r="AN493" s="29" t="s">
        <v>43</v>
      </c>
    </row>
    <row r="494" spans="1:40" s="29" customFormat="1" x14ac:dyDescent="0.3">
      <c r="A494" s="29" t="s">
        <v>947</v>
      </c>
      <c r="B494" s="29">
        <v>2498</v>
      </c>
      <c r="C494" s="29" t="str">
        <f>IF(Y494&lt;0, "Down", "Up")</f>
        <v>Up</v>
      </c>
      <c r="D494" s="30" t="str">
        <f>IF(AC494&lt;0.05, "Sig", "N")</f>
        <v>Sig</v>
      </c>
      <c r="E494" s="31" t="str">
        <f>IF(AND(H494&gt;2,J494&gt;2,L494&gt;2,N494&gt;2),"Y","N")</f>
        <v>Y</v>
      </c>
      <c r="F494" s="31" t="str">
        <f>IF(AND(P494&gt;2,R494&gt;2,T494&gt;2,V494&gt;2),"Y","N")</f>
        <v>Y</v>
      </c>
      <c r="G494" s="31" t="str">
        <f>IF(OR(E494="Y", F494="Y"), "Expressed", "N")</f>
        <v>Expressed</v>
      </c>
      <c r="H494" s="29">
        <v>42.451810300039533</v>
      </c>
      <c r="I494" s="29">
        <v>4718</v>
      </c>
      <c r="J494" s="29">
        <v>47.582444940967989</v>
      </c>
      <c r="K494" s="29">
        <v>11845</v>
      </c>
      <c r="L494" s="29">
        <v>51.038886552818838</v>
      </c>
      <c r="M494" s="29">
        <v>9853</v>
      </c>
      <c r="N494" s="29">
        <v>49.250205462370943</v>
      </c>
      <c r="O494" s="29">
        <v>5659</v>
      </c>
      <c r="P494" s="29">
        <v>23.923226796181829</v>
      </c>
      <c r="Q494" s="29">
        <v>14024</v>
      </c>
      <c r="R494" s="29">
        <v>127.5688497707482</v>
      </c>
      <c r="S494" s="29">
        <v>8287</v>
      </c>
      <c r="T494" s="29">
        <v>127.59500645139831</v>
      </c>
      <c r="U494" s="29">
        <v>4477</v>
      </c>
      <c r="V494" s="29">
        <v>17.847869419928529</v>
      </c>
      <c r="W494" s="29">
        <v>15266</v>
      </c>
      <c r="X494" s="29">
        <v>8561.8765936754189</v>
      </c>
      <c r="Y494" s="29">
        <v>0.52518671984974219</v>
      </c>
      <c r="Z494" s="29">
        <v>0.14098132359720511</v>
      </c>
      <c r="AA494" s="29">
        <v>3.7252219403915001</v>
      </c>
      <c r="AB494" s="29">
        <v>1.9514345360722611E-4</v>
      </c>
      <c r="AC494" s="29">
        <v>1.0605934552142621E-2</v>
      </c>
      <c r="AD494" s="29" t="s">
        <v>948</v>
      </c>
      <c r="AE494" s="29" t="s">
        <v>949</v>
      </c>
      <c r="AF494" s="29" t="s">
        <v>950</v>
      </c>
      <c r="AG494" s="29" t="s">
        <v>951</v>
      </c>
      <c r="AH494" s="29" t="s">
        <v>43</v>
      </c>
      <c r="AI494" s="29" t="s">
        <v>43</v>
      </c>
      <c r="AJ494" s="29" t="s">
        <v>43</v>
      </c>
      <c r="AK494" s="29" t="s">
        <v>43</v>
      </c>
      <c r="AL494" s="29" t="s">
        <v>43</v>
      </c>
      <c r="AM494" s="29" t="s">
        <v>87</v>
      </c>
      <c r="AN494" s="29" t="s">
        <v>43</v>
      </c>
    </row>
    <row r="495" spans="1:40" s="29" customFormat="1" x14ac:dyDescent="0.3">
      <c r="A495" s="29" t="s">
        <v>166</v>
      </c>
      <c r="B495" s="29">
        <v>2374</v>
      </c>
      <c r="C495" s="29" t="str">
        <f>IF(Y495&lt;0, "Down", "Up")</f>
        <v>Up</v>
      </c>
      <c r="D495" s="30" t="str">
        <f>IF(AC495&lt;0.05, "Sig", "N")</f>
        <v>Sig</v>
      </c>
      <c r="E495" s="31" t="str">
        <f>IF(AND(H495&gt;2,J495&gt;2,L495&gt;2,N495&gt;2),"Y","N")</f>
        <v>Y</v>
      </c>
      <c r="F495" s="31" t="str">
        <f>IF(AND(P495&gt;2,R495&gt;2,T495&gt;2,V495&gt;2),"Y","N")</f>
        <v>Y</v>
      </c>
      <c r="G495" s="31" t="str">
        <f>IF(OR(E495="Y", F495="Y"), "Expressed", "N")</f>
        <v>Expressed</v>
      </c>
      <c r="H495" s="29">
        <v>46.799434811320772</v>
      </c>
      <c r="I495" s="29">
        <v>4943</v>
      </c>
      <c r="J495" s="29">
        <v>46.605953362138813</v>
      </c>
      <c r="K495" s="29">
        <v>11026</v>
      </c>
      <c r="L495" s="29">
        <v>39.783940039330638</v>
      </c>
      <c r="M495" s="29">
        <v>7299</v>
      </c>
      <c r="N495" s="29">
        <v>38.040530455005857</v>
      </c>
      <c r="O495" s="29">
        <v>4154</v>
      </c>
      <c r="P495" s="29">
        <v>18.478140933188239</v>
      </c>
      <c r="Q495" s="29">
        <v>11801</v>
      </c>
      <c r="R495" s="29">
        <v>112.9544294979581</v>
      </c>
      <c r="S495" s="29">
        <v>6637</v>
      </c>
      <c r="T495" s="29">
        <v>107.52758115725911</v>
      </c>
      <c r="U495" s="29">
        <v>3932</v>
      </c>
      <c r="V495" s="29">
        <v>16.49394393706174</v>
      </c>
      <c r="W495" s="29">
        <v>13578</v>
      </c>
      <c r="X495" s="29">
        <v>7311.3605096704086</v>
      </c>
      <c r="Y495" s="29">
        <v>0.50718091925684439</v>
      </c>
      <c r="Z495" s="29">
        <v>0.15804936035620801</v>
      </c>
      <c r="AA495" s="29">
        <v>3.2090033019670039</v>
      </c>
      <c r="AB495" s="29">
        <v>1.331959624226764E-3</v>
      </c>
      <c r="AC495" s="29">
        <v>3.6954919544824848E-2</v>
      </c>
      <c r="AD495" s="29" t="s">
        <v>167</v>
      </c>
      <c r="AE495" s="29" t="s">
        <v>168</v>
      </c>
      <c r="AF495" s="29" t="s">
        <v>169</v>
      </c>
      <c r="AG495" s="29" t="s">
        <v>170</v>
      </c>
      <c r="AH495" s="29" t="s">
        <v>43</v>
      </c>
      <c r="AI495" s="29" t="s">
        <v>43</v>
      </c>
      <c r="AJ495" s="29" t="s">
        <v>43</v>
      </c>
      <c r="AK495" s="29" t="s">
        <v>43</v>
      </c>
      <c r="AL495" s="29" t="s">
        <v>43</v>
      </c>
      <c r="AM495" s="29" t="s">
        <v>171</v>
      </c>
      <c r="AN495" s="29" t="s">
        <v>43</v>
      </c>
    </row>
    <row r="496" spans="1:40" s="29" customFormat="1" x14ac:dyDescent="0.3">
      <c r="A496" s="29" t="s">
        <v>956</v>
      </c>
      <c r="B496" s="29">
        <v>575</v>
      </c>
      <c r="C496" s="29" t="str">
        <f>IF(Y496&lt;0, "Down", "Up")</f>
        <v>Up</v>
      </c>
      <c r="D496" s="30" t="str">
        <f>IF(AC496&lt;0.05, "Sig", "N")</f>
        <v>Sig</v>
      </c>
      <c r="E496" s="31" t="str">
        <f>IF(AND(H496&gt;2,J496&gt;2,L496&gt;2,N496&gt;2),"Y","N")</f>
        <v>Y</v>
      </c>
      <c r="F496" s="31" t="str">
        <f>IF(AND(P496&gt;2,R496&gt;2,T496&gt;2,V496&gt;2),"Y","N")</f>
        <v>Y</v>
      </c>
      <c r="G496" s="31" t="str">
        <f>IF(OR(E496="Y", F496="Y"), "Expressed", "N")</f>
        <v>Expressed</v>
      </c>
      <c r="H496" s="29">
        <v>46.946787023804482</v>
      </c>
      <c r="I496" s="29">
        <v>1201</v>
      </c>
      <c r="J496" s="29">
        <v>46.369010943228822</v>
      </c>
      <c r="K496" s="29">
        <v>2657</v>
      </c>
      <c r="L496" s="29">
        <v>76.400654062961408</v>
      </c>
      <c r="M496" s="29">
        <v>3395</v>
      </c>
      <c r="N496" s="29">
        <v>78.112989501655804</v>
      </c>
      <c r="O496" s="29">
        <v>2066</v>
      </c>
      <c r="P496" s="29">
        <v>37.94328868340768</v>
      </c>
      <c r="Q496" s="29">
        <v>8993</v>
      </c>
      <c r="R496" s="29">
        <v>355.38731263658212</v>
      </c>
      <c r="S496" s="29">
        <v>2097</v>
      </c>
      <c r="T496" s="29">
        <v>140.26824368484921</v>
      </c>
      <c r="U496" s="29">
        <v>1543</v>
      </c>
      <c r="V496" s="29">
        <v>26.72328238527135</v>
      </c>
      <c r="W496" s="29">
        <v>4137</v>
      </c>
      <c r="X496" s="29">
        <v>2889.4284041388182</v>
      </c>
      <c r="Y496" s="29">
        <v>0.82413947927006226</v>
      </c>
      <c r="Z496" s="29">
        <v>0.2586421466913853</v>
      </c>
      <c r="AA496" s="29">
        <v>3.1864082857827292</v>
      </c>
      <c r="AB496" s="29">
        <v>1.4405115181948609E-3</v>
      </c>
      <c r="AC496" s="29">
        <v>3.858681512895297E-2</v>
      </c>
    </row>
    <row r="497" spans="1:40" s="29" customFormat="1" x14ac:dyDescent="0.3">
      <c r="A497" s="29" t="s">
        <v>969</v>
      </c>
      <c r="B497" s="29">
        <v>3630</v>
      </c>
      <c r="C497" s="29" t="str">
        <f>IF(Y497&lt;0, "Down", "Up")</f>
        <v>Up</v>
      </c>
      <c r="D497" s="30" t="str">
        <f>IF(AC497&lt;0.05, "Sig", "N")</f>
        <v>Sig</v>
      </c>
      <c r="E497" s="31" t="str">
        <f>IF(AND(H497&gt;2,J497&gt;2,L497&gt;2,N497&gt;2),"Y","N")</f>
        <v>Y</v>
      </c>
      <c r="F497" s="31" t="str">
        <f>IF(AND(P497&gt;2,R497&gt;2,T497&gt;2,V497&gt;2),"Y","N")</f>
        <v>Y</v>
      </c>
      <c r="G497" s="31" t="str">
        <f>IF(OR(E497="Y", F497="Y"), "Expressed", "N")</f>
        <v>Expressed</v>
      </c>
      <c r="H497" s="29">
        <v>38.810842918434297</v>
      </c>
      <c r="I497" s="29">
        <v>6268</v>
      </c>
      <c r="J497" s="29">
        <v>44.371038394719633</v>
      </c>
      <c r="K497" s="29">
        <v>16051</v>
      </c>
      <c r="L497" s="29">
        <v>51.865851341443687</v>
      </c>
      <c r="M497" s="29">
        <v>14550</v>
      </c>
      <c r="N497" s="29">
        <v>53.206257453258488</v>
      </c>
      <c r="O497" s="29">
        <v>8884</v>
      </c>
      <c r="P497" s="29">
        <v>25.84487419048153</v>
      </c>
      <c r="Q497" s="29">
        <v>22366</v>
      </c>
      <c r="R497" s="29">
        <v>140.00607037175629</v>
      </c>
      <c r="S497" s="29">
        <v>8864</v>
      </c>
      <c r="T497" s="29">
        <v>93.91866176565226</v>
      </c>
      <c r="U497" s="29">
        <v>6021</v>
      </c>
      <c r="V497" s="29">
        <v>16.51785774982875</v>
      </c>
      <c r="W497" s="29">
        <v>21387</v>
      </c>
      <c r="X497" s="29">
        <v>11755.97504300352</v>
      </c>
      <c r="Y497" s="29">
        <v>0.41490569876582323</v>
      </c>
      <c r="Z497" s="29">
        <v>0.13091856236748889</v>
      </c>
      <c r="AA497" s="29">
        <v>3.1691892369027199</v>
      </c>
      <c r="AB497" s="29">
        <v>1.528648313873058E-3</v>
      </c>
      <c r="AC497" s="29">
        <v>3.9835502092602407E-2</v>
      </c>
      <c r="AD497" s="29" t="s">
        <v>970</v>
      </c>
      <c r="AE497" s="29" t="s">
        <v>971</v>
      </c>
      <c r="AF497" s="29" t="s">
        <v>43</v>
      </c>
      <c r="AG497" s="29" t="s">
        <v>972</v>
      </c>
      <c r="AH497" s="29" t="s">
        <v>43</v>
      </c>
      <c r="AI497" s="29" t="s">
        <v>43</v>
      </c>
      <c r="AJ497" s="29" t="s">
        <v>43</v>
      </c>
      <c r="AK497" s="29" t="s">
        <v>43</v>
      </c>
      <c r="AL497" s="29" t="s">
        <v>43</v>
      </c>
      <c r="AM497" s="29" t="s">
        <v>973</v>
      </c>
      <c r="AN497" s="29" t="s">
        <v>43</v>
      </c>
    </row>
    <row r="498" spans="1:40" s="29" customFormat="1" x14ac:dyDescent="0.3">
      <c r="A498" s="29" t="s">
        <v>974</v>
      </c>
      <c r="B498" s="29">
        <v>2253</v>
      </c>
      <c r="C498" s="29" t="str">
        <f>IF(Y498&lt;0, "Down", "Up")</f>
        <v>Up</v>
      </c>
      <c r="D498" s="30" t="str">
        <f>IF(AC498&lt;0.05, "Sig", "N")</f>
        <v>Sig</v>
      </c>
      <c r="E498" s="31" t="str">
        <f>IF(AND(H498&gt;2,J498&gt;2,L498&gt;2,N498&gt;2),"Y","N")</f>
        <v>Y</v>
      </c>
      <c r="F498" s="31" t="str">
        <f>IF(AND(P498&gt;2,R498&gt;2,T498&gt;2,V498&gt;2),"Y","N")</f>
        <v>Y</v>
      </c>
      <c r="G498" s="31" t="str">
        <f>IF(OR(E498="Y", F498="Y"), "Expressed", "N")</f>
        <v>Expressed</v>
      </c>
      <c r="H498" s="29">
        <v>45.54181161693144</v>
      </c>
      <c r="I498" s="29">
        <v>4565</v>
      </c>
      <c r="J498" s="29">
        <v>43.091727486096786</v>
      </c>
      <c r="K498" s="29">
        <v>9675</v>
      </c>
      <c r="L498" s="29">
        <v>46.785185597499272</v>
      </c>
      <c r="M498" s="29">
        <v>8146</v>
      </c>
      <c r="N498" s="29">
        <v>52.849676823894278</v>
      </c>
      <c r="O498" s="29">
        <v>5477</v>
      </c>
      <c r="P498" s="29">
        <v>25.67166558785096</v>
      </c>
      <c r="Q498" s="29">
        <v>13702</v>
      </c>
      <c r="R498" s="29">
        <v>138.19360369028979</v>
      </c>
      <c r="S498" s="29">
        <v>5583</v>
      </c>
      <c r="T498" s="29">
        <v>95.309284559747695</v>
      </c>
      <c r="U498" s="29">
        <v>3691</v>
      </c>
      <c r="V498" s="29">
        <v>16.314530230541902</v>
      </c>
      <c r="W498" s="29">
        <v>12864</v>
      </c>
      <c r="X498" s="29">
        <v>7266.9595366719504</v>
      </c>
      <c r="Y498" s="29">
        <v>0.39393306946431711</v>
      </c>
      <c r="Z498" s="29">
        <v>0.12853915595359641</v>
      </c>
      <c r="AA498" s="29">
        <v>3.0646931399372961</v>
      </c>
      <c r="AB498" s="29">
        <v>2.1789343389428048E-3</v>
      </c>
      <c r="AC498" s="29">
        <v>4.8764222900632467E-2</v>
      </c>
      <c r="AD498" s="29" t="s">
        <v>975</v>
      </c>
      <c r="AE498" s="29" t="s">
        <v>976</v>
      </c>
      <c r="AF498" s="29" t="s">
        <v>977</v>
      </c>
      <c r="AG498" s="29" t="s">
        <v>978</v>
      </c>
      <c r="AH498" s="29" t="s">
        <v>43</v>
      </c>
      <c r="AI498" s="29" t="s">
        <v>43</v>
      </c>
      <c r="AJ498" s="29" t="s">
        <v>43</v>
      </c>
      <c r="AK498" s="29" t="s">
        <v>43</v>
      </c>
      <c r="AL498" s="29" t="s">
        <v>43</v>
      </c>
      <c r="AM498" s="29" t="s">
        <v>979</v>
      </c>
      <c r="AN498" s="29" t="s">
        <v>980</v>
      </c>
    </row>
    <row r="499" spans="1:40" s="29" customFormat="1" x14ac:dyDescent="0.3">
      <c r="A499" s="29" t="s">
        <v>987</v>
      </c>
      <c r="B499" s="29">
        <v>4003</v>
      </c>
      <c r="C499" s="29" t="str">
        <f>IF(Y499&lt;0, "Down", "Up")</f>
        <v>Up</v>
      </c>
      <c r="D499" s="30" t="str">
        <f>IF(AC499&lt;0.05, "Sig", "N")</f>
        <v>Sig</v>
      </c>
      <c r="E499" s="31" t="str">
        <f>IF(AND(H499&gt;2,J499&gt;2,L499&gt;2,N499&gt;2),"Y","N")</f>
        <v>Y</v>
      </c>
      <c r="F499" s="31" t="str">
        <f>IF(AND(P499&gt;2,R499&gt;2,T499&gt;2,V499&gt;2),"Y","N")</f>
        <v>Y</v>
      </c>
      <c r="G499" s="31" t="str">
        <f>IF(OR(E499="Y", F499="Y"), "Expressed", "N")</f>
        <v>Expressed</v>
      </c>
      <c r="H499" s="29">
        <v>43.644928862307999</v>
      </c>
      <c r="I499" s="29">
        <v>7773</v>
      </c>
      <c r="J499" s="29">
        <v>42.713251760508143</v>
      </c>
      <c r="K499" s="29">
        <v>17039</v>
      </c>
      <c r="L499" s="29">
        <v>51.506775850185683</v>
      </c>
      <c r="M499" s="29">
        <v>15934</v>
      </c>
      <c r="N499" s="29">
        <v>48.547194101555753</v>
      </c>
      <c r="O499" s="29">
        <v>8939</v>
      </c>
      <c r="P499" s="29">
        <v>23.58173989136224</v>
      </c>
      <c r="Q499" s="29">
        <v>29840</v>
      </c>
      <c r="R499" s="29">
        <v>169.38634593549099</v>
      </c>
      <c r="S499" s="29">
        <v>7639</v>
      </c>
      <c r="T499" s="29">
        <v>73.397233937615894</v>
      </c>
      <c r="U499" s="29">
        <v>7472</v>
      </c>
      <c r="V499" s="29">
        <v>18.588442083874519</v>
      </c>
      <c r="W499" s="29">
        <v>29015</v>
      </c>
      <c r="X499" s="29">
        <v>13565.34927327625</v>
      </c>
      <c r="Y499" s="29">
        <v>0.55464344721192238</v>
      </c>
      <c r="Z499" s="29">
        <v>0.16823178413712489</v>
      </c>
      <c r="AA499" s="29">
        <v>3.2969004641824111</v>
      </c>
      <c r="AB499" s="29">
        <v>9.7758139393239142E-4</v>
      </c>
      <c r="AC499" s="29">
        <v>3.0251281826373821E-2</v>
      </c>
      <c r="AD499" s="29" t="s">
        <v>988</v>
      </c>
      <c r="AE499" s="29" t="s">
        <v>989</v>
      </c>
      <c r="AF499" s="29" t="s">
        <v>43</v>
      </c>
      <c r="AG499" s="29" t="s">
        <v>990</v>
      </c>
      <c r="AH499" s="29" t="s">
        <v>991</v>
      </c>
      <c r="AI499" s="29" t="s">
        <v>992</v>
      </c>
      <c r="AK499" s="29" t="s">
        <v>993</v>
      </c>
      <c r="AL499" s="29" t="s">
        <v>994</v>
      </c>
      <c r="AM499" s="29" t="s">
        <v>995</v>
      </c>
      <c r="AN499" s="29" t="s">
        <v>996</v>
      </c>
    </row>
    <row r="500" spans="1:40" s="29" customFormat="1" x14ac:dyDescent="0.3">
      <c r="A500" s="29" t="s">
        <v>1060</v>
      </c>
      <c r="B500" s="29">
        <v>1912</v>
      </c>
      <c r="C500" s="29" t="str">
        <f>IF(Y500&lt;0, "Down", "Up")</f>
        <v>Up</v>
      </c>
      <c r="D500" s="30" t="str">
        <f>IF(AC500&lt;0.05, "Sig", "N")</f>
        <v>Sig</v>
      </c>
      <c r="E500" s="31" t="str">
        <f>IF(AND(H500&gt;2,J500&gt;2,L500&gt;2,N500&gt;2),"Y","N")</f>
        <v>Y</v>
      </c>
      <c r="F500" s="31" t="str">
        <f>IF(AND(P500&gt;2,R500&gt;2,T500&gt;2,V500&gt;2),"Y","N")</f>
        <v>Y</v>
      </c>
      <c r="G500" s="31" t="str">
        <f>IF(OR(E500="Y", F500="Y"), "Expressed", "N")</f>
        <v>Expressed</v>
      </c>
      <c r="H500" s="29">
        <v>38.087970722335527</v>
      </c>
      <c r="I500" s="29">
        <v>3240</v>
      </c>
      <c r="J500" s="29">
        <v>36.37051657105944</v>
      </c>
      <c r="K500" s="29">
        <v>6930</v>
      </c>
      <c r="L500" s="29">
        <v>48.869129121473023</v>
      </c>
      <c r="M500" s="29">
        <v>7221</v>
      </c>
      <c r="N500" s="29">
        <v>43.309569960596598</v>
      </c>
      <c r="O500" s="29">
        <v>3809</v>
      </c>
      <c r="P500" s="29">
        <v>21.037570399662201</v>
      </c>
      <c r="Q500" s="29">
        <v>9503</v>
      </c>
      <c r="R500" s="29">
        <v>112.93745893433319</v>
      </c>
      <c r="S500" s="29">
        <v>5967</v>
      </c>
      <c r="T500" s="29">
        <v>120.03196706313101</v>
      </c>
      <c r="U500" s="29">
        <v>2589</v>
      </c>
      <c r="V500" s="29">
        <v>13.484532117273391</v>
      </c>
      <c r="W500" s="29">
        <v>11080</v>
      </c>
      <c r="X500" s="29">
        <v>5751.5296003175054</v>
      </c>
      <c r="Y500" s="29">
        <v>0.54611582778491663</v>
      </c>
      <c r="Z500" s="29">
        <v>0.15033064318147471</v>
      </c>
      <c r="AA500" s="29">
        <v>3.6327645264289981</v>
      </c>
      <c r="AB500" s="29">
        <v>2.8040088224213112E-4</v>
      </c>
      <c r="AC500" s="29">
        <v>1.3153249321366E-2</v>
      </c>
      <c r="AD500" s="29" t="s">
        <v>1061</v>
      </c>
      <c r="AE500" s="29" t="s">
        <v>1062</v>
      </c>
      <c r="AF500" s="29" t="s">
        <v>43</v>
      </c>
      <c r="AG500" s="29" t="s">
        <v>1063</v>
      </c>
      <c r="AH500" s="29" t="s">
        <v>43</v>
      </c>
      <c r="AI500" s="29" t="s">
        <v>43</v>
      </c>
      <c r="AJ500" s="29" t="s">
        <v>43</v>
      </c>
      <c r="AK500" s="29" t="s">
        <v>43</v>
      </c>
      <c r="AL500" s="29" t="s">
        <v>43</v>
      </c>
      <c r="AM500" s="29" t="s">
        <v>1064</v>
      </c>
      <c r="AN500" s="29" t="s">
        <v>43</v>
      </c>
    </row>
    <row r="501" spans="1:40" s="29" customFormat="1" x14ac:dyDescent="0.3">
      <c r="A501" s="29" t="s">
        <v>1065</v>
      </c>
      <c r="B501" s="29">
        <v>2970</v>
      </c>
      <c r="C501" s="29" t="str">
        <f>IF(Y501&lt;0, "Down", "Up")</f>
        <v>Up</v>
      </c>
      <c r="D501" s="30" t="str">
        <f>IF(AC501&lt;0.05, "Sig", "N")</f>
        <v>Sig</v>
      </c>
      <c r="E501" s="31" t="str">
        <f>IF(AND(H501&gt;2,J501&gt;2,L501&gt;2,N501&gt;2),"Y","N")</f>
        <v>Y</v>
      </c>
      <c r="F501" s="31" t="str">
        <f>IF(AND(P501&gt;2,R501&gt;2,T501&gt;2,V501&gt;2),"Y","N")</f>
        <v>Y</v>
      </c>
      <c r="G501" s="31" t="str">
        <f>IF(OR(E501="Y", F501="Y"), "Expressed", "N")</f>
        <v>Expressed</v>
      </c>
      <c r="H501" s="29">
        <v>32.602428990618392</v>
      </c>
      <c r="I501" s="29">
        <v>4308</v>
      </c>
      <c r="J501" s="29">
        <v>36.108004074291358</v>
      </c>
      <c r="K501" s="29">
        <v>10687</v>
      </c>
      <c r="L501" s="29">
        <v>35.969829365594123</v>
      </c>
      <c r="M501" s="29">
        <v>8256</v>
      </c>
      <c r="N501" s="29">
        <v>38.070728840341843</v>
      </c>
      <c r="O501" s="29">
        <v>5201</v>
      </c>
      <c r="P501" s="29">
        <v>18.492809761764448</v>
      </c>
      <c r="Q501" s="29">
        <v>12030</v>
      </c>
      <c r="R501" s="29">
        <v>92.039520762141507</v>
      </c>
      <c r="S501" s="29">
        <v>6528</v>
      </c>
      <c r="T501" s="29">
        <v>84.538097473776048</v>
      </c>
      <c r="U501" s="29">
        <v>3557</v>
      </c>
      <c r="V501" s="29">
        <v>11.92666814625753</v>
      </c>
      <c r="W501" s="29">
        <v>15827</v>
      </c>
      <c r="X501" s="29">
        <v>7488.8936387845424</v>
      </c>
      <c r="Y501" s="29">
        <v>0.47007491521761319</v>
      </c>
      <c r="Z501" s="29">
        <v>0.13770336364434849</v>
      </c>
      <c r="AA501" s="29">
        <v>3.4136777982540258</v>
      </c>
      <c r="AB501" s="29">
        <v>6.4092323521120398E-4</v>
      </c>
      <c r="AC501" s="29">
        <v>2.300766668570961E-2</v>
      </c>
      <c r="AD501" s="29" t="s">
        <v>1066</v>
      </c>
      <c r="AE501" s="29" t="s">
        <v>1067</v>
      </c>
      <c r="AF501" s="29" t="s">
        <v>1068</v>
      </c>
      <c r="AG501" s="29" t="s">
        <v>880</v>
      </c>
      <c r="AH501" s="29" t="s">
        <v>43</v>
      </c>
      <c r="AI501" s="29" t="s">
        <v>43</v>
      </c>
      <c r="AJ501" s="29" t="s">
        <v>43</v>
      </c>
      <c r="AK501" s="29" t="s">
        <v>43</v>
      </c>
      <c r="AL501" s="29" t="s">
        <v>43</v>
      </c>
      <c r="AM501" s="29" t="s">
        <v>362</v>
      </c>
      <c r="AN501" s="29" t="s">
        <v>43</v>
      </c>
    </row>
    <row r="502" spans="1:40" s="29" customFormat="1" x14ac:dyDescent="0.3">
      <c r="A502" s="29" t="s">
        <v>1069</v>
      </c>
      <c r="B502" s="29">
        <v>2027</v>
      </c>
      <c r="C502" s="29" t="str">
        <f>IF(Y502&lt;0, "Down", "Up")</f>
        <v>Up</v>
      </c>
      <c r="D502" s="30" t="str">
        <f>IF(AC502&lt;0.05, "Sig", "N")</f>
        <v>Sig</v>
      </c>
      <c r="E502" s="31" t="str">
        <f>IF(AND(H502&gt;2,J502&gt;2,L502&gt;2,N502&gt;2),"Y","N")</f>
        <v>Y</v>
      </c>
      <c r="F502" s="31" t="str">
        <f>IF(AND(P502&gt;2,R502&gt;2,T502&gt;2,V502&gt;2),"Y","N")</f>
        <v>Y</v>
      </c>
      <c r="G502" s="31" t="str">
        <f>IF(OR(E502="Y", F502="Y"), "Expressed", "N")</f>
        <v>Expressed</v>
      </c>
      <c r="H502" s="29">
        <v>32.112603808633089</v>
      </c>
      <c r="I502" s="29">
        <v>2896</v>
      </c>
      <c r="J502" s="29">
        <v>35.717965171418932</v>
      </c>
      <c r="K502" s="29">
        <v>7215</v>
      </c>
      <c r="L502" s="29">
        <v>35.454982011296742</v>
      </c>
      <c r="M502" s="29">
        <v>5554</v>
      </c>
      <c r="N502" s="29">
        <v>33.870309387303763</v>
      </c>
      <c r="O502" s="29">
        <v>3158</v>
      </c>
      <c r="P502" s="29">
        <v>16.452461172946879</v>
      </c>
      <c r="Q502" s="29">
        <v>8422</v>
      </c>
      <c r="R502" s="29">
        <v>94.411882900072001</v>
      </c>
      <c r="S502" s="29">
        <v>4096</v>
      </c>
      <c r="T502" s="29">
        <v>77.720390259996663</v>
      </c>
      <c r="U502" s="29">
        <v>2067</v>
      </c>
      <c r="V502" s="29">
        <v>10.15496538689923</v>
      </c>
      <c r="W502" s="29">
        <v>9044</v>
      </c>
      <c r="X502" s="29">
        <v>4739.8452989866291</v>
      </c>
      <c r="Y502" s="29">
        <v>0.3847232789421412</v>
      </c>
      <c r="Z502" s="29">
        <v>0.1243453612607251</v>
      </c>
      <c r="AA502" s="29">
        <v>3.0939897961730991</v>
      </c>
      <c r="AB502" s="29">
        <v>1.9748427841226779E-3</v>
      </c>
      <c r="AC502" s="29">
        <v>4.6044608582079247E-2</v>
      </c>
      <c r="AD502" s="29" t="s">
        <v>1070</v>
      </c>
      <c r="AE502" s="29" t="s">
        <v>1071</v>
      </c>
      <c r="AF502" s="29" t="s">
        <v>1072</v>
      </c>
      <c r="AG502" s="29" t="s">
        <v>1073</v>
      </c>
      <c r="AH502" s="29" t="s">
        <v>43</v>
      </c>
      <c r="AI502" s="29" t="s">
        <v>43</v>
      </c>
      <c r="AJ502" s="29" t="s">
        <v>43</v>
      </c>
      <c r="AK502" s="29" t="s">
        <v>43</v>
      </c>
      <c r="AL502" s="29" t="s">
        <v>43</v>
      </c>
      <c r="AM502" s="29" t="s">
        <v>1074</v>
      </c>
      <c r="AN502" s="29" t="s">
        <v>43</v>
      </c>
    </row>
    <row r="503" spans="1:40" s="29" customFormat="1" x14ac:dyDescent="0.3">
      <c r="A503" s="29" t="s">
        <v>1104</v>
      </c>
      <c r="B503" s="29">
        <v>1067</v>
      </c>
      <c r="C503" s="29" t="str">
        <f>IF(Y503&lt;0, "Down", "Up")</f>
        <v>Up</v>
      </c>
      <c r="D503" s="30" t="str">
        <f>IF(AC503&lt;0.05, "Sig", "N")</f>
        <v>Sig</v>
      </c>
      <c r="E503" s="31" t="str">
        <f>IF(AND(H503&gt;2,J503&gt;2,L503&gt;2,N503&gt;2),"Y","N")</f>
        <v>Y</v>
      </c>
      <c r="F503" s="31" t="str">
        <f>IF(AND(P503&gt;2,R503&gt;2,T503&gt;2,V503&gt;2),"Y","N")</f>
        <v>Y</v>
      </c>
      <c r="G503" s="31" t="str">
        <f>IF(OR(E503="Y", F503="Y"), "Expressed", "N")</f>
        <v>Expressed</v>
      </c>
      <c r="H503" s="29">
        <v>33.430526754803033</v>
      </c>
      <c r="I503" s="29">
        <v>1587</v>
      </c>
      <c r="J503" s="29">
        <v>33.254617711476648</v>
      </c>
      <c r="K503" s="29">
        <v>3536</v>
      </c>
      <c r="L503" s="29">
        <v>29.917815025034699</v>
      </c>
      <c r="M503" s="29">
        <v>2467</v>
      </c>
      <c r="N503" s="29">
        <v>27.709920237728909</v>
      </c>
      <c r="O503" s="29">
        <v>1360</v>
      </c>
      <c r="P503" s="29">
        <v>13.460059711990169</v>
      </c>
      <c r="Q503" s="29">
        <v>5089</v>
      </c>
      <c r="R503" s="29">
        <v>108.3760210408732</v>
      </c>
      <c r="S503" s="29">
        <v>2179</v>
      </c>
      <c r="T503" s="29">
        <v>78.545549838833296</v>
      </c>
      <c r="U503" s="29">
        <v>911</v>
      </c>
      <c r="V503" s="29">
        <v>8.5024811361797568</v>
      </c>
      <c r="W503" s="29">
        <v>4979</v>
      </c>
      <c r="X503" s="29">
        <v>2417.0161668056289</v>
      </c>
      <c r="Y503" s="29">
        <v>0.54507090379424905</v>
      </c>
      <c r="Z503" s="29">
        <v>0.1740087434067793</v>
      </c>
      <c r="AA503" s="29">
        <v>3.1324339979861811</v>
      </c>
      <c r="AB503" s="29">
        <v>1.7336340132384209E-3</v>
      </c>
      <c r="AC503" s="29">
        <v>4.2754611591860017E-2</v>
      </c>
      <c r="AD503" s="29" t="s">
        <v>1105</v>
      </c>
      <c r="AE503" s="29" t="s">
        <v>1106</v>
      </c>
      <c r="AF503" s="29" t="s">
        <v>55</v>
      </c>
      <c r="AG503" s="29" t="s">
        <v>43</v>
      </c>
      <c r="AH503" s="29" t="s">
        <v>43</v>
      </c>
      <c r="AI503" s="29" t="s">
        <v>43</v>
      </c>
      <c r="AJ503" s="29" t="s">
        <v>43</v>
      </c>
      <c r="AK503" s="29" t="s">
        <v>43</v>
      </c>
      <c r="AL503" s="29" t="s">
        <v>43</v>
      </c>
      <c r="AM503" s="29" t="s">
        <v>43</v>
      </c>
      <c r="AN503" s="29" t="s">
        <v>43</v>
      </c>
    </row>
    <row r="504" spans="1:40" s="29" customFormat="1" x14ac:dyDescent="0.3">
      <c r="A504" s="29" t="s">
        <v>1142</v>
      </c>
      <c r="B504" s="29">
        <v>2913</v>
      </c>
      <c r="C504" s="29" t="str">
        <f>IF(Y504&lt;0, "Down", "Up")</f>
        <v>Up</v>
      </c>
      <c r="D504" s="30" t="str">
        <f>IF(AC504&lt;0.05, "Sig", "N")</f>
        <v>Sig</v>
      </c>
      <c r="E504" s="31" t="str">
        <f>IF(AND(H504&gt;2,J504&gt;2,L504&gt;2,N504&gt;2),"Y","N")</f>
        <v>Y</v>
      </c>
      <c r="F504" s="31" t="str">
        <f>IF(AND(P504&gt;2,R504&gt;2,T504&gt;2,V504&gt;2),"Y","N")</f>
        <v>Y</v>
      </c>
      <c r="G504" s="31" t="str">
        <f>IF(OR(E504="Y", F504="Y"), "Expressed", "N")</f>
        <v>Expressed</v>
      </c>
      <c r="H504" s="29">
        <v>27.65401720635489</v>
      </c>
      <c r="I504" s="29">
        <v>3584</v>
      </c>
      <c r="J504" s="29">
        <v>30.77581666934935</v>
      </c>
      <c r="K504" s="29">
        <v>8934</v>
      </c>
      <c r="L504" s="29">
        <v>30.450337962009751</v>
      </c>
      <c r="M504" s="29">
        <v>6855</v>
      </c>
      <c r="N504" s="29">
        <v>35.681166645608151</v>
      </c>
      <c r="O504" s="29">
        <v>4781</v>
      </c>
      <c r="P504" s="29">
        <v>17.33208286140923</v>
      </c>
      <c r="Q504" s="29">
        <v>11917</v>
      </c>
      <c r="R504" s="29">
        <v>92.959038999926889</v>
      </c>
      <c r="S504" s="29">
        <v>6697</v>
      </c>
      <c r="T504" s="29">
        <v>88.423680483099872</v>
      </c>
      <c r="U504" s="29">
        <v>3128</v>
      </c>
      <c r="V504" s="29">
        <v>10.693453352704569</v>
      </c>
      <c r="W504" s="29">
        <v>12267</v>
      </c>
      <c r="X504" s="29">
        <v>6673.3281701954411</v>
      </c>
      <c r="Y504" s="29">
        <v>0.56493722695771886</v>
      </c>
      <c r="Z504" s="29">
        <v>0.1620427989279338</v>
      </c>
      <c r="AA504" s="29">
        <v>3.4863457721991491</v>
      </c>
      <c r="AB504" s="29">
        <v>4.8966764200167638E-4</v>
      </c>
      <c r="AC504" s="29">
        <v>1.897823342984202E-2</v>
      </c>
      <c r="AD504" s="29" t="s">
        <v>1143</v>
      </c>
      <c r="AE504" s="29" t="s">
        <v>1144</v>
      </c>
      <c r="AF504" s="29" t="s">
        <v>1145</v>
      </c>
      <c r="AG504" s="29" t="s">
        <v>1146</v>
      </c>
      <c r="AH504" s="29" t="s">
        <v>43</v>
      </c>
      <c r="AI504" s="29" t="s">
        <v>43</v>
      </c>
      <c r="AJ504" s="29" t="s">
        <v>43</v>
      </c>
      <c r="AK504" s="29" t="s">
        <v>43</v>
      </c>
      <c r="AL504" s="29" t="s">
        <v>43</v>
      </c>
      <c r="AM504" s="29" t="s">
        <v>1147</v>
      </c>
      <c r="AN504" s="29" t="s">
        <v>43</v>
      </c>
    </row>
    <row r="505" spans="1:40" s="29" customFormat="1" x14ac:dyDescent="0.3">
      <c r="A505" s="29" t="s">
        <v>1154</v>
      </c>
      <c r="B505" s="29">
        <v>676</v>
      </c>
      <c r="C505" s="29" t="str">
        <f>IF(Y505&lt;0, "Down", "Up")</f>
        <v>Up</v>
      </c>
      <c r="D505" s="30" t="str">
        <f>IF(AC505&lt;0.05, "Sig", "N")</f>
        <v>Sig</v>
      </c>
      <c r="E505" s="31" t="str">
        <f>IF(AND(H505&gt;2,J505&gt;2,L505&gt;2,N505&gt;2),"Y","N")</f>
        <v>Y</v>
      </c>
      <c r="F505" s="31" t="str">
        <f>IF(AND(P505&gt;2,R505&gt;2,T505&gt;2,V505&gt;2),"Y","N")</f>
        <v>Y</v>
      </c>
      <c r="G505" s="31" t="str">
        <f>IF(OR(E505="Y", F505="Y"), "Expressed", "N")</f>
        <v>Expressed</v>
      </c>
      <c r="H505" s="29">
        <v>30.65596118208931</v>
      </c>
      <c r="I505" s="29">
        <v>922</v>
      </c>
      <c r="J505" s="29">
        <v>29.554845052079649</v>
      </c>
      <c r="K505" s="29">
        <v>1991</v>
      </c>
      <c r="L505" s="29">
        <v>38.015235992365547</v>
      </c>
      <c r="M505" s="29">
        <v>1986</v>
      </c>
      <c r="N505" s="29">
        <v>33.671368869277117</v>
      </c>
      <c r="O505" s="29">
        <v>1047</v>
      </c>
      <c r="P505" s="29">
        <v>16.35582606072715</v>
      </c>
      <c r="Q505" s="29">
        <v>2876</v>
      </c>
      <c r="R505" s="29">
        <v>96.673480903805498</v>
      </c>
      <c r="S505" s="29">
        <v>1262</v>
      </c>
      <c r="T505" s="29">
        <v>71.802808626236128</v>
      </c>
      <c r="U505" s="29">
        <v>764</v>
      </c>
      <c r="V505" s="29">
        <v>11.2548155555052</v>
      </c>
      <c r="W505" s="29">
        <v>2479</v>
      </c>
      <c r="X505" s="29">
        <v>1517.905545792881</v>
      </c>
      <c r="Y505" s="29">
        <v>0.39692675684835732</v>
      </c>
      <c r="Z505" s="29">
        <v>0.119545614137608</v>
      </c>
      <c r="AA505" s="29">
        <v>3.3202954346067282</v>
      </c>
      <c r="AB505" s="29">
        <v>8.9922233265020554E-4</v>
      </c>
      <c r="AC505" s="29">
        <v>2.8837732771027139E-2</v>
      </c>
      <c r="AD505" s="29" t="s">
        <v>1155</v>
      </c>
      <c r="AE505" s="29" t="s">
        <v>1156</v>
      </c>
      <c r="AF505" s="29" t="s">
        <v>1157</v>
      </c>
      <c r="AG505" s="29" t="s">
        <v>1158</v>
      </c>
      <c r="AH505" s="29" t="s">
        <v>43</v>
      </c>
      <c r="AI505" s="29" t="s">
        <v>43</v>
      </c>
      <c r="AJ505" s="29" t="s">
        <v>43</v>
      </c>
      <c r="AK505" s="29" t="s">
        <v>43</v>
      </c>
      <c r="AL505" s="29" t="s">
        <v>43</v>
      </c>
      <c r="AM505" s="29" t="s">
        <v>1159</v>
      </c>
      <c r="AN505" s="29" t="s">
        <v>43</v>
      </c>
    </row>
    <row r="506" spans="1:40" s="29" customFormat="1" x14ac:dyDescent="0.3">
      <c r="A506" s="29" t="s">
        <v>1166</v>
      </c>
      <c r="B506" s="29">
        <v>992</v>
      </c>
      <c r="C506" s="29" t="str">
        <f>IF(Y506&lt;0, "Down", "Up")</f>
        <v>Up</v>
      </c>
      <c r="D506" s="30" t="str">
        <f>IF(AC506&lt;0.05, "Sig", "N")</f>
        <v>Sig</v>
      </c>
      <c r="E506" s="31" t="str">
        <f>IF(AND(H506&gt;2,J506&gt;2,L506&gt;2,N506&gt;2),"Y","N")</f>
        <v>Y</v>
      </c>
      <c r="F506" s="31" t="str">
        <f>IF(AND(P506&gt;2,R506&gt;2,T506&gt;2,V506&gt;2),"Y","N")</f>
        <v>Y</v>
      </c>
      <c r="G506" s="31" t="str">
        <f>IF(OR(E506="Y", F506="Y"), "Expressed", "N")</f>
        <v>Expressed</v>
      </c>
      <c r="H506" s="29">
        <v>27.46133588012119</v>
      </c>
      <c r="I506" s="29">
        <v>1212</v>
      </c>
      <c r="J506" s="29">
        <v>28.040495033816789</v>
      </c>
      <c r="K506" s="29">
        <v>2772</v>
      </c>
      <c r="L506" s="29">
        <v>55.724311915132077</v>
      </c>
      <c r="M506" s="29">
        <v>4272</v>
      </c>
      <c r="N506" s="29">
        <v>38.088940009172958</v>
      </c>
      <c r="O506" s="29">
        <v>1738</v>
      </c>
      <c r="P506" s="29">
        <v>18.50165581465054</v>
      </c>
      <c r="Q506" s="29">
        <v>3331</v>
      </c>
      <c r="R506" s="29">
        <v>76.300631290248788</v>
      </c>
      <c r="S506" s="29">
        <v>1473</v>
      </c>
      <c r="T506" s="29">
        <v>57.111010975248398</v>
      </c>
      <c r="U506" s="29">
        <v>6052</v>
      </c>
      <c r="V506" s="29">
        <v>60.754572139334869</v>
      </c>
      <c r="W506" s="29">
        <v>4748</v>
      </c>
      <c r="X506" s="29">
        <v>3708.466066079573</v>
      </c>
      <c r="Y506" s="29">
        <v>1.3021447338542189</v>
      </c>
      <c r="Z506" s="29">
        <v>0.6997437751228992</v>
      </c>
      <c r="AA506" s="29">
        <v>1.860887913758887</v>
      </c>
      <c r="AD506" s="29" t="s">
        <v>1167</v>
      </c>
      <c r="AE506" s="29" t="s">
        <v>1168</v>
      </c>
      <c r="AF506" s="29" t="s">
        <v>1169</v>
      </c>
      <c r="AG506" s="29" t="s">
        <v>1170</v>
      </c>
      <c r="AH506" s="29" t="s">
        <v>43</v>
      </c>
      <c r="AI506" s="29" t="s">
        <v>43</v>
      </c>
      <c r="AJ506" s="29" t="s">
        <v>43</v>
      </c>
      <c r="AK506" s="29" t="s">
        <v>43</v>
      </c>
      <c r="AL506" s="29" t="s">
        <v>43</v>
      </c>
      <c r="AM506" s="29" t="s">
        <v>1171</v>
      </c>
      <c r="AN506" s="29" t="s">
        <v>43</v>
      </c>
    </row>
    <row r="507" spans="1:40" s="29" customFormat="1" x14ac:dyDescent="0.3">
      <c r="A507" s="29" t="s">
        <v>1185</v>
      </c>
      <c r="B507" s="29">
        <v>1546</v>
      </c>
      <c r="C507" s="29" t="str">
        <f>IF(Y507&lt;0, "Down", "Up")</f>
        <v>Up</v>
      </c>
      <c r="D507" s="30" t="str">
        <f>IF(AC507&lt;0.05, "Sig", "N")</f>
        <v>Sig</v>
      </c>
      <c r="E507" s="31" t="str">
        <f>IF(AND(H507&gt;2,J507&gt;2,L507&gt;2,N507&gt;2),"Y","N")</f>
        <v>Y</v>
      </c>
      <c r="F507" s="31" t="str">
        <f>IF(AND(P507&gt;2,R507&gt;2,T507&gt;2,V507&gt;2),"Y","N")</f>
        <v>Y</v>
      </c>
      <c r="G507" s="31" t="str">
        <f>IF(OR(E507="Y", F507="Y"), "Expressed", "N")</f>
        <v>Expressed</v>
      </c>
      <c r="H507" s="29">
        <v>25.515162793078161</v>
      </c>
      <c r="I507" s="29">
        <v>1755</v>
      </c>
      <c r="J507" s="29">
        <v>27.085884228047551</v>
      </c>
      <c r="K507" s="29">
        <v>4173</v>
      </c>
      <c r="L507" s="29">
        <v>29.026504670126211</v>
      </c>
      <c r="M507" s="29">
        <v>3468</v>
      </c>
      <c r="N507" s="29">
        <v>25.55090130687082</v>
      </c>
      <c r="O507" s="29">
        <v>1817</v>
      </c>
      <c r="P507" s="29">
        <v>12.41131891882473</v>
      </c>
      <c r="Q507" s="29">
        <v>4700</v>
      </c>
      <c r="R507" s="29">
        <v>69.080192485513976</v>
      </c>
      <c r="S507" s="29">
        <v>2046</v>
      </c>
      <c r="T507" s="29">
        <v>50.900835754102239</v>
      </c>
      <c r="U507" s="29">
        <v>1531</v>
      </c>
      <c r="V507" s="29">
        <v>9.8618279295864379</v>
      </c>
      <c r="W507" s="29">
        <v>5100</v>
      </c>
      <c r="X507" s="29">
        <v>2789.172994931967</v>
      </c>
      <c r="Y507" s="29">
        <v>0.35714186567724798</v>
      </c>
      <c r="Z507" s="29">
        <v>0.1129822897952351</v>
      </c>
      <c r="AA507" s="29">
        <v>3.161042906145012</v>
      </c>
      <c r="AB507" s="29">
        <v>1.572053398901175E-3</v>
      </c>
      <c r="AC507" s="29">
        <v>4.0398354844371279E-2</v>
      </c>
      <c r="AD507" s="29" t="s">
        <v>1186</v>
      </c>
      <c r="AE507" s="29" t="s">
        <v>1187</v>
      </c>
      <c r="AF507" s="29" t="s">
        <v>1188</v>
      </c>
      <c r="AG507" s="29" t="s">
        <v>1189</v>
      </c>
      <c r="AH507" s="29" t="s">
        <v>43</v>
      </c>
      <c r="AI507" s="29" t="s">
        <v>43</v>
      </c>
      <c r="AJ507" s="29" t="s">
        <v>43</v>
      </c>
      <c r="AK507" s="29" t="s">
        <v>43</v>
      </c>
      <c r="AL507" s="29" t="s">
        <v>43</v>
      </c>
      <c r="AM507" s="29" t="s">
        <v>541</v>
      </c>
      <c r="AN507" s="29" t="s">
        <v>542</v>
      </c>
    </row>
    <row r="508" spans="1:40" s="29" customFormat="1" x14ac:dyDescent="0.3">
      <c r="A508" s="29" t="s">
        <v>1190</v>
      </c>
      <c r="B508" s="29">
        <v>892</v>
      </c>
      <c r="C508" s="29" t="str">
        <f>IF(Y508&lt;0, "Down", "Up")</f>
        <v>Up</v>
      </c>
      <c r="D508" s="30" t="str">
        <f>IF(AC508&lt;0.05, "Sig", "N")</f>
        <v>Sig</v>
      </c>
      <c r="E508" s="31" t="str">
        <f>IF(AND(H508&gt;2,J508&gt;2,L508&gt;2,N508&gt;2),"Y","N")</f>
        <v>Y</v>
      </c>
      <c r="F508" s="31" t="str">
        <f>IF(AND(P508&gt;2,R508&gt;2,T508&gt;2,V508&gt;2),"Y","N")</f>
        <v>Y</v>
      </c>
      <c r="G508" s="31" t="str">
        <f>IF(OR(E508="Y", F508="Y"), "Expressed", "N")</f>
        <v>Expressed</v>
      </c>
      <c r="H508" s="29">
        <v>25.14759163104943</v>
      </c>
      <c r="I508" s="29">
        <v>998</v>
      </c>
      <c r="J508" s="29">
        <v>27.05542429090664</v>
      </c>
      <c r="K508" s="29">
        <v>2405</v>
      </c>
      <c r="L508" s="29">
        <v>28.940310629577461</v>
      </c>
      <c r="M508" s="29">
        <v>1995</v>
      </c>
      <c r="N508" s="29">
        <v>29.149231677668709</v>
      </c>
      <c r="O508" s="29">
        <v>1196</v>
      </c>
      <c r="P508" s="29">
        <v>14.159203475650759</v>
      </c>
      <c r="Q508" s="29">
        <v>2807</v>
      </c>
      <c r="R508" s="29">
        <v>71.506040233367784</v>
      </c>
      <c r="S508" s="29">
        <v>1553</v>
      </c>
      <c r="T508" s="29">
        <v>66.963072863260876</v>
      </c>
      <c r="U508" s="29">
        <v>781</v>
      </c>
      <c r="V508" s="29">
        <v>8.7192252855843471</v>
      </c>
      <c r="W508" s="29">
        <v>3266</v>
      </c>
      <c r="X508" s="29">
        <v>1701.172239713123</v>
      </c>
      <c r="Y508" s="29">
        <v>0.42268481188528251</v>
      </c>
      <c r="Z508" s="29">
        <v>0.13504722656289281</v>
      </c>
      <c r="AA508" s="29">
        <v>3.1299036836453209</v>
      </c>
      <c r="AB508" s="29">
        <v>1.748636270300885E-3</v>
      </c>
      <c r="AC508" s="29">
        <v>4.2885123135325227E-2</v>
      </c>
      <c r="AD508" s="29" t="s">
        <v>1191</v>
      </c>
      <c r="AE508" s="29" t="s">
        <v>1192</v>
      </c>
      <c r="AF508" s="29" t="s">
        <v>1193</v>
      </c>
      <c r="AG508" s="29" t="s">
        <v>43</v>
      </c>
      <c r="AH508" s="29" t="s">
        <v>43</v>
      </c>
      <c r="AI508" s="29" t="s">
        <v>43</v>
      </c>
      <c r="AJ508" s="29" t="s">
        <v>43</v>
      </c>
      <c r="AK508" s="29" t="s">
        <v>43</v>
      </c>
      <c r="AL508" s="29" t="s">
        <v>43</v>
      </c>
      <c r="AM508" s="29" t="s">
        <v>43</v>
      </c>
      <c r="AN508" s="29" t="s">
        <v>43</v>
      </c>
    </row>
    <row r="509" spans="1:40" s="29" customFormat="1" x14ac:dyDescent="0.3">
      <c r="A509" s="29" t="s">
        <v>1206</v>
      </c>
      <c r="B509" s="29">
        <v>2442</v>
      </c>
      <c r="C509" s="29" t="str">
        <f>IF(Y509&lt;0, "Down", "Up")</f>
        <v>Up</v>
      </c>
      <c r="D509" s="30" t="str">
        <f>IF(AC509&lt;0.05, "Sig", "N")</f>
        <v>Sig</v>
      </c>
      <c r="E509" s="31" t="str">
        <f>IF(AND(H509&gt;2,J509&gt;2,L509&gt;2,N509&gt;2),"Y","N")</f>
        <v>Y</v>
      </c>
      <c r="F509" s="31" t="str">
        <f>IF(AND(P509&gt;2,R509&gt;2,T509&gt;2,V509&gt;2),"Y","N")</f>
        <v>Y</v>
      </c>
      <c r="G509" s="31" t="str">
        <f>IF(OR(E509="Y", F509="Y"), "Expressed", "N")</f>
        <v>Expressed</v>
      </c>
      <c r="H509" s="29">
        <v>25.099795939570221</v>
      </c>
      <c r="I509" s="29">
        <v>2727</v>
      </c>
      <c r="J509" s="29">
        <v>26.594814883949969</v>
      </c>
      <c r="K509" s="29">
        <v>6472</v>
      </c>
      <c r="L509" s="29">
        <v>27.44790758275715</v>
      </c>
      <c r="M509" s="29">
        <v>5180</v>
      </c>
      <c r="N509" s="29">
        <v>25.99548823573906</v>
      </c>
      <c r="O509" s="29">
        <v>2920</v>
      </c>
      <c r="P509" s="29">
        <v>12.62727647331775</v>
      </c>
      <c r="Q509" s="29">
        <v>7426</v>
      </c>
      <c r="R509" s="29">
        <v>69.099428575149574</v>
      </c>
      <c r="S509" s="29">
        <v>4584</v>
      </c>
      <c r="T509" s="29">
        <v>72.198424859609005</v>
      </c>
      <c r="U509" s="29">
        <v>2142</v>
      </c>
      <c r="V509" s="29">
        <v>8.7350526378725117</v>
      </c>
      <c r="W509" s="29">
        <v>8149</v>
      </c>
      <c r="X509" s="29">
        <v>4546.8665930218276</v>
      </c>
      <c r="Y509" s="29">
        <v>0.48158679606701038</v>
      </c>
      <c r="Z509" s="29">
        <v>0.14847530541734069</v>
      </c>
      <c r="AA509" s="29">
        <v>3.2435481086457161</v>
      </c>
      <c r="AB509" s="29">
        <v>1.1805087289545599E-3</v>
      </c>
      <c r="AC509" s="29">
        <v>3.4138182458576631E-2</v>
      </c>
      <c r="AD509" s="29" t="s">
        <v>1207</v>
      </c>
      <c r="AE509" s="29" t="s">
        <v>1208</v>
      </c>
      <c r="AF509" s="29" t="s">
        <v>1209</v>
      </c>
      <c r="AG509" s="29" t="s">
        <v>1210</v>
      </c>
      <c r="AH509" s="29" t="s">
        <v>43</v>
      </c>
      <c r="AI509" s="29" t="s">
        <v>43</v>
      </c>
      <c r="AJ509" s="29" t="s">
        <v>43</v>
      </c>
      <c r="AK509" s="29" t="s">
        <v>43</v>
      </c>
      <c r="AL509" s="29" t="s">
        <v>43</v>
      </c>
      <c r="AM509" s="29" t="s">
        <v>1211</v>
      </c>
      <c r="AN509" s="29" t="s">
        <v>43</v>
      </c>
    </row>
    <row r="510" spans="1:40" s="29" customFormat="1" x14ac:dyDescent="0.3">
      <c r="A510" s="29" t="s">
        <v>1212</v>
      </c>
      <c r="B510" s="29">
        <v>1017</v>
      </c>
      <c r="C510" s="29" t="str">
        <f>IF(Y510&lt;0, "Down", "Up")</f>
        <v>Up</v>
      </c>
      <c r="D510" s="30" t="str">
        <f>IF(AC510&lt;0.05, "Sig", "N")</f>
        <v>Sig</v>
      </c>
      <c r="E510" s="31" t="str">
        <f>IF(AND(H510&gt;2,J510&gt;2,L510&gt;2,N510&gt;2),"Y","N")</f>
        <v>Y</v>
      </c>
      <c r="F510" s="31" t="str">
        <f>IF(AND(P510&gt;2,R510&gt;2,T510&gt;2,V510&gt;2),"Y","N")</f>
        <v>Y</v>
      </c>
      <c r="G510" s="31" t="str">
        <f>IF(OR(E510="Y", F510="Y"), "Expressed", "N")</f>
        <v>Expressed</v>
      </c>
      <c r="H510" s="29">
        <v>26.742076679636821</v>
      </c>
      <c r="I510" s="29">
        <v>1210</v>
      </c>
      <c r="J510" s="29">
        <v>26.512509444287939</v>
      </c>
      <c r="K510" s="29">
        <v>2687</v>
      </c>
      <c r="L510" s="29">
        <v>39.302673904530337</v>
      </c>
      <c r="M510" s="29">
        <v>3089</v>
      </c>
      <c r="N510" s="29">
        <v>27.126980544023951</v>
      </c>
      <c r="O510" s="29">
        <v>1269</v>
      </c>
      <c r="P510" s="29">
        <v>13.176897471953319</v>
      </c>
      <c r="Q510" s="29">
        <v>3196</v>
      </c>
      <c r="R510" s="29">
        <v>71.408677243039463</v>
      </c>
      <c r="S510" s="29">
        <v>1927</v>
      </c>
      <c r="T510" s="29">
        <v>72.876840356244742</v>
      </c>
      <c r="U510" s="29">
        <v>1007</v>
      </c>
      <c r="V510" s="29">
        <v>9.8605295097609851</v>
      </c>
      <c r="W510" s="29">
        <v>4781</v>
      </c>
      <c r="X510" s="29">
        <v>2138.2826563105818</v>
      </c>
      <c r="Y510" s="29">
        <v>0.49633044713888708</v>
      </c>
      <c r="Z510" s="29">
        <v>0.14887595069784931</v>
      </c>
      <c r="AA510" s="29">
        <v>3.333852410764536</v>
      </c>
      <c r="AB510" s="29">
        <v>8.5652092640700714E-4</v>
      </c>
      <c r="AC510" s="29">
        <v>2.79255161120903E-2</v>
      </c>
      <c r="AD510" s="29" t="s">
        <v>1213</v>
      </c>
      <c r="AE510" s="29" t="s">
        <v>1214</v>
      </c>
      <c r="AF510" s="29" t="s">
        <v>1215</v>
      </c>
      <c r="AG510" s="29" t="s">
        <v>1216</v>
      </c>
      <c r="AH510" s="29" t="s">
        <v>43</v>
      </c>
      <c r="AI510" s="29" t="s">
        <v>43</v>
      </c>
      <c r="AJ510" s="29" t="s">
        <v>43</v>
      </c>
      <c r="AK510" s="29" t="s">
        <v>43</v>
      </c>
      <c r="AL510" s="29" t="s">
        <v>43</v>
      </c>
      <c r="AM510" s="29" t="s">
        <v>1217</v>
      </c>
      <c r="AN510" s="29" t="s">
        <v>43</v>
      </c>
    </row>
    <row r="511" spans="1:40" s="29" customFormat="1" x14ac:dyDescent="0.3">
      <c r="A511" s="29" t="s">
        <v>1223</v>
      </c>
      <c r="B511" s="29">
        <v>1272</v>
      </c>
      <c r="C511" s="29" t="str">
        <f>IF(Y511&lt;0, "Down", "Up")</f>
        <v>Up</v>
      </c>
      <c r="D511" s="30" t="str">
        <f>IF(AC511&lt;0.05, "Sig", "N")</f>
        <v>Sig</v>
      </c>
      <c r="E511" s="31" t="str">
        <f>IF(AND(H511&gt;2,J511&gt;2,L511&gt;2,N511&gt;2),"Y","N")</f>
        <v>Y</v>
      </c>
      <c r="F511" s="31" t="str">
        <f>IF(AND(P511&gt;2,R511&gt;2,T511&gt;2,V511&gt;2),"Y","N")</f>
        <v>Y</v>
      </c>
      <c r="G511" s="31" t="str">
        <f>IF(OR(E511="Y", F511="Y"), "Expressed", "N")</f>
        <v>Expressed</v>
      </c>
      <c r="H511" s="29">
        <v>28.69654593579553</v>
      </c>
      <c r="I511" s="29">
        <v>1624</v>
      </c>
      <c r="J511" s="29">
        <v>26.341071092373351</v>
      </c>
      <c r="K511" s="29">
        <v>3339</v>
      </c>
      <c r="L511" s="29">
        <v>37.476381633546183</v>
      </c>
      <c r="M511" s="29">
        <v>3684</v>
      </c>
      <c r="N511" s="29">
        <v>27.65363286044246</v>
      </c>
      <c r="O511" s="29">
        <v>1618</v>
      </c>
      <c r="P511" s="29">
        <v>13.432718187626079</v>
      </c>
      <c r="Q511" s="29">
        <v>4078</v>
      </c>
      <c r="R511" s="29">
        <v>72.849282848565096</v>
      </c>
      <c r="S511" s="29">
        <v>1959</v>
      </c>
      <c r="T511" s="29">
        <v>59.234687016457407</v>
      </c>
      <c r="U511" s="29">
        <v>1247</v>
      </c>
      <c r="V511" s="29">
        <v>9.7627251251845362</v>
      </c>
      <c r="W511" s="29">
        <v>4730</v>
      </c>
      <c r="X511" s="29">
        <v>2509.3849301461041</v>
      </c>
      <c r="Y511" s="29">
        <v>0.31665914030913328</v>
      </c>
      <c r="Z511" s="29">
        <v>9.8093860238290809E-2</v>
      </c>
      <c r="AA511" s="29">
        <v>3.228123957400606</v>
      </c>
      <c r="AB511" s="29">
        <v>1.246049665324203E-3</v>
      </c>
      <c r="AC511" s="29">
        <v>3.5365073454495563E-2</v>
      </c>
      <c r="AD511" s="29" t="s">
        <v>1224</v>
      </c>
      <c r="AE511" s="29" t="s">
        <v>1225</v>
      </c>
      <c r="AF511" s="29" t="s">
        <v>43</v>
      </c>
      <c r="AG511" s="29" t="s">
        <v>1226</v>
      </c>
      <c r="AH511" s="29" t="s">
        <v>43</v>
      </c>
      <c r="AI511" s="29" t="s">
        <v>43</v>
      </c>
      <c r="AJ511" s="29" t="s">
        <v>43</v>
      </c>
      <c r="AK511" s="29" t="s">
        <v>43</v>
      </c>
      <c r="AL511" s="29" t="s">
        <v>43</v>
      </c>
      <c r="AM511" s="29" t="s">
        <v>1227</v>
      </c>
      <c r="AN511" s="29" t="s">
        <v>43</v>
      </c>
    </row>
    <row r="512" spans="1:40" s="29" customFormat="1" x14ac:dyDescent="0.3">
      <c r="A512" s="29" t="s">
        <v>1238</v>
      </c>
      <c r="B512" s="29">
        <v>1575</v>
      </c>
      <c r="C512" s="29" t="str">
        <f>IF(Y512&lt;0, "Down", "Up")</f>
        <v>Up</v>
      </c>
      <c r="D512" s="30" t="str">
        <f>IF(AC512&lt;0.05, "Sig", "N")</f>
        <v>Sig</v>
      </c>
      <c r="E512" s="31" t="str">
        <f>IF(AND(H512&gt;2,J512&gt;2,L512&gt;2,N512&gt;2),"Y","N")</f>
        <v>Y</v>
      </c>
      <c r="F512" s="31" t="str">
        <f>IF(AND(P512&gt;2,R512&gt;2,T512&gt;2,V512&gt;2),"Y","N")</f>
        <v>Y</v>
      </c>
      <c r="G512" s="31" t="str">
        <f>IF(OR(E512="Y", F512="Y"), "Expressed", "N")</f>
        <v>Expressed</v>
      </c>
      <c r="H512" s="29">
        <v>21.277852681063759</v>
      </c>
      <c r="I512" s="29">
        <v>1491</v>
      </c>
      <c r="J512" s="29">
        <v>25.809869447063811</v>
      </c>
      <c r="K512" s="29">
        <v>4051</v>
      </c>
      <c r="L512" s="29">
        <v>24.09664877122432</v>
      </c>
      <c r="M512" s="29">
        <v>2933</v>
      </c>
      <c r="N512" s="29">
        <v>26.37794240512514</v>
      </c>
      <c r="O512" s="29">
        <v>1911</v>
      </c>
      <c r="P512" s="29">
        <v>12.81305311622657</v>
      </c>
      <c r="Q512" s="29">
        <v>4681</v>
      </c>
      <c r="R512" s="29">
        <v>67.534121319037098</v>
      </c>
      <c r="S512" s="29">
        <v>2599</v>
      </c>
      <c r="T512" s="29">
        <v>63.467953484185493</v>
      </c>
      <c r="U512" s="29">
        <v>1526</v>
      </c>
      <c r="V512" s="29">
        <v>9.6486309411500351</v>
      </c>
      <c r="W512" s="29">
        <v>5862</v>
      </c>
      <c r="X512" s="29">
        <v>2861.8815426185679</v>
      </c>
      <c r="Y512" s="29">
        <v>0.59479502889928437</v>
      </c>
      <c r="Z512" s="29">
        <v>0.15021827488432149</v>
      </c>
      <c r="AA512" s="29">
        <v>3.9595384074096018</v>
      </c>
      <c r="AB512" s="29">
        <v>7.5094767283279904E-5</v>
      </c>
      <c r="AC512" s="29">
        <v>5.4871988543312971E-3</v>
      </c>
      <c r="AD512" s="29" t="s">
        <v>1239</v>
      </c>
      <c r="AE512" s="29" t="s">
        <v>1240</v>
      </c>
      <c r="AF512" s="29" t="s">
        <v>43</v>
      </c>
      <c r="AG512" s="29" t="s">
        <v>1241</v>
      </c>
      <c r="AH512" s="29" t="s">
        <v>43</v>
      </c>
      <c r="AI512" s="29" t="s">
        <v>43</v>
      </c>
      <c r="AJ512" s="29" t="s">
        <v>43</v>
      </c>
      <c r="AK512" s="29" t="s">
        <v>43</v>
      </c>
      <c r="AL512" s="29" t="s">
        <v>43</v>
      </c>
      <c r="AM512" s="29" t="s">
        <v>1242</v>
      </c>
      <c r="AN512" s="29" t="s">
        <v>43</v>
      </c>
    </row>
    <row r="513" spans="1:40" s="29" customFormat="1" x14ac:dyDescent="0.3">
      <c r="A513" s="29" t="s">
        <v>1243</v>
      </c>
      <c r="B513" s="29">
        <v>1352</v>
      </c>
      <c r="C513" s="29" t="str">
        <f>IF(Y513&lt;0, "Down", "Up")</f>
        <v>Up</v>
      </c>
      <c r="D513" s="30" t="str">
        <f>IF(AC513&lt;0.05, "Sig", "N")</f>
        <v>Sig</v>
      </c>
      <c r="E513" s="31" t="str">
        <f>IF(AND(H513&gt;2,J513&gt;2,L513&gt;2,N513&gt;2),"Y","N")</f>
        <v>Y</v>
      </c>
      <c r="F513" s="31" t="str">
        <f>IF(AND(P513&gt;2,R513&gt;2,T513&gt;2,V513&gt;2),"Y","N")</f>
        <v>Y</v>
      </c>
      <c r="G513" s="31" t="str">
        <f>IF(OR(E513="Y", F513="Y"), "Expressed", "N")</f>
        <v>Expressed</v>
      </c>
      <c r="H513" s="29">
        <v>24.172325140324219</v>
      </c>
      <c r="I513" s="29">
        <v>1454</v>
      </c>
      <c r="J513" s="29">
        <v>25.78441278526487</v>
      </c>
      <c r="K513" s="29">
        <v>3474</v>
      </c>
      <c r="L513" s="29">
        <v>23.936582380892808</v>
      </c>
      <c r="M513" s="29">
        <v>2501</v>
      </c>
      <c r="N513" s="29">
        <v>21.17726494786913</v>
      </c>
      <c r="O513" s="29">
        <v>1317</v>
      </c>
      <c r="P513" s="29">
        <v>10.286830430743869</v>
      </c>
      <c r="Q513" s="29">
        <v>4887</v>
      </c>
      <c r="R513" s="29">
        <v>82.135483514759642</v>
      </c>
      <c r="S513" s="29">
        <v>2639</v>
      </c>
      <c r="T513" s="29">
        <v>75.074331206274621</v>
      </c>
      <c r="U513" s="29">
        <v>1094</v>
      </c>
      <c r="V513" s="29">
        <v>8.0580943833263703</v>
      </c>
      <c r="W513" s="29">
        <v>4931</v>
      </c>
      <c r="X513" s="29">
        <v>2502.533839133851</v>
      </c>
      <c r="Y513" s="29">
        <v>0.70538430261716412</v>
      </c>
      <c r="Z513" s="29">
        <v>0.16269611803987011</v>
      </c>
      <c r="AA513" s="29">
        <v>4.335593934972092</v>
      </c>
      <c r="AB513" s="29">
        <v>1.4536707930156349E-5</v>
      </c>
      <c r="AC513" s="29">
        <v>1.6560278403157441E-3</v>
      </c>
      <c r="AD513" s="29" t="s">
        <v>1244</v>
      </c>
      <c r="AE513" s="29" t="s">
        <v>1245</v>
      </c>
      <c r="AF513" s="29" t="s">
        <v>1246</v>
      </c>
      <c r="AG513" s="29" t="s">
        <v>176</v>
      </c>
      <c r="AH513" s="29" t="s">
        <v>43</v>
      </c>
      <c r="AI513" s="29" t="s">
        <v>43</v>
      </c>
      <c r="AJ513" s="29" t="s">
        <v>43</v>
      </c>
      <c r="AK513" s="29" t="s">
        <v>43</v>
      </c>
      <c r="AL513" s="29" t="s">
        <v>43</v>
      </c>
      <c r="AM513" s="29" t="s">
        <v>177</v>
      </c>
      <c r="AN513" s="29" t="s">
        <v>43</v>
      </c>
    </row>
    <row r="514" spans="1:40" s="29" customFormat="1" x14ac:dyDescent="0.3">
      <c r="A514" s="29" t="s">
        <v>1259</v>
      </c>
      <c r="B514" s="29">
        <v>1645</v>
      </c>
      <c r="C514" s="29" t="str">
        <f>IF(Y514&lt;0, "Down", "Up")</f>
        <v>Up</v>
      </c>
      <c r="D514" s="30" t="str">
        <f>IF(AC514&lt;0.05, "Sig", "N")</f>
        <v>Sig</v>
      </c>
      <c r="E514" s="31" t="str">
        <f>IF(AND(H514&gt;2,J514&gt;2,L514&gt;2,N514&gt;2),"Y","N")</f>
        <v>Y</v>
      </c>
      <c r="F514" s="31" t="str">
        <f>IF(AND(P514&gt;2,R514&gt;2,T514&gt;2,V514&gt;2),"Y","N")</f>
        <v>Y</v>
      </c>
      <c r="G514" s="31" t="str">
        <f>IF(OR(E514="Y", F514="Y"), "Expressed", "N")</f>
        <v>Expressed</v>
      </c>
      <c r="H514" s="29">
        <v>24.47148903107059</v>
      </c>
      <c r="I514" s="29">
        <v>1791</v>
      </c>
      <c r="J514" s="29">
        <v>25.291088319346919</v>
      </c>
      <c r="K514" s="29">
        <v>4146</v>
      </c>
      <c r="L514" s="29">
        <v>30.83509617807611</v>
      </c>
      <c r="M514" s="29">
        <v>3920</v>
      </c>
      <c r="N514" s="29">
        <v>28.62551684232993</v>
      </c>
      <c r="O514" s="29">
        <v>2166</v>
      </c>
      <c r="P514" s="29">
        <v>13.90480963780357</v>
      </c>
      <c r="Q514" s="29">
        <v>5335</v>
      </c>
      <c r="R514" s="29">
        <v>73.694265071874227</v>
      </c>
      <c r="S514" s="29">
        <v>2281</v>
      </c>
      <c r="T514" s="29">
        <v>53.332035114849567</v>
      </c>
      <c r="U514" s="29">
        <v>1381</v>
      </c>
      <c r="V514" s="29">
        <v>8.3602544524381486</v>
      </c>
      <c r="W514" s="29">
        <v>5384</v>
      </c>
      <c r="X514" s="29">
        <v>2959.7775618707342</v>
      </c>
      <c r="Y514" s="29">
        <v>0.30966279414649373</v>
      </c>
      <c r="Z514" s="29">
        <v>0.1013173595915389</v>
      </c>
      <c r="AA514" s="29">
        <v>3.056364628874062</v>
      </c>
      <c r="AB514" s="29">
        <v>2.2403862096234939E-3</v>
      </c>
      <c r="AC514" s="29">
        <v>4.922603231219206E-2</v>
      </c>
      <c r="AD514" s="29" t="s">
        <v>1260</v>
      </c>
      <c r="AE514" s="29" t="s">
        <v>1261</v>
      </c>
      <c r="AF514" s="29" t="s">
        <v>1262</v>
      </c>
      <c r="AG514" s="29" t="s">
        <v>1263</v>
      </c>
      <c r="AH514" s="29" t="s">
        <v>43</v>
      </c>
      <c r="AI514" s="29" t="s">
        <v>43</v>
      </c>
      <c r="AJ514" s="29" t="s">
        <v>43</v>
      </c>
      <c r="AK514" s="29" t="s">
        <v>43</v>
      </c>
      <c r="AL514" s="29" t="s">
        <v>43</v>
      </c>
      <c r="AM514" s="29" t="s">
        <v>1264</v>
      </c>
      <c r="AN514" s="29" t="s">
        <v>43</v>
      </c>
    </row>
    <row r="515" spans="1:40" s="29" customFormat="1" x14ac:dyDescent="0.3">
      <c r="A515" s="29" t="s">
        <v>1285</v>
      </c>
      <c r="B515" s="29">
        <v>498</v>
      </c>
      <c r="C515" s="29" t="str">
        <f>IF(Y515&lt;0, "Down", "Up")</f>
        <v>Up</v>
      </c>
      <c r="D515" s="30" t="str">
        <f>IF(AC515&lt;0.05, "Sig", "N")</f>
        <v>Sig</v>
      </c>
      <c r="E515" s="31" t="str">
        <f>IF(AND(H515&gt;2,J515&gt;2,L515&gt;2,N515&gt;2),"Y","N")</f>
        <v>Y</v>
      </c>
      <c r="F515" s="31" t="str">
        <f>IF(AND(P515&gt;2,R515&gt;2,T515&gt;2,V515&gt;2),"Y","N")</f>
        <v>Y</v>
      </c>
      <c r="G515" s="31" t="str">
        <f>IF(OR(E515="Y", F515="Y"), "Expressed", "N")</f>
        <v>Expressed</v>
      </c>
      <c r="H515" s="29">
        <v>22.747407413999941</v>
      </c>
      <c r="I515" s="29">
        <v>504</v>
      </c>
      <c r="J515" s="29">
        <v>23.656085264827929</v>
      </c>
      <c r="K515" s="29">
        <v>1174</v>
      </c>
      <c r="L515" s="29">
        <v>27.646326191789129</v>
      </c>
      <c r="M515" s="29">
        <v>1064</v>
      </c>
      <c r="N515" s="29">
        <v>22.831431017278639</v>
      </c>
      <c r="O515" s="29">
        <v>523</v>
      </c>
      <c r="P515" s="29">
        <v>11.090339566706101</v>
      </c>
      <c r="Q515" s="29">
        <v>1383</v>
      </c>
      <c r="R515" s="29">
        <v>63.10416260648644</v>
      </c>
      <c r="S515" s="29">
        <v>754</v>
      </c>
      <c r="T515" s="29">
        <v>58.233216173771247</v>
      </c>
      <c r="U515" s="29">
        <v>421</v>
      </c>
      <c r="V515" s="29">
        <v>8.4186891225492531</v>
      </c>
      <c r="W515" s="29">
        <v>1566</v>
      </c>
      <c r="X515" s="29">
        <v>839.94914972959759</v>
      </c>
      <c r="Y515" s="29">
        <v>0.44789341475000982</v>
      </c>
      <c r="Z515" s="29">
        <v>0.1218429118608364</v>
      </c>
      <c r="AA515" s="29">
        <v>3.6759907319153191</v>
      </c>
      <c r="AB515" s="29">
        <v>2.3692812422797669E-4</v>
      </c>
      <c r="AC515" s="29">
        <v>1.2090806987229131E-2</v>
      </c>
      <c r="AD515" s="29" t="s">
        <v>1286</v>
      </c>
      <c r="AE515" s="29" t="s">
        <v>1287</v>
      </c>
      <c r="AF515" s="29" t="s">
        <v>1288</v>
      </c>
      <c r="AG515" s="29" t="s">
        <v>1289</v>
      </c>
      <c r="AH515" s="29" t="s">
        <v>43</v>
      </c>
      <c r="AI515" s="29" t="s">
        <v>43</v>
      </c>
      <c r="AJ515" s="29" t="s">
        <v>43</v>
      </c>
      <c r="AK515" s="29" t="s">
        <v>43</v>
      </c>
      <c r="AL515" s="29" t="s">
        <v>43</v>
      </c>
      <c r="AM515" s="29" t="s">
        <v>1290</v>
      </c>
      <c r="AN515" s="29" t="s">
        <v>43</v>
      </c>
    </row>
    <row r="516" spans="1:40" s="29" customFormat="1" x14ac:dyDescent="0.3">
      <c r="A516" s="29" t="s">
        <v>1296</v>
      </c>
      <c r="B516" s="29">
        <v>1972</v>
      </c>
      <c r="C516" s="29" t="str">
        <f>IF(Y516&lt;0, "Down", "Up")</f>
        <v>Up</v>
      </c>
      <c r="D516" s="30" t="str">
        <f>IF(AC516&lt;0.05, "Sig", "N")</f>
        <v>Sig</v>
      </c>
      <c r="E516" s="31" t="str">
        <f>IF(AND(H516&gt;2,J516&gt;2,L516&gt;2,N516&gt;2),"Y","N")</f>
        <v>Y</v>
      </c>
      <c r="F516" s="31" t="str">
        <f>IF(AND(P516&gt;2,R516&gt;2,T516&gt;2,V516&gt;2),"Y","N")</f>
        <v>Y</v>
      </c>
      <c r="G516" s="31" t="str">
        <f>IF(OR(E516="Y", F516="Y"), "Expressed", "N")</f>
        <v>Expressed</v>
      </c>
      <c r="H516" s="29">
        <v>23.661983704551229</v>
      </c>
      <c r="I516" s="29">
        <v>2076</v>
      </c>
      <c r="J516" s="29">
        <v>23.32608323914603</v>
      </c>
      <c r="K516" s="29">
        <v>4584</v>
      </c>
      <c r="L516" s="29">
        <v>33.451689975931373</v>
      </c>
      <c r="M516" s="29">
        <v>5098</v>
      </c>
      <c r="N516" s="29">
        <v>25.63166588777888</v>
      </c>
      <c r="O516" s="29">
        <v>2325</v>
      </c>
      <c r="P516" s="29">
        <v>12.45055021477614</v>
      </c>
      <c r="Q516" s="29">
        <v>6465</v>
      </c>
      <c r="R516" s="29">
        <v>74.494942500489699</v>
      </c>
      <c r="S516" s="29">
        <v>2794</v>
      </c>
      <c r="T516" s="29">
        <v>54.49394694340085</v>
      </c>
      <c r="U516" s="29">
        <v>1695</v>
      </c>
      <c r="V516" s="29">
        <v>8.5596205249202004</v>
      </c>
      <c r="W516" s="29">
        <v>6465</v>
      </c>
      <c r="X516" s="29">
        <v>3520.1106429883239</v>
      </c>
      <c r="Y516" s="29">
        <v>0.38205797682399217</v>
      </c>
      <c r="Z516" s="29">
        <v>9.7995638165401702E-2</v>
      </c>
      <c r="AA516" s="29">
        <v>3.89872431035284</v>
      </c>
      <c r="AB516" s="29">
        <v>9.6700796273315153E-5</v>
      </c>
      <c r="AC516" s="29">
        <v>6.5133909558225556E-3</v>
      </c>
      <c r="AD516" s="29" t="s">
        <v>1297</v>
      </c>
      <c r="AE516" s="29" t="s">
        <v>1298</v>
      </c>
      <c r="AF516" s="29" t="s">
        <v>1299</v>
      </c>
      <c r="AG516" s="29" t="s">
        <v>1300</v>
      </c>
      <c r="AH516" s="29" t="s">
        <v>43</v>
      </c>
      <c r="AI516" s="29" t="s">
        <v>43</v>
      </c>
      <c r="AJ516" s="29" t="s">
        <v>43</v>
      </c>
      <c r="AK516" s="29" t="s">
        <v>43</v>
      </c>
      <c r="AL516" s="29" t="s">
        <v>43</v>
      </c>
      <c r="AM516" s="29" t="s">
        <v>371</v>
      </c>
      <c r="AN516" s="29" t="s">
        <v>43</v>
      </c>
    </row>
    <row r="517" spans="1:40" s="29" customFormat="1" x14ac:dyDescent="0.3">
      <c r="A517" s="29" t="s">
        <v>292</v>
      </c>
      <c r="B517" s="29">
        <v>4754</v>
      </c>
      <c r="C517" s="29" t="str">
        <f>IF(Y517&lt;0, "Down", "Up")</f>
        <v>Up</v>
      </c>
      <c r="D517" s="30" t="str">
        <f>IF(AC517&lt;0.05, "Sig", "N")</f>
        <v>Sig</v>
      </c>
      <c r="E517" s="31" t="str">
        <f>IF(AND(H517&gt;2,J517&gt;2,L517&gt;2,N517&gt;2),"Y","N")</f>
        <v>Y</v>
      </c>
      <c r="F517" s="31" t="str">
        <f>IF(AND(P517&gt;2,R517&gt;2,T517&gt;2,V517&gt;2),"Y","N")</f>
        <v>Y</v>
      </c>
      <c r="G517" s="31" t="str">
        <f>IF(OR(E517="Y", F517="Y"), "Expressed", "N")</f>
        <v>Expressed</v>
      </c>
      <c r="H517" s="29">
        <v>18.41058049116436</v>
      </c>
      <c r="I517" s="29">
        <v>3894</v>
      </c>
      <c r="J517" s="29">
        <v>23.009717409136119</v>
      </c>
      <c r="K517" s="29">
        <v>10901</v>
      </c>
      <c r="L517" s="29">
        <v>18.97137214709409</v>
      </c>
      <c r="M517" s="29">
        <v>6970</v>
      </c>
      <c r="N517" s="29">
        <v>18.822485681143309</v>
      </c>
      <c r="O517" s="29">
        <v>4116</v>
      </c>
      <c r="P517" s="29">
        <v>9.1429992949353043</v>
      </c>
      <c r="Q517" s="29">
        <v>19177</v>
      </c>
      <c r="R517" s="29">
        <v>91.661437002730437</v>
      </c>
      <c r="S517" s="29">
        <v>3953</v>
      </c>
      <c r="T517" s="29">
        <v>31.98132187452617</v>
      </c>
      <c r="U517" s="29">
        <v>4135</v>
      </c>
      <c r="V517" s="29">
        <v>8.6617980916818116</v>
      </c>
      <c r="W517" s="29">
        <v>16247</v>
      </c>
      <c r="X517" s="29">
        <v>7437.5218887478368</v>
      </c>
      <c r="Y517" s="29">
        <v>0.7299369681494654</v>
      </c>
      <c r="Z517" s="29">
        <v>0.21782586189238029</v>
      </c>
      <c r="AA517" s="29">
        <v>3.3510114997736138</v>
      </c>
      <c r="AB517" s="29">
        <v>8.0516958661752875E-4</v>
      </c>
      <c r="AC517" s="29">
        <v>2.654925992581815E-2</v>
      </c>
      <c r="AD517" s="29" t="s">
        <v>293</v>
      </c>
      <c r="AE517" s="29" t="s">
        <v>294</v>
      </c>
      <c r="AF517" s="29" t="s">
        <v>295</v>
      </c>
      <c r="AG517" s="29" t="s">
        <v>296</v>
      </c>
      <c r="AH517" s="29" t="s">
        <v>43</v>
      </c>
      <c r="AI517" s="29" t="s">
        <v>43</v>
      </c>
      <c r="AJ517" s="29" t="s">
        <v>43</v>
      </c>
      <c r="AK517" s="29" t="s">
        <v>43</v>
      </c>
      <c r="AL517" s="29" t="s">
        <v>43</v>
      </c>
      <c r="AM517" s="29" t="s">
        <v>297</v>
      </c>
      <c r="AN517" s="29" t="s">
        <v>43</v>
      </c>
    </row>
    <row r="518" spans="1:40" s="29" customFormat="1" x14ac:dyDescent="0.3">
      <c r="A518" s="29" t="s">
        <v>1307</v>
      </c>
      <c r="B518" s="29">
        <v>1864</v>
      </c>
      <c r="C518" s="29" t="str">
        <f>IF(Y518&lt;0, "Down", "Up")</f>
        <v>Up</v>
      </c>
      <c r="D518" s="30" t="str">
        <f>IF(AC518&lt;0.05, "Sig", "N")</f>
        <v>Sig</v>
      </c>
      <c r="E518" s="31" t="str">
        <f>IF(AND(H518&gt;2,J518&gt;2,L518&gt;2,N518&gt;2),"Y","N")</f>
        <v>Y</v>
      </c>
      <c r="F518" s="31" t="str">
        <f>IF(AND(P518&gt;2,R518&gt;2,T518&gt;2,V518&gt;2),"Y","N")</f>
        <v>Y</v>
      </c>
      <c r="G518" s="31" t="str">
        <f>IF(OR(E518="Y", F518="Y"), "Expressed", "N")</f>
        <v>Expressed</v>
      </c>
      <c r="H518" s="29">
        <v>20.486991309651739</v>
      </c>
      <c r="I518" s="29">
        <v>1699</v>
      </c>
      <c r="J518" s="29">
        <v>23.00873448779965</v>
      </c>
      <c r="K518" s="29">
        <v>4274</v>
      </c>
      <c r="L518" s="29">
        <v>23.859358721213201</v>
      </c>
      <c r="M518" s="29">
        <v>3437</v>
      </c>
      <c r="N518" s="29">
        <v>24.037697774325672</v>
      </c>
      <c r="O518" s="29">
        <v>2061</v>
      </c>
      <c r="P518" s="29">
        <v>11.676282161962471</v>
      </c>
      <c r="Q518" s="29">
        <v>5162</v>
      </c>
      <c r="R518" s="29">
        <v>62.927034092937276</v>
      </c>
      <c r="S518" s="29">
        <v>2887</v>
      </c>
      <c r="T518" s="29">
        <v>59.570281073652573</v>
      </c>
      <c r="U518" s="29">
        <v>1296</v>
      </c>
      <c r="V518" s="29">
        <v>6.9239004174689676</v>
      </c>
      <c r="W518" s="29">
        <v>6041</v>
      </c>
      <c r="X518" s="29">
        <v>3018.6542170666849</v>
      </c>
      <c r="Y518" s="29">
        <v>0.48266730067234459</v>
      </c>
      <c r="Z518" s="29">
        <v>0.14693142534150691</v>
      </c>
      <c r="AA518" s="29">
        <v>3.284983450956799</v>
      </c>
      <c r="AB518" s="29">
        <v>1.0198836183734641E-3</v>
      </c>
      <c r="AC518" s="29">
        <v>3.1192869994289042E-2</v>
      </c>
      <c r="AD518" s="29" t="s">
        <v>1308</v>
      </c>
      <c r="AE518" s="29" t="s">
        <v>1309</v>
      </c>
      <c r="AF518" s="29" t="s">
        <v>1310</v>
      </c>
      <c r="AG518" s="29" t="s">
        <v>1311</v>
      </c>
      <c r="AH518" s="29" t="s">
        <v>43</v>
      </c>
      <c r="AI518" s="29" t="s">
        <v>43</v>
      </c>
      <c r="AJ518" s="29" t="s">
        <v>43</v>
      </c>
      <c r="AK518" s="29" t="s">
        <v>43</v>
      </c>
      <c r="AL518" s="29" t="s">
        <v>43</v>
      </c>
      <c r="AM518" s="29" t="s">
        <v>1312</v>
      </c>
      <c r="AN518" s="29" t="s">
        <v>43</v>
      </c>
    </row>
    <row r="519" spans="1:40" s="29" customFormat="1" x14ac:dyDescent="0.3">
      <c r="A519" s="29" t="s">
        <v>1333</v>
      </c>
      <c r="B519" s="29">
        <v>1700</v>
      </c>
      <c r="C519" s="29" t="str">
        <f>IF(Y519&lt;0, "Down", "Up")</f>
        <v>Up</v>
      </c>
      <c r="D519" s="30" t="str">
        <f>IF(AC519&lt;0.05, "Sig", "N")</f>
        <v>Sig</v>
      </c>
      <c r="E519" s="31" t="str">
        <f>IF(AND(H519&gt;2,J519&gt;2,L519&gt;2,N519&gt;2),"Y","N")</f>
        <v>Y</v>
      </c>
      <c r="F519" s="31" t="str">
        <f>IF(AND(P519&gt;2,R519&gt;2,T519&gt;2,V519&gt;2),"Y","N")</f>
        <v>Y</v>
      </c>
      <c r="G519" s="31" t="str">
        <f>IF(OR(E519="Y", F519="Y"), "Expressed", "N")</f>
        <v>Expressed</v>
      </c>
      <c r="H519" s="29">
        <v>23.031909302245069</v>
      </c>
      <c r="I519" s="29">
        <v>1742</v>
      </c>
      <c r="J519" s="29">
        <v>22.41868638853423</v>
      </c>
      <c r="K519" s="29">
        <v>3798</v>
      </c>
      <c r="L519" s="29">
        <v>28.185771921893618</v>
      </c>
      <c r="M519" s="29">
        <v>3703</v>
      </c>
      <c r="N519" s="29">
        <v>32.558940544658327</v>
      </c>
      <c r="O519" s="29">
        <v>2546</v>
      </c>
      <c r="P519" s="29">
        <v>15.815465368736019</v>
      </c>
      <c r="Q519" s="29">
        <v>6364</v>
      </c>
      <c r="R519" s="29">
        <v>85.064121318610219</v>
      </c>
      <c r="S519" s="29">
        <v>2488</v>
      </c>
      <c r="T519" s="29">
        <v>56.289867714534829</v>
      </c>
      <c r="U519" s="29">
        <v>1750</v>
      </c>
      <c r="V519" s="29">
        <v>10.251344935450151</v>
      </c>
      <c r="W519" s="29">
        <v>5609</v>
      </c>
      <c r="X519" s="29">
        <v>3213.1172063591362</v>
      </c>
      <c r="Y519" s="29">
        <v>0.49684659703514911</v>
      </c>
      <c r="Z519" s="29">
        <v>0.15689664841891299</v>
      </c>
      <c r="AA519" s="29">
        <v>3.1667126228762519</v>
      </c>
      <c r="AB519" s="29">
        <v>1.5417259290555459E-3</v>
      </c>
      <c r="AC519" s="29">
        <v>3.9835502092602407E-2</v>
      </c>
      <c r="AD519" s="29" t="s">
        <v>1334</v>
      </c>
      <c r="AE519" s="29" t="s">
        <v>1335</v>
      </c>
      <c r="AF519" s="29" t="s">
        <v>1336</v>
      </c>
      <c r="AG519" s="29" t="s">
        <v>1337</v>
      </c>
      <c r="AH519" s="29" t="s">
        <v>43</v>
      </c>
      <c r="AI519" s="29" t="s">
        <v>43</v>
      </c>
      <c r="AJ519" s="29" t="s">
        <v>43</v>
      </c>
      <c r="AK519" s="29" t="s">
        <v>43</v>
      </c>
      <c r="AL519" s="29" t="s">
        <v>43</v>
      </c>
      <c r="AM519" s="29" t="s">
        <v>1338</v>
      </c>
      <c r="AN519" s="29" t="s">
        <v>43</v>
      </c>
    </row>
    <row r="520" spans="1:40" s="29" customFormat="1" x14ac:dyDescent="0.3">
      <c r="A520" s="29" t="s">
        <v>1376</v>
      </c>
      <c r="B520" s="29">
        <v>987</v>
      </c>
      <c r="C520" s="29" t="str">
        <f>IF(Y520&lt;0, "Down", "Up")</f>
        <v>Up</v>
      </c>
      <c r="D520" s="30" t="str">
        <f>IF(AC520&lt;0.05, "Sig", "N")</f>
        <v>Sig</v>
      </c>
      <c r="E520" s="31" t="str">
        <f>IF(AND(H520&gt;2,J520&gt;2,L520&gt;2,N520&gt;2),"Y","N")</f>
        <v>Y</v>
      </c>
      <c r="F520" s="31" t="str">
        <f>IF(AND(P520&gt;2,R520&gt;2,T520&gt;2,V520&gt;2),"Y","N")</f>
        <v>Y</v>
      </c>
      <c r="G520" s="31" t="str">
        <f>IF(OR(E520="Y", F520="Y"), "Expressed", "N")</f>
        <v>Expressed</v>
      </c>
      <c r="H520" s="29">
        <v>21.31519982605813</v>
      </c>
      <c r="I520" s="29">
        <v>936</v>
      </c>
      <c r="J520" s="29">
        <v>21.289411055118361</v>
      </c>
      <c r="K520" s="29">
        <v>2094</v>
      </c>
      <c r="L520" s="29">
        <v>26.259650359135399</v>
      </c>
      <c r="M520" s="29">
        <v>2003</v>
      </c>
      <c r="N520" s="29">
        <v>23.81054455721657</v>
      </c>
      <c r="O520" s="29">
        <v>1081</v>
      </c>
      <c r="P520" s="29">
        <v>11.565942765824611</v>
      </c>
      <c r="Q520" s="29">
        <v>2500</v>
      </c>
      <c r="R520" s="29">
        <v>57.55565844413794</v>
      </c>
      <c r="S520" s="29">
        <v>1334</v>
      </c>
      <c r="T520" s="29">
        <v>51.983731435926728</v>
      </c>
      <c r="U520" s="29">
        <v>854</v>
      </c>
      <c r="V520" s="29">
        <v>8.6165306569903191</v>
      </c>
      <c r="W520" s="29">
        <v>2798</v>
      </c>
      <c r="X520" s="29">
        <v>1569.0526356850201</v>
      </c>
      <c r="Y520" s="29">
        <v>0.41119952473071769</v>
      </c>
      <c r="Z520" s="29">
        <v>0.1245674667265699</v>
      </c>
      <c r="AA520" s="29">
        <v>3.3010186008945288</v>
      </c>
      <c r="AB520" s="29">
        <v>9.6334495616262682E-4</v>
      </c>
      <c r="AC520" s="29">
        <v>3.0081943152169478E-2</v>
      </c>
      <c r="AD520" s="29" t="s">
        <v>1377</v>
      </c>
      <c r="AE520" s="29" t="s">
        <v>1378</v>
      </c>
      <c r="AF520" s="29" t="s">
        <v>1379</v>
      </c>
      <c r="AG520" s="29" t="s">
        <v>1380</v>
      </c>
      <c r="AH520" s="29" t="s">
        <v>43</v>
      </c>
      <c r="AI520" s="29" t="s">
        <v>43</v>
      </c>
      <c r="AJ520" s="29" t="s">
        <v>43</v>
      </c>
      <c r="AK520" s="29" t="s">
        <v>43</v>
      </c>
      <c r="AL520" s="29" t="s">
        <v>43</v>
      </c>
      <c r="AM520" s="29" t="s">
        <v>1381</v>
      </c>
      <c r="AN520" s="29" t="s">
        <v>43</v>
      </c>
    </row>
    <row r="521" spans="1:40" s="29" customFormat="1" x14ac:dyDescent="0.3">
      <c r="A521" s="29" t="s">
        <v>1398</v>
      </c>
      <c r="B521" s="29">
        <v>4813</v>
      </c>
      <c r="C521" s="29" t="str">
        <f>IF(Y521&lt;0, "Down", "Up")</f>
        <v>Up</v>
      </c>
      <c r="D521" s="30" t="str">
        <f>IF(AC521&lt;0.05, "Sig", "N")</f>
        <v>Sig</v>
      </c>
      <c r="E521" s="31" t="str">
        <f>IF(AND(H521&gt;2,J521&gt;2,L521&gt;2,N521&gt;2),"Y","N")</f>
        <v>Y</v>
      </c>
      <c r="F521" s="31" t="str">
        <f>IF(AND(P521&gt;2,R521&gt;2,T521&gt;2,V521&gt;2),"Y","N")</f>
        <v>Y</v>
      </c>
      <c r="G521" s="31" t="str">
        <f>IF(OR(E521="Y", F521="Y"), "Expressed", "N")</f>
        <v>Expressed</v>
      </c>
      <c r="H521" s="29">
        <v>26.539485954958842</v>
      </c>
      <c r="I521" s="29">
        <v>5683</v>
      </c>
      <c r="J521" s="29">
        <v>20.76991878917007</v>
      </c>
      <c r="K521" s="29">
        <v>9962</v>
      </c>
      <c r="L521" s="29">
        <v>23.744790455730211</v>
      </c>
      <c r="M521" s="29">
        <v>8832</v>
      </c>
      <c r="N521" s="29">
        <v>21.39677450490278</v>
      </c>
      <c r="O521" s="29">
        <v>4737</v>
      </c>
      <c r="P521" s="29">
        <v>10.39345692839081</v>
      </c>
      <c r="Q521" s="29">
        <v>11920</v>
      </c>
      <c r="R521" s="29">
        <v>56.2763036627152</v>
      </c>
      <c r="S521" s="29">
        <v>9404</v>
      </c>
      <c r="T521" s="29">
        <v>75.149402540774602</v>
      </c>
      <c r="U521" s="29">
        <v>8011</v>
      </c>
      <c r="V521" s="29">
        <v>16.575345495522839</v>
      </c>
      <c r="W521" s="29">
        <v>12229</v>
      </c>
      <c r="X521" s="29">
        <v>9172.5701306994815</v>
      </c>
      <c r="Y521" s="29">
        <v>0.84218314308334619</v>
      </c>
      <c r="Z521" s="29">
        <v>0.27199425996979493</v>
      </c>
      <c r="AA521" s="29">
        <v>3.0963268974017</v>
      </c>
      <c r="AB521" s="29">
        <v>1.959342247356357E-3</v>
      </c>
      <c r="AC521" s="29">
        <v>4.5902752625545322E-2</v>
      </c>
      <c r="AD521" s="29" t="s">
        <v>1399</v>
      </c>
      <c r="AE521" s="29" t="s">
        <v>1400</v>
      </c>
      <c r="AF521" s="29" t="s">
        <v>43</v>
      </c>
      <c r="AG521" s="29" t="s">
        <v>1401</v>
      </c>
      <c r="AH521" s="29" t="s">
        <v>43</v>
      </c>
      <c r="AI521" s="29" t="s">
        <v>43</v>
      </c>
      <c r="AJ521" s="29" t="s">
        <v>43</v>
      </c>
      <c r="AK521" s="29" t="s">
        <v>43</v>
      </c>
      <c r="AL521" s="29" t="s">
        <v>43</v>
      </c>
      <c r="AM521" s="29" t="s">
        <v>1402</v>
      </c>
      <c r="AN521" s="29" t="s">
        <v>43</v>
      </c>
    </row>
    <row r="522" spans="1:40" s="29" customFormat="1" x14ac:dyDescent="0.3">
      <c r="A522" s="29" t="s">
        <v>1403</v>
      </c>
      <c r="B522" s="29">
        <v>3792</v>
      </c>
      <c r="C522" s="29" t="str">
        <f>IF(Y522&lt;0, "Down", "Up")</f>
        <v>Up</v>
      </c>
      <c r="D522" s="30" t="str">
        <f>IF(AC522&lt;0.05, "Sig", "N")</f>
        <v>Sig</v>
      </c>
      <c r="E522" s="31" t="str">
        <f>IF(AND(H522&gt;2,J522&gt;2,L522&gt;2,N522&gt;2),"Y","N")</f>
        <v>Y</v>
      </c>
      <c r="F522" s="31" t="str">
        <f>IF(AND(P522&gt;2,R522&gt;2,T522&gt;2,V522&gt;2),"Y","N")</f>
        <v>Y</v>
      </c>
      <c r="G522" s="31" t="str">
        <f>IF(OR(E522="Y", F522="Y"), "Expressed", "N")</f>
        <v>Expressed</v>
      </c>
      <c r="H522" s="29">
        <v>16.365481606685972</v>
      </c>
      <c r="I522" s="29">
        <v>2761</v>
      </c>
      <c r="J522" s="29">
        <v>20.312845258695781</v>
      </c>
      <c r="K522" s="29">
        <v>7676</v>
      </c>
      <c r="L522" s="29">
        <v>19.310632901435909</v>
      </c>
      <c r="M522" s="29">
        <v>5659</v>
      </c>
      <c r="N522" s="29">
        <v>11.724268895726309</v>
      </c>
      <c r="O522" s="29">
        <v>2045</v>
      </c>
      <c r="P522" s="29">
        <v>5.6950492120521217</v>
      </c>
      <c r="Q522" s="29">
        <v>7136</v>
      </c>
      <c r="R522" s="29">
        <v>42.761377145023481</v>
      </c>
      <c r="S522" s="29">
        <v>4644</v>
      </c>
      <c r="T522" s="29">
        <v>47.103443324657682</v>
      </c>
      <c r="U522" s="29">
        <v>4076</v>
      </c>
      <c r="V522" s="29">
        <v>10.70428259896341</v>
      </c>
      <c r="W522" s="29">
        <v>12659</v>
      </c>
      <c r="X522" s="29">
        <v>5423.3348074272917</v>
      </c>
      <c r="Y522" s="29">
        <v>0.90251122834800446</v>
      </c>
      <c r="Z522" s="29">
        <v>0.23164571790063629</v>
      </c>
      <c r="AA522" s="29">
        <v>3.8960842295178271</v>
      </c>
      <c r="AB522" s="29">
        <v>9.7760402719128362E-5</v>
      </c>
      <c r="AC522" s="29">
        <v>6.5474545073247381E-3</v>
      </c>
      <c r="AD522" s="29" t="s">
        <v>1404</v>
      </c>
      <c r="AE522" s="29" t="s">
        <v>1405</v>
      </c>
      <c r="AF522" s="29" t="s">
        <v>43</v>
      </c>
      <c r="AG522" s="29" t="s">
        <v>1406</v>
      </c>
      <c r="AH522" s="29" t="s">
        <v>43</v>
      </c>
      <c r="AI522" s="29" t="s">
        <v>43</v>
      </c>
      <c r="AJ522" s="29" t="s">
        <v>43</v>
      </c>
      <c r="AK522" s="29" t="s">
        <v>43</v>
      </c>
      <c r="AL522" s="29" t="s">
        <v>43</v>
      </c>
      <c r="AM522" s="29" t="s">
        <v>1407</v>
      </c>
      <c r="AN522" s="29" t="s">
        <v>43</v>
      </c>
    </row>
    <row r="523" spans="1:40" s="29" customFormat="1" x14ac:dyDescent="0.3">
      <c r="A523" s="29" t="s">
        <v>1408</v>
      </c>
      <c r="B523" s="29">
        <v>1539</v>
      </c>
      <c r="C523" s="29" t="str">
        <f>IF(Y523&lt;0, "Down", "Up")</f>
        <v>Up</v>
      </c>
      <c r="D523" s="30" t="str">
        <f>IF(AC523&lt;0.05, "Sig", "N")</f>
        <v>Sig</v>
      </c>
      <c r="E523" s="31" t="str">
        <f>IF(AND(H523&gt;2,J523&gt;2,L523&gt;2,N523&gt;2),"Y","N")</f>
        <v>Y</v>
      </c>
      <c r="F523" s="31" t="str">
        <f>IF(AND(P523&gt;2,R523&gt;2,T523&gt;2,V523&gt;2),"Y","N")</f>
        <v>Y</v>
      </c>
      <c r="G523" s="31" t="str">
        <f>IF(OR(E523="Y", F523="Y"), "Expressed", "N")</f>
        <v>Expressed</v>
      </c>
      <c r="H523" s="29">
        <v>20.212879300573981</v>
      </c>
      <c r="I523" s="29">
        <v>1384</v>
      </c>
      <c r="J523" s="29">
        <v>20.18023206928321</v>
      </c>
      <c r="K523" s="29">
        <v>3095</v>
      </c>
      <c r="L523" s="29">
        <v>25.114338608929309</v>
      </c>
      <c r="M523" s="29">
        <v>2987</v>
      </c>
      <c r="N523" s="29">
        <v>22.09321483281693</v>
      </c>
      <c r="O523" s="29">
        <v>1564</v>
      </c>
      <c r="P523" s="29">
        <v>10.731751962051691</v>
      </c>
      <c r="Q523" s="29">
        <v>4135</v>
      </c>
      <c r="R523" s="29">
        <v>61.052304937451787</v>
      </c>
      <c r="S523" s="29">
        <v>1674</v>
      </c>
      <c r="T523" s="29">
        <v>41.835561975460948</v>
      </c>
      <c r="U523" s="29">
        <v>1204</v>
      </c>
      <c r="V523" s="29">
        <v>7.7907557092283932</v>
      </c>
      <c r="W523" s="29">
        <v>3929</v>
      </c>
      <c r="X523" s="29">
        <v>2263.60062299123</v>
      </c>
      <c r="Y523" s="29">
        <v>0.35992113027773659</v>
      </c>
      <c r="Z523" s="29">
        <v>0.1057735350238042</v>
      </c>
      <c r="AA523" s="29">
        <v>3.4027522120418578</v>
      </c>
      <c r="AB523" s="29">
        <v>6.6710751866203932E-4</v>
      </c>
      <c r="AC523" s="29">
        <v>2.3645811028797498E-2</v>
      </c>
      <c r="AD523" s="29" t="s">
        <v>1409</v>
      </c>
      <c r="AE523" s="29" t="s">
        <v>1410</v>
      </c>
      <c r="AF523" s="29" t="s">
        <v>1411</v>
      </c>
      <c r="AG523" s="29" t="s">
        <v>1412</v>
      </c>
      <c r="AH523" s="29" t="s">
        <v>43</v>
      </c>
      <c r="AI523" s="29" t="s">
        <v>43</v>
      </c>
      <c r="AJ523" s="29" t="s">
        <v>43</v>
      </c>
      <c r="AK523" s="29" t="s">
        <v>43</v>
      </c>
      <c r="AL523" s="29" t="s">
        <v>43</v>
      </c>
      <c r="AM523" s="29" t="s">
        <v>1413</v>
      </c>
      <c r="AN523" s="29" t="s">
        <v>43</v>
      </c>
    </row>
    <row r="524" spans="1:40" s="29" customFormat="1" x14ac:dyDescent="0.3">
      <c r="A524" s="29" t="s">
        <v>1424</v>
      </c>
      <c r="B524" s="29">
        <v>2090</v>
      </c>
      <c r="C524" s="29" t="str">
        <f>IF(Y524&lt;0, "Down", "Up")</f>
        <v>Up</v>
      </c>
      <c r="D524" s="30" t="str">
        <f>IF(AC524&lt;0.05, "Sig", "N")</f>
        <v>Sig</v>
      </c>
      <c r="E524" s="31" t="str">
        <f>IF(AND(H524&gt;2,J524&gt;2,L524&gt;2,N524&gt;2),"Y","N")</f>
        <v>Y</v>
      </c>
      <c r="F524" s="31" t="str">
        <f>IF(AND(P524&gt;2,R524&gt;2,T524&gt;2,V524&gt;2),"Y","N")</f>
        <v>Y</v>
      </c>
      <c r="G524" s="31" t="str">
        <f>IF(OR(E524="Y", F524="Y"), "Expressed", "N")</f>
        <v>Expressed</v>
      </c>
      <c r="H524" s="29">
        <v>19.175017519881731</v>
      </c>
      <c r="I524" s="29">
        <v>1783</v>
      </c>
      <c r="J524" s="29">
        <v>19.997368165820919</v>
      </c>
      <c r="K524" s="29">
        <v>4165</v>
      </c>
      <c r="L524" s="29">
        <v>19.75011094488616</v>
      </c>
      <c r="M524" s="29">
        <v>3190</v>
      </c>
      <c r="N524" s="29">
        <v>20.12776114172031</v>
      </c>
      <c r="O524" s="29">
        <v>1935</v>
      </c>
      <c r="P524" s="29">
        <v>9.7770352462925523</v>
      </c>
      <c r="Q524" s="29">
        <v>4654</v>
      </c>
      <c r="R524" s="29">
        <v>50.599387933364739</v>
      </c>
      <c r="S524" s="29">
        <v>2369</v>
      </c>
      <c r="T524" s="29">
        <v>43.596090756539738</v>
      </c>
      <c r="U524" s="29">
        <v>1660</v>
      </c>
      <c r="V524" s="29">
        <v>7.9095817929843681</v>
      </c>
      <c r="W524" s="29">
        <v>5380</v>
      </c>
      <c r="X524" s="29">
        <v>2904.3810955786771</v>
      </c>
      <c r="Y524" s="29">
        <v>0.45686407993214201</v>
      </c>
      <c r="Z524" s="29">
        <v>0.13607056901183551</v>
      </c>
      <c r="AA524" s="29">
        <v>3.3575525056590569</v>
      </c>
      <c r="AB524" s="29">
        <v>7.8635806972531495E-4</v>
      </c>
      <c r="AC524" s="29">
        <v>2.62857807962255E-2</v>
      </c>
      <c r="AD524" s="29" t="s">
        <v>1425</v>
      </c>
      <c r="AE524" s="29" t="s">
        <v>1426</v>
      </c>
      <c r="AF524" s="29" t="s">
        <v>1427</v>
      </c>
      <c r="AG524" s="29" t="s">
        <v>1428</v>
      </c>
      <c r="AH524" s="29" t="s">
        <v>43</v>
      </c>
      <c r="AI524" s="29" t="s">
        <v>43</v>
      </c>
      <c r="AJ524" s="29" t="s">
        <v>43</v>
      </c>
      <c r="AK524" s="29" t="s">
        <v>43</v>
      </c>
      <c r="AL524" s="29" t="s">
        <v>43</v>
      </c>
      <c r="AM524" s="29" t="s">
        <v>1429</v>
      </c>
      <c r="AN524" s="29" t="s">
        <v>43</v>
      </c>
    </row>
    <row r="525" spans="1:40" s="29" customFormat="1" x14ac:dyDescent="0.3">
      <c r="A525" s="29" t="s">
        <v>1436</v>
      </c>
      <c r="B525" s="29">
        <v>1080</v>
      </c>
      <c r="C525" s="29" t="str">
        <f>IF(Y525&lt;0, "Down", "Up")</f>
        <v>Up</v>
      </c>
      <c r="D525" s="30" t="str">
        <f>IF(AC525&lt;0.05, "Sig", "N")</f>
        <v>Sig</v>
      </c>
      <c r="E525" s="31" t="str">
        <f>IF(AND(H525&gt;2,J525&gt;2,L525&gt;2,N525&gt;2),"Y","N")</f>
        <v>Y</v>
      </c>
      <c r="F525" s="31" t="str">
        <f>IF(AND(P525&gt;2,R525&gt;2,T525&gt;2,V525&gt;2),"Y","N")</f>
        <v>Y</v>
      </c>
      <c r="G525" s="31" t="str">
        <f>IF(OR(E525="Y", F525="Y"), "Expressed", "N")</f>
        <v>Expressed</v>
      </c>
      <c r="H525" s="29">
        <v>21.540079738752919</v>
      </c>
      <c r="I525" s="29">
        <v>1035</v>
      </c>
      <c r="J525" s="29">
        <v>19.7720632397074</v>
      </c>
      <c r="K525" s="29">
        <v>2128</v>
      </c>
      <c r="L525" s="29">
        <v>26.298798753399659</v>
      </c>
      <c r="M525" s="29">
        <v>2195</v>
      </c>
      <c r="N525" s="29">
        <v>19.062813993935819</v>
      </c>
      <c r="O525" s="29">
        <v>947</v>
      </c>
      <c r="P525" s="29">
        <v>9.2597384776148957</v>
      </c>
      <c r="Q525" s="29">
        <v>3171</v>
      </c>
      <c r="R525" s="29">
        <v>66.717176303081004</v>
      </c>
      <c r="S525" s="29">
        <v>1050</v>
      </c>
      <c r="T525" s="29">
        <v>37.393345045270877</v>
      </c>
      <c r="U525" s="29">
        <v>873</v>
      </c>
      <c r="V525" s="29">
        <v>8.0497465707415721</v>
      </c>
      <c r="W525" s="29">
        <v>3244</v>
      </c>
      <c r="X525" s="29">
        <v>1621.0638649378609</v>
      </c>
      <c r="Y525" s="29">
        <v>0.45003182369744471</v>
      </c>
      <c r="Z525" s="29">
        <v>0.12608361272245669</v>
      </c>
      <c r="AA525" s="29">
        <v>3.569312569493734</v>
      </c>
      <c r="AB525" s="29">
        <v>3.579191827450925E-4</v>
      </c>
      <c r="AC525" s="29">
        <v>1.5357396222249509E-2</v>
      </c>
      <c r="AD525" s="29" t="s">
        <v>1437</v>
      </c>
      <c r="AE525" s="29" t="s">
        <v>1438</v>
      </c>
      <c r="AF525" s="29" t="s">
        <v>1439</v>
      </c>
      <c r="AG525" s="29" t="s">
        <v>1440</v>
      </c>
      <c r="AH525" s="29" t="s">
        <v>43</v>
      </c>
      <c r="AI525" s="29" t="s">
        <v>43</v>
      </c>
      <c r="AJ525" s="29" t="s">
        <v>43</v>
      </c>
      <c r="AK525" s="29" t="s">
        <v>43</v>
      </c>
      <c r="AL525" s="29" t="s">
        <v>43</v>
      </c>
      <c r="AM525" s="29" t="s">
        <v>1441</v>
      </c>
      <c r="AN525" s="29" t="s">
        <v>43</v>
      </c>
    </row>
    <row r="526" spans="1:40" s="29" customFormat="1" x14ac:dyDescent="0.3">
      <c r="A526" s="29" t="s">
        <v>1452</v>
      </c>
      <c r="B526" s="29">
        <v>1391</v>
      </c>
      <c r="C526" s="29" t="str">
        <f>IF(Y526&lt;0, "Down", "Up")</f>
        <v>Up</v>
      </c>
      <c r="D526" s="30" t="str">
        <f>IF(AC526&lt;0.05, "Sig", "N")</f>
        <v>Sig</v>
      </c>
      <c r="E526" s="31" t="str">
        <f>IF(AND(H526&gt;2,J526&gt;2,L526&gt;2,N526&gt;2),"Y","N")</f>
        <v>Y</v>
      </c>
      <c r="F526" s="31" t="str">
        <f>IF(AND(P526&gt;2,R526&gt;2,T526&gt;2,V526&gt;2),"Y","N")</f>
        <v>Y</v>
      </c>
      <c r="G526" s="31" t="str">
        <f>IF(OR(E526="Y", F526="Y"), "Expressed", "N")</f>
        <v>Expressed</v>
      </c>
      <c r="H526" s="29">
        <v>25.061980064243389</v>
      </c>
      <c r="I526" s="29">
        <v>1551</v>
      </c>
      <c r="J526" s="29">
        <v>19.53555044829606</v>
      </c>
      <c r="K526" s="29">
        <v>2708</v>
      </c>
      <c r="L526" s="29">
        <v>50.46586890215773</v>
      </c>
      <c r="M526" s="29">
        <v>5425</v>
      </c>
      <c r="N526" s="29">
        <v>49.372291294382833</v>
      </c>
      <c r="O526" s="29">
        <v>3159</v>
      </c>
      <c r="P526" s="29">
        <v>23.982529839091011</v>
      </c>
      <c r="Q526" s="29">
        <v>10841</v>
      </c>
      <c r="R526" s="29">
        <v>177.09544258271509</v>
      </c>
      <c r="S526" s="29">
        <v>3216</v>
      </c>
      <c r="T526" s="29">
        <v>88.923732483542807</v>
      </c>
      <c r="U526" s="29">
        <v>2675</v>
      </c>
      <c r="V526" s="29">
        <v>19.150864165126659</v>
      </c>
      <c r="W526" s="29">
        <v>6127</v>
      </c>
      <c r="X526" s="29">
        <v>4129.8558108632351</v>
      </c>
      <c r="Y526" s="29">
        <v>0.87475594727934725</v>
      </c>
      <c r="Z526" s="29">
        <v>0.2841457707397545</v>
      </c>
      <c r="AA526" s="29">
        <v>3.0785464270750138</v>
      </c>
      <c r="AB526" s="29">
        <v>2.0801311511964939E-3</v>
      </c>
      <c r="AC526" s="29">
        <v>4.7518481159384902E-2</v>
      </c>
      <c r="AD526" s="29" t="s">
        <v>1453</v>
      </c>
      <c r="AE526" s="29" t="s">
        <v>1454</v>
      </c>
      <c r="AF526" s="29" t="s">
        <v>1455</v>
      </c>
      <c r="AG526" s="29" t="s">
        <v>1456</v>
      </c>
      <c r="AH526" s="29" t="s">
        <v>43</v>
      </c>
      <c r="AI526" s="29" t="s">
        <v>43</v>
      </c>
      <c r="AJ526" s="29" t="s">
        <v>43</v>
      </c>
      <c r="AK526" s="29" t="s">
        <v>43</v>
      </c>
      <c r="AL526" s="29" t="s">
        <v>43</v>
      </c>
      <c r="AM526" s="29" t="s">
        <v>1457</v>
      </c>
      <c r="AN526" s="29" t="s">
        <v>43</v>
      </c>
    </row>
    <row r="527" spans="1:40" s="29" customFormat="1" x14ac:dyDescent="0.3">
      <c r="A527" s="29" t="s">
        <v>1458</v>
      </c>
      <c r="B527" s="29">
        <v>2268</v>
      </c>
      <c r="C527" s="29" t="str">
        <f>IF(Y527&lt;0, "Down", "Up")</f>
        <v>Up</v>
      </c>
      <c r="D527" s="30" t="str">
        <f>IF(AC527&lt;0.05, "Sig", "N")</f>
        <v>Sig</v>
      </c>
      <c r="E527" s="31" t="str">
        <f>IF(AND(H527&gt;2,J527&gt;2,L527&gt;2,N527&gt;2),"Y","N")</f>
        <v>Y</v>
      </c>
      <c r="F527" s="31" t="str">
        <f>IF(AND(P527&gt;2,R527&gt;2,T527&gt;2,V527&gt;2),"Y","N")</f>
        <v>Y</v>
      </c>
      <c r="G527" s="31" t="str">
        <f>IF(OR(E527="Y", F527="Y"), "Expressed", "N")</f>
        <v>Expressed</v>
      </c>
      <c r="H527" s="29">
        <v>19.771087682913311</v>
      </c>
      <c r="I527" s="29">
        <v>1995</v>
      </c>
      <c r="J527" s="29">
        <v>19.52075344915616</v>
      </c>
      <c r="K527" s="29">
        <v>4412</v>
      </c>
      <c r="L527" s="29">
        <v>24.664216728700879</v>
      </c>
      <c r="M527" s="29">
        <v>4323</v>
      </c>
      <c r="N527" s="29">
        <v>22.171412866683539</v>
      </c>
      <c r="O527" s="29">
        <v>2313</v>
      </c>
      <c r="P527" s="29">
        <v>10.769736560930889</v>
      </c>
      <c r="Q527" s="29">
        <v>5355</v>
      </c>
      <c r="R527" s="29">
        <v>53.651466279677251</v>
      </c>
      <c r="S527" s="29">
        <v>2561</v>
      </c>
      <c r="T527" s="29">
        <v>43.430547238520973</v>
      </c>
      <c r="U527" s="29">
        <v>1568</v>
      </c>
      <c r="V527" s="29">
        <v>6.8848538825739292</v>
      </c>
      <c r="W527" s="29">
        <v>5764</v>
      </c>
      <c r="X527" s="29">
        <v>3208.6398790499752</v>
      </c>
      <c r="Y527" s="29">
        <v>0.30396765695254663</v>
      </c>
      <c r="Z527" s="29">
        <v>9.924807973286616E-2</v>
      </c>
      <c r="AA527" s="29">
        <v>3.0627056742125278</v>
      </c>
      <c r="AB527" s="29">
        <v>2.1934568306539279E-3</v>
      </c>
      <c r="AC527" s="29">
        <v>4.8791690839631682E-2</v>
      </c>
      <c r="AD527" s="29" t="s">
        <v>1459</v>
      </c>
      <c r="AE527" s="29" t="s">
        <v>1460</v>
      </c>
      <c r="AF527" s="29" t="s">
        <v>1461</v>
      </c>
      <c r="AG527" s="29" t="s">
        <v>1462</v>
      </c>
      <c r="AH527" s="29" t="s">
        <v>43</v>
      </c>
      <c r="AI527" s="29" t="s">
        <v>43</v>
      </c>
      <c r="AJ527" s="29" t="s">
        <v>43</v>
      </c>
      <c r="AK527" s="29" t="s">
        <v>43</v>
      </c>
      <c r="AL527" s="29" t="s">
        <v>43</v>
      </c>
      <c r="AM527" s="29" t="s">
        <v>1463</v>
      </c>
      <c r="AN527" s="29" t="s">
        <v>214</v>
      </c>
    </row>
    <row r="528" spans="1:40" s="29" customFormat="1" x14ac:dyDescent="0.3">
      <c r="A528" s="29" t="s">
        <v>193</v>
      </c>
      <c r="B528" s="29">
        <v>2293</v>
      </c>
      <c r="C528" s="29" t="str">
        <f>IF(Y528&lt;0, "Down", "Up")</f>
        <v>Up</v>
      </c>
      <c r="D528" s="30" t="str">
        <f>IF(AC528&lt;0.05, "Sig", "N")</f>
        <v>Sig</v>
      </c>
      <c r="E528" s="31" t="str">
        <f>IF(AND(H528&gt;2,J528&gt;2,L528&gt;2,N528&gt;2),"Y","N")</f>
        <v>Y</v>
      </c>
      <c r="F528" s="31" t="str">
        <f>IF(AND(P528&gt;2,R528&gt;2,T528&gt;2,V528&gt;2),"Y","N")</f>
        <v>Y</v>
      </c>
      <c r="G528" s="31" t="str">
        <f>IF(OR(E528="Y", F528="Y"), "Expressed", "N")</f>
        <v>Expressed</v>
      </c>
      <c r="H528" s="29">
        <v>29.06373033636698</v>
      </c>
      <c r="I528" s="29">
        <v>2965</v>
      </c>
      <c r="J528" s="29">
        <v>19.22915147631732</v>
      </c>
      <c r="K528" s="29">
        <v>4394</v>
      </c>
      <c r="L528" s="29">
        <v>27.775551909768311</v>
      </c>
      <c r="M528" s="29">
        <v>4922</v>
      </c>
      <c r="N528" s="29">
        <v>28.784487358309779</v>
      </c>
      <c r="O528" s="29">
        <v>3036</v>
      </c>
      <c r="P528" s="29">
        <v>13.982029370634899</v>
      </c>
      <c r="Q528" s="29">
        <v>9076</v>
      </c>
      <c r="R528" s="29">
        <v>89.940563281376186</v>
      </c>
      <c r="S528" s="29">
        <v>4851</v>
      </c>
      <c r="T528" s="29">
        <v>81.368440661964058</v>
      </c>
      <c r="U528" s="29">
        <v>3416</v>
      </c>
      <c r="V528" s="29">
        <v>14.83561405747832</v>
      </c>
      <c r="W528" s="29">
        <v>6518</v>
      </c>
      <c r="X528" s="29">
        <v>4846.6964283108809</v>
      </c>
      <c r="Y528" s="29">
        <v>0.79654671009552991</v>
      </c>
      <c r="Z528" s="29">
        <v>0.22131078840053539</v>
      </c>
      <c r="AA528" s="29">
        <v>3.5992222333685508</v>
      </c>
      <c r="AB528" s="29">
        <v>3.1917034781762179E-4</v>
      </c>
      <c r="AC528" s="29">
        <v>1.42913359149701E-2</v>
      </c>
      <c r="AD528" s="29" t="s">
        <v>194</v>
      </c>
      <c r="AE528" s="29" t="s">
        <v>195</v>
      </c>
      <c r="AF528" s="29" t="s">
        <v>196</v>
      </c>
      <c r="AG528" s="29" t="s">
        <v>197</v>
      </c>
      <c r="AH528" s="29" t="s">
        <v>43</v>
      </c>
      <c r="AI528" s="29" t="s">
        <v>43</v>
      </c>
      <c r="AJ528" s="29" t="s">
        <v>43</v>
      </c>
      <c r="AK528" s="29" t="s">
        <v>43</v>
      </c>
      <c r="AL528" s="29" t="s">
        <v>43</v>
      </c>
      <c r="AM528" s="29" t="s">
        <v>198</v>
      </c>
      <c r="AN528" s="29" t="s">
        <v>43</v>
      </c>
    </row>
    <row r="529" spans="1:40" s="29" customFormat="1" x14ac:dyDescent="0.3">
      <c r="A529" s="29" t="s">
        <v>1480</v>
      </c>
      <c r="B529" s="29">
        <v>3102</v>
      </c>
      <c r="C529" s="29" t="str">
        <f>IF(Y529&lt;0, "Down", "Up")</f>
        <v>Up</v>
      </c>
      <c r="D529" s="30" t="str">
        <f>IF(AC529&lt;0.05, "Sig", "N")</f>
        <v>Sig</v>
      </c>
      <c r="E529" s="31" t="str">
        <f>IF(AND(H529&gt;2,J529&gt;2,L529&gt;2,N529&gt;2),"Y","N")</f>
        <v>Y</v>
      </c>
      <c r="F529" s="31" t="str">
        <f>IF(AND(P529&gt;2,R529&gt;2,T529&gt;2,V529&gt;2),"Y","N")</f>
        <v>Y</v>
      </c>
      <c r="G529" s="31" t="str">
        <f>IF(OR(E529="Y", F529="Y"), "Expressed", "N")</f>
        <v>Expressed</v>
      </c>
      <c r="H529" s="29">
        <v>18.158082524704341</v>
      </c>
      <c r="I529" s="29">
        <v>2506</v>
      </c>
      <c r="J529" s="29">
        <v>19.10214912658066</v>
      </c>
      <c r="K529" s="29">
        <v>5905</v>
      </c>
      <c r="L529" s="29">
        <v>25.166143836895721</v>
      </c>
      <c r="M529" s="29">
        <v>6033</v>
      </c>
      <c r="N529" s="29">
        <v>19.85480233429324</v>
      </c>
      <c r="O529" s="29">
        <v>2833</v>
      </c>
      <c r="P529" s="29">
        <v>9.644445840932967</v>
      </c>
      <c r="Q529" s="29">
        <v>7229</v>
      </c>
      <c r="R529" s="29">
        <v>52.954345168158397</v>
      </c>
      <c r="S529" s="29">
        <v>3101</v>
      </c>
      <c r="T529" s="29">
        <v>38.44932732314507</v>
      </c>
      <c r="U529" s="29">
        <v>2505</v>
      </c>
      <c r="V529" s="29">
        <v>8.0418812577350032</v>
      </c>
      <c r="W529" s="29">
        <v>8223</v>
      </c>
      <c r="X529" s="29">
        <v>4342.7888589494887</v>
      </c>
      <c r="Y529" s="29">
        <v>0.40307852355350421</v>
      </c>
      <c r="Z529" s="29">
        <v>0.1212304510494793</v>
      </c>
      <c r="AA529" s="29">
        <v>3.3248950248398459</v>
      </c>
      <c r="AB529" s="29">
        <v>8.8451831941340755E-4</v>
      </c>
      <c r="AC529" s="29">
        <v>2.8646276859687372E-2</v>
      </c>
      <c r="AD529" s="29" t="s">
        <v>1481</v>
      </c>
      <c r="AE529" s="29" t="s">
        <v>1482</v>
      </c>
      <c r="AF529" s="29" t="s">
        <v>43</v>
      </c>
      <c r="AG529" s="29" t="s">
        <v>1483</v>
      </c>
      <c r="AH529" s="29" t="s">
        <v>43</v>
      </c>
      <c r="AI529" s="29" t="s">
        <v>43</v>
      </c>
      <c r="AJ529" s="29" t="s">
        <v>43</v>
      </c>
      <c r="AK529" s="29" t="s">
        <v>43</v>
      </c>
      <c r="AL529" s="29" t="s">
        <v>43</v>
      </c>
      <c r="AM529" s="29" t="s">
        <v>1484</v>
      </c>
      <c r="AN529" s="29" t="s">
        <v>43</v>
      </c>
    </row>
    <row r="530" spans="1:40" s="29" customFormat="1" x14ac:dyDescent="0.3">
      <c r="A530" s="29" t="s">
        <v>1485</v>
      </c>
      <c r="B530" s="29">
        <v>4140</v>
      </c>
      <c r="C530" s="29" t="str">
        <f>IF(Y530&lt;0, "Down", "Up")</f>
        <v>Up</v>
      </c>
      <c r="D530" s="30" t="str">
        <f>IF(AC530&lt;0.05, "Sig", "N")</f>
        <v>Sig</v>
      </c>
      <c r="E530" s="31" t="str">
        <f>IF(AND(H530&gt;2,J530&gt;2,L530&gt;2,N530&gt;2),"Y","N")</f>
        <v>Y</v>
      </c>
      <c r="F530" s="31" t="str">
        <f>IF(AND(P530&gt;2,R530&gt;2,T530&gt;2,V530&gt;2),"Y","N")</f>
        <v>Y</v>
      </c>
      <c r="G530" s="31" t="str">
        <f>IF(OR(E530="Y", F530="Y"), "Expressed", "N")</f>
        <v>Expressed</v>
      </c>
      <c r="H530" s="29">
        <v>21.39620775057978</v>
      </c>
      <c r="I530" s="29">
        <v>3941</v>
      </c>
      <c r="J530" s="29">
        <v>18.898673228178971</v>
      </c>
      <c r="K530" s="29">
        <v>7797</v>
      </c>
      <c r="L530" s="29">
        <v>24.579231858579959</v>
      </c>
      <c r="M530" s="29">
        <v>7864</v>
      </c>
      <c r="N530" s="29">
        <v>21.398732939338451</v>
      </c>
      <c r="O530" s="29">
        <v>4075</v>
      </c>
      <c r="P530" s="29">
        <v>10.394408235511881</v>
      </c>
      <c r="Q530" s="29">
        <v>15415</v>
      </c>
      <c r="R530" s="29">
        <v>84.607401810866989</v>
      </c>
      <c r="S530" s="29">
        <v>5076</v>
      </c>
      <c r="T530" s="29">
        <v>47.157420981315532</v>
      </c>
      <c r="U530" s="29">
        <v>3307</v>
      </c>
      <c r="V530" s="29">
        <v>7.9547323799319818</v>
      </c>
      <c r="W530" s="29">
        <v>12822</v>
      </c>
      <c r="X530" s="29">
        <v>6677.6627815496304</v>
      </c>
      <c r="Y530" s="29">
        <v>0.62844118102035251</v>
      </c>
      <c r="Z530" s="29">
        <v>0.1225536246281422</v>
      </c>
      <c r="AA530" s="29">
        <v>5.127887346679441</v>
      </c>
      <c r="AB530" s="29">
        <v>2.9301167826740168E-7</v>
      </c>
      <c r="AC530" s="29">
        <v>1.0187326614114569E-4</v>
      </c>
      <c r="AD530" s="29" t="s">
        <v>1486</v>
      </c>
      <c r="AE530" s="29" t="s">
        <v>1487</v>
      </c>
      <c r="AF530" s="29" t="s">
        <v>1488</v>
      </c>
      <c r="AG530" s="29" t="s">
        <v>1489</v>
      </c>
      <c r="AH530" s="29" t="s">
        <v>1490</v>
      </c>
      <c r="AI530" s="29" t="s">
        <v>1491</v>
      </c>
      <c r="AJ530" s="29" t="s">
        <v>1492</v>
      </c>
      <c r="AK530" s="29" t="s">
        <v>1493</v>
      </c>
      <c r="AL530" s="29" t="s">
        <v>1494</v>
      </c>
      <c r="AM530" s="29" t="s">
        <v>1495</v>
      </c>
      <c r="AN530" s="29" t="s">
        <v>43</v>
      </c>
    </row>
    <row r="531" spans="1:40" s="29" customFormat="1" x14ac:dyDescent="0.3">
      <c r="A531" s="29" t="s">
        <v>1496</v>
      </c>
      <c r="B531" s="29">
        <v>2254</v>
      </c>
      <c r="C531" s="29" t="str">
        <f>IF(Y531&lt;0, "Down", "Up")</f>
        <v>Up</v>
      </c>
      <c r="D531" s="30" t="str">
        <f>IF(AC531&lt;0.05, "Sig", "N")</f>
        <v>Sig</v>
      </c>
      <c r="E531" s="31" t="str">
        <f>IF(AND(H531&gt;2,J531&gt;2,L531&gt;2,N531&gt;2),"Y","N")</f>
        <v>Y</v>
      </c>
      <c r="F531" s="31" t="str">
        <f>IF(AND(P531&gt;2,R531&gt;2,T531&gt;2,V531&gt;2),"Y","N")</f>
        <v>Y</v>
      </c>
      <c r="G531" s="31" t="str">
        <f>IF(OR(E531="Y", F531="Y"), "Expressed", "N")</f>
        <v>Expressed</v>
      </c>
      <c r="H531" s="29">
        <v>19.62464886039848</v>
      </c>
      <c r="I531" s="29">
        <v>1968</v>
      </c>
      <c r="J531" s="29">
        <v>18.82284169156285</v>
      </c>
      <c r="K531" s="29">
        <v>4228</v>
      </c>
      <c r="L531" s="29">
        <v>23.60610512960967</v>
      </c>
      <c r="M531" s="29">
        <v>4112</v>
      </c>
      <c r="N531" s="29">
        <v>20.69839128535785</v>
      </c>
      <c r="O531" s="29">
        <v>2146</v>
      </c>
      <c r="P531" s="29">
        <v>10.05421813750727</v>
      </c>
      <c r="Q531" s="29">
        <v>5633</v>
      </c>
      <c r="R531" s="29">
        <v>56.78727252948061</v>
      </c>
      <c r="S531" s="29">
        <v>2416</v>
      </c>
      <c r="T531" s="29">
        <v>41.22605626387984</v>
      </c>
      <c r="U531" s="29">
        <v>1420</v>
      </c>
      <c r="V531" s="29">
        <v>6.2737347380343937</v>
      </c>
      <c r="W531" s="29">
        <v>5223</v>
      </c>
      <c r="X531" s="29">
        <v>3056.0636887835631</v>
      </c>
      <c r="Y531" s="29">
        <v>0.29829849664945368</v>
      </c>
      <c r="Z531" s="29">
        <v>9.7594064813798037E-2</v>
      </c>
      <c r="AA531" s="29">
        <v>3.056522927071275</v>
      </c>
      <c r="AB531" s="29">
        <v>2.239203551028815E-3</v>
      </c>
      <c r="AC531" s="29">
        <v>4.922603231219206E-2</v>
      </c>
      <c r="AD531" s="29" t="s">
        <v>1497</v>
      </c>
      <c r="AE531" s="29" t="s">
        <v>1498</v>
      </c>
      <c r="AF531" s="29" t="s">
        <v>1499</v>
      </c>
      <c r="AG531" s="29" t="s">
        <v>1500</v>
      </c>
      <c r="AH531" s="29" t="s">
        <v>43</v>
      </c>
      <c r="AI531" s="29" t="s">
        <v>43</v>
      </c>
      <c r="AJ531" s="29" t="s">
        <v>43</v>
      </c>
      <c r="AK531" s="29" t="s">
        <v>43</v>
      </c>
      <c r="AL531" s="29" t="s">
        <v>43</v>
      </c>
      <c r="AM531" s="29" t="s">
        <v>1501</v>
      </c>
      <c r="AN531" s="29" t="s">
        <v>43</v>
      </c>
    </row>
    <row r="532" spans="1:40" s="29" customFormat="1" x14ac:dyDescent="0.3">
      <c r="A532" s="29" t="s">
        <v>1528</v>
      </c>
      <c r="B532" s="29">
        <v>1318</v>
      </c>
      <c r="C532" s="29" t="str">
        <f>IF(Y532&lt;0, "Down", "Up")</f>
        <v>Up</v>
      </c>
      <c r="D532" s="30" t="str">
        <f>IF(AC532&lt;0.05, "Sig", "N")</f>
        <v>Sig</v>
      </c>
      <c r="E532" s="31" t="str">
        <f>IF(AND(H532&gt;2,J532&gt;2,L532&gt;2,N532&gt;2),"Y","N")</f>
        <v>Y</v>
      </c>
      <c r="F532" s="31" t="str">
        <f>IF(AND(P532&gt;2,R532&gt;2,T532&gt;2,V532&gt;2),"Y","N")</f>
        <v>Y</v>
      </c>
      <c r="G532" s="31" t="str">
        <f>IF(OR(E532="Y", F532="Y"), "Expressed", "N")</f>
        <v>Expressed</v>
      </c>
      <c r="H532" s="29">
        <v>19.918569480659819</v>
      </c>
      <c r="I532" s="29">
        <v>1168</v>
      </c>
      <c r="J532" s="29">
        <v>18.188834117979599</v>
      </c>
      <c r="K532" s="29">
        <v>2389</v>
      </c>
      <c r="L532" s="29">
        <v>25.653648633791089</v>
      </c>
      <c r="M532" s="29">
        <v>2613</v>
      </c>
      <c r="N532" s="29">
        <v>19.084409880144189</v>
      </c>
      <c r="O532" s="29">
        <v>1157</v>
      </c>
      <c r="P532" s="29">
        <v>9.2702286528086209</v>
      </c>
      <c r="Q532" s="29">
        <v>3043</v>
      </c>
      <c r="R532" s="29">
        <v>52.462829849201853</v>
      </c>
      <c r="S532" s="29">
        <v>1410</v>
      </c>
      <c r="T532" s="29">
        <v>41.146459885062868</v>
      </c>
      <c r="U532" s="29">
        <v>825</v>
      </c>
      <c r="V532" s="29">
        <v>6.2334755135351561</v>
      </c>
      <c r="W532" s="29">
        <v>3296</v>
      </c>
      <c r="X532" s="29">
        <v>1779.829495948137</v>
      </c>
      <c r="Y532" s="29">
        <v>0.29815472487610412</v>
      </c>
      <c r="Z532" s="29">
        <v>9.454777386544895E-2</v>
      </c>
      <c r="AA532" s="29">
        <v>3.1534822311142769</v>
      </c>
      <c r="AB532" s="29">
        <v>1.613350499722502E-3</v>
      </c>
      <c r="AC532" s="29">
        <v>4.1102190209525213E-2</v>
      </c>
      <c r="AD532" s="29" t="s">
        <v>1529</v>
      </c>
      <c r="AE532" s="29" t="s">
        <v>1530</v>
      </c>
      <c r="AF532" s="29" t="s">
        <v>1531</v>
      </c>
      <c r="AG532" s="29" t="s">
        <v>1532</v>
      </c>
      <c r="AH532" s="29" t="s">
        <v>43</v>
      </c>
      <c r="AI532" s="29" t="s">
        <v>43</v>
      </c>
      <c r="AJ532" s="29" t="s">
        <v>43</v>
      </c>
      <c r="AK532" s="29" t="s">
        <v>43</v>
      </c>
      <c r="AL532" s="29" t="s">
        <v>43</v>
      </c>
      <c r="AM532" s="29" t="s">
        <v>1533</v>
      </c>
      <c r="AN532" s="29" t="s">
        <v>43</v>
      </c>
    </row>
    <row r="533" spans="1:40" s="29" customFormat="1" x14ac:dyDescent="0.3">
      <c r="A533" s="29" t="s">
        <v>1534</v>
      </c>
      <c r="B533" s="29">
        <v>1982</v>
      </c>
      <c r="C533" s="29" t="str">
        <f>IF(Y533&lt;0, "Down", "Up")</f>
        <v>Up</v>
      </c>
      <c r="D533" s="30" t="str">
        <f>IF(AC533&lt;0.05, "Sig", "N")</f>
        <v>Sig</v>
      </c>
      <c r="E533" s="31" t="str">
        <f>IF(AND(H533&gt;2,J533&gt;2,L533&gt;2,N533&gt;2),"Y","N")</f>
        <v>Y</v>
      </c>
      <c r="F533" s="31" t="str">
        <f>IF(AND(P533&gt;2,R533&gt;2,T533&gt;2,V533&gt;2),"Y","N")</f>
        <v>Y</v>
      </c>
      <c r="G533" s="31" t="str">
        <f>IF(OR(E533="Y", F533="Y"), "Expressed", "N")</f>
        <v>Expressed</v>
      </c>
      <c r="H533" s="29">
        <v>20.696167519795068</v>
      </c>
      <c r="I533" s="29">
        <v>1825</v>
      </c>
      <c r="J533" s="29">
        <v>18.094851392848469</v>
      </c>
      <c r="K533" s="29">
        <v>3574</v>
      </c>
      <c r="L533" s="29">
        <v>23.97962685741971</v>
      </c>
      <c r="M533" s="29">
        <v>3673</v>
      </c>
      <c r="N533" s="29">
        <v>21.70715617192479</v>
      </c>
      <c r="O533" s="29">
        <v>1979</v>
      </c>
      <c r="P533" s="29">
        <v>10.544224441822159</v>
      </c>
      <c r="Q533" s="29">
        <v>4696</v>
      </c>
      <c r="R533" s="29">
        <v>53.838085613920093</v>
      </c>
      <c r="S533" s="29">
        <v>2335</v>
      </c>
      <c r="T533" s="29">
        <v>45.311872344031578</v>
      </c>
      <c r="U533" s="29">
        <v>1371</v>
      </c>
      <c r="V533" s="29">
        <v>6.8885136632704826</v>
      </c>
      <c r="W533" s="29">
        <v>4955</v>
      </c>
      <c r="X533" s="29">
        <v>2792.79531312975</v>
      </c>
      <c r="Y533" s="29">
        <v>0.34478142893586988</v>
      </c>
      <c r="Z533" s="29">
        <v>0.1077710140008412</v>
      </c>
      <c r="AA533" s="29">
        <v>3.1992037203359591</v>
      </c>
      <c r="AB533" s="29">
        <v>1.3780775187509961E-3</v>
      </c>
      <c r="AC533" s="29">
        <v>3.7621834524608593E-2</v>
      </c>
      <c r="AD533" s="29" t="s">
        <v>1535</v>
      </c>
      <c r="AE533" s="29" t="s">
        <v>1536</v>
      </c>
      <c r="AF533" s="29" t="s">
        <v>1537</v>
      </c>
      <c r="AG533" s="29" t="s">
        <v>1538</v>
      </c>
      <c r="AH533" s="29" t="s">
        <v>43</v>
      </c>
      <c r="AI533" s="29" t="s">
        <v>43</v>
      </c>
      <c r="AJ533" s="29" t="s">
        <v>43</v>
      </c>
      <c r="AK533" s="29" t="s">
        <v>43</v>
      </c>
      <c r="AL533" s="29" t="s">
        <v>43</v>
      </c>
      <c r="AM533" s="29" t="s">
        <v>597</v>
      </c>
      <c r="AN533" s="29" t="s">
        <v>43</v>
      </c>
    </row>
    <row r="534" spans="1:40" s="29" customFormat="1" x14ac:dyDescent="0.3">
      <c r="A534" s="29" t="s">
        <v>1543</v>
      </c>
      <c r="B534" s="29">
        <v>1242</v>
      </c>
      <c r="C534" s="29" t="str">
        <f>IF(Y534&lt;0, "Down", "Up")</f>
        <v>Up</v>
      </c>
      <c r="D534" s="30" t="str">
        <f>IF(AC534&lt;0.05, "Sig", "N")</f>
        <v>Sig</v>
      </c>
      <c r="E534" s="31" t="str">
        <f>IF(AND(H534&gt;2,J534&gt;2,L534&gt;2,N534&gt;2),"Y","N")</f>
        <v>Y</v>
      </c>
      <c r="F534" s="31" t="str">
        <f>IF(AND(P534&gt;2,R534&gt;2,T534&gt;2,V534&gt;2),"Y","N")</f>
        <v>Y</v>
      </c>
      <c r="G534" s="31" t="str">
        <f>IF(OR(E534="Y", F534="Y"), "Expressed", "N")</f>
        <v>Expressed</v>
      </c>
      <c r="H534" s="29">
        <v>25.95124918745784</v>
      </c>
      <c r="I534" s="29">
        <v>1434</v>
      </c>
      <c r="J534" s="29">
        <v>17.92025019028728</v>
      </c>
      <c r="K534" s="29">
        <v>2218</v>
      </c>
      <c r="L534" s="29">
        <v>34.370500975523598</v>
      </c>
      <c r="M534" s="29">
        <v>3299</v>
      </c>
      <c r="N534" s="29">
        <v>29.879457772965839</v>
      </c>
      <c r="O534" s="29">
        <v>1707</v>
      </c>
      <c r="P534" s="29">
        <v>14.513909904309839</v>
      </c>
      <c r="Q534" s="29">
        <v>7868</v>
      </c>
      <c r="R534" s="29">
        <v>143.94875931406671</v>
      </c>
      <c r="S534" s="29">
        <v>2767</v>
      </c>
      <c r="T534" s="29">
        <v>85.687275975374362</v>
      </c>
      <c r="U534" s="29">
        <v>1076</v>
      </c>
      <c r="V534" s="29">
        <v>8.627448887014225</v>
      </c>
      <c r="W534" s="29">
        <v>8551</v>
      </c>
      <c r="X534" s="29">
        <v>3052.3512275787539</v>
      </c>
      <c r="Y534" s="29">
        <v>1.0843243344585429</v>
      </c>
      <c r="Z534" s="29">
        <v>0.2318187878572501</v>
      </c>
      <c r="AA534" s="29">
        <v>4.6774652929608553</v>
      </c>
      <c r="AB534" s="29">
        <v>2.9044271338993522E-6</v>
      </c>
      <c r="AC534" s="29">
        <v>4.8036267020164778E-4</v>
      </c>
      <c r="AD534" s="29" t="s">
        <v>1544</v>
      </c>
      <c r="AE534" s="29" t="s">
        <v>1545</v>
      </c>
      <c r="AF534" s="29" t="s">
        <v>1546</v>
      </c>
      <c r="AG534" s="29" t="s">
        <v>43</v>
      </c>
      <c r="AH534" s="29" t="s">
        <v>43</v>
      </c>
      <c r="AI534" s="29" t="s">
        <v>43</v>
      </c>
      <c r="AJ534" s="29" t="s">
        <v>43</v>
      </c>
      <c r="AK534" s="29" t="s">
        <v>43</v>
      </c>
      <c r="AL534" s="29" t="s">
        <v>43</v>
      </c>
      <c r="AM534" s="29" t="s">
        <v>43</v>
      </c>
      <c r="AN534" s="29" t="s">
        <v>43</v>
      </c>
    </row>
    <row r="535" spans="1:40" s="29" customFormat="1" x14ac:dyDescent="0.3">
      <c r="A535" s="29" t="s">
        <v>1553</v>
      </c>
      <c r="B535" s="29">
        <v>2907</v>
      </c>
      <c r="C535" s="29" t="str">
        <f>IF(Y535&lt;0, "Down", "Up")</f>
        <v>Up</v>
      </c>
      <c r="D535" s="30" t="str">
        <f>IF(AC535&lt;0.05, "Sig", "N")</f>
        <v>Sig</v>
      </c>
      <c r="E535" s="31" t="str">
        <f>IF(AND(H535&gt;2,J535&gt;2,L535&gt;2,N535&gt;2),"Y","N")</f>
        <v>Y</v>
      </c>
      <c r="F535" s="31" t="str">
        <f>IF(AND(P535&gt;2,R535&gt;2,T535&gt;2,V535&gt;2),"Y","N")</f>
        <v>Y</v>
      </c>
      <c r="G535" s="31" t="str">
        <f>IF(OR(E535="Y", F535="Y"), "Expressed", "N")</f>
        <v>Expressed</v>
      </c>
      <c r="H535" s="29">
        <v>19.321993724464861</v>
      </c>
      <c r="I535" s="29">
        <v>2499</v>
      </c>
      <c r="J535" s="29">
        <v>17.863618903865159</v>
      </c>
      <c r="K535" s="29">
        <v>5175</v>
      </c>
      <c r="L535" s="29">
        <v>25.4921986435346</v>
      </c>
      <c r="M535" s="29">
        <v>5727</v>
      </c>
      <c r="N535" s="29">
        <v>23.310551967241359</v>
      </c>
      <c r="O535" s="29">
        <v>3117</v>
      </c>
      <c r="P535" s="29">
        <v>11.32307197951843</v>
      </c>
      <c r="Q535" s="29">
        <v>8519</v>
      </c>
      <c r="R535" s="29">
        <v>66.589960478830164</v>
      </c>
      <c r="S535" s="29">
        <v>3195</v>
      </c>
      <c r="T535" s="29">
        <v>42.272175999872793</v>
      </c>
      <c r="U535" s="29">
        <v>2056</v>
      </c>
      <c r="V535" s="29">
        <v>7.0431963867286589</v>
      </c>
      <c r="W535" s="29">
        <v>7339</v>
      </c>
      <c r="X535" s="29">
        <v>4229.52377891382</v>
      </c>
      <c r="Y535" s="29">
        <v>0.38739830847574502</v>
      </c>
      <c r="Z535" s="29">
        <v>0.1259495370268234</v>
      </c>
      <c r="AA535" s="29">
        <v>3.0758216157097982</v>
      </c>
      <c r="AB535" s="29">
        <v>2.099233952654623E-3</v>
      </c>
      <c r="AC535" s="29">
        <v>4.7721239527558267E-2</v>
      </c>
      <c r="AD535" s="29" t="s">
        <v>1554</v>
      </c>
      <c r="AE535" s="29" t="s">
        <v>1555</v>
      </c>
      <c r="AF535" s="29" t="s">
        <v>55</v>
      </c>
      <c r="AG535" s="29" t="s">
        <v>1556</v>
      </c>
      <c r="AH535" s="29" t="s">
        <v>43</v>
      </c>
      <c r="AI535" s="29" t="s">
        <v>43</v>
      </c>
      <c r="AJ535" s="29" t="s">
        <v>43</v>
      </c>
      <c r="AK535" s="29" t="s">
        <v>43</v>
      </c>
      <c r="AL535" s="29" t="s">
        <v>43</v>
      </c>
      <c r="AM535" s="29" t="s">
        <v>1557</v>
      </c>
      <c r="AN535" s="29" t="s">
        <v>43</v>
      </c>
    </row>
    <row r="536" spans="1:40" s="29" customFormat="1" x14ac:dyDescent="0.3">
      <c r="A536" s="29" t="s">
        <v>1569</v>
      </c>
      <c r="B536" s="29">
        <v>4658</v>
      </c>
      <c r="C536" s="29" t="str">
        <f>IF(Y536&lt;0, "Down", "Up")</f>
        <v>Up</v>
      </c>
      <c r="D536" s="30" t="str">
        <f>IF(AC536&lt;0.05, "Sig", "N")</f>
        <v>Sig</v>
      </c>
      <c r="E536" s="31" t="str">
        <f>IF(AND(H536&gt;2,J536&gt;2,L536&gt;2,N536&gt;2),"Y","N")</f>
        <v>Y</v>
      </c>
      <c r="F536" s="31" t="str">
        <f>IF(AND(P536&gt;2,R536&gt;2,T536&gt;2,V536&gt;2),"Y","N")</f>
        <v>Y</v>
      </c>
      <c r="G536" s="31" t="str">
        <f>IF(OR(E536="Y", F536="Y"), "Expressed", "N")</f>
        <v>Expressed</v>
      </c>
      <c r="H536" s="29">
        <v>16.126409129556389</v>
      </c>
      <c r="I536" s="29">
        <v>3342</v>
      </c>
      <c r="J536" s="29">
        <v>17.247264525182771</v>
      </c>
      <c r="K536" s="29">
        <v>8006</v>
      </c>
      <c r="L536" s="29">
        <v>19.884622590177869</v>
      </c>
      <c r="M536" s="29">
        <v>7158</v>
      </c>
      <c r="N536" s="29">
        <v>19.411103394652841</v>
      </c>
      <c r="O536" s="29">
        <v>4159</v>
      </c>
      <c r="P536" s="29">
        <v>9.4289196261164108</v>
      </c>
      <c r="Q536" s="29">
        <v>10296</v>
      </c>
      <c r="R536" s="29">
        <v>50.22665088616688</v>
      </c>
      <c r="S536" s="29">
        <v>4151</v>
      </c>
      <c r="T536" s="29">
        <v>34.27535981221309</v>
      </c>
      <c r="U536" s="29">
        <v>2763</v>
      </c>
      <c r="V536" s="29">
        <v>5.9070836405941121</v>
      </c>
      <c r="W536" s="29">
        <v>10528</v>
      </c>
      <c r="X536" s="29">
        <v>5648.9809879996046</v>
      </c>
      <c r="Y536" s="29">
        <v>0.33785447492409809</v>
      </c>
      <c r="Z536" s="29">
        <v>0.1077751334606994</v>
      </c>
      <c r="AA536" s="29">
        <v>3.134809153795183</v>
      </c>
      <c r="AB536" s="29">
        <v>1.719659475396883E-3</v>
      </c>
      <c r="AC536" s="29">
        <v>4.2559588305820482E-2</v>
      </c>
      <c r="AD536" s="29" t="s">
        <v>1570</v>
      </c>
      <c r="AE536" s="29" t="s">
        <v>1571</v>
      </c>
      <c r="AF536" s="29" t="s">
        <v>43</v>
      </c>
      <c r="AG536" s="29" t="s">
        <v>1572</v>
      </c>
      <c r="AH536" s="29" t="s">
        <v>43</v>
      </c>
      <c r="AI536" s="29" t="s">
        <v>43</v>
      </c>
      <c r="AJ536" s="29" t="s">
        <v>43</v>
      </c>
      <c r="AK536" s="29" t="s">
        <v>43</v>
      </c>
      <c r="AL536" s="29" t="s">
        <v>43</v>
      </c>
      <c r="AM536" s="29" t="s">
        <v>1573</v>
      </c>
      <c r="AN536" s="29" t="s">
        <v>43</v>
      </c>
    </row>
    <row r="537" spans="1:40" s="29" customFormat="1" x14ac:dyDescent="0.3">
      <c r="A537" s="29" t="s">
        <v>1574</v>
      </c>
      <c r="B537" s="29">
        <v>2369</v>
      </c>
      <c r="C537" s="29" t="str">
        <f>IF(Y537&lt;0, "Down", "Up")</f>
        <v>Up</v>
      </c>
      <c r="D537" s="30" t="str">
        <f>IF(AC537&lt;0.05, "Sig", "N")</f>
        <v>Sig</v>
      </c>
      <c r="E537" s="31" t="str">
        <f>IF(AND(H537&gt;2,J537&gt;2,L537&gt;2,N537&gt;2),"Y","N")</f>
        <v>Y</v>
      </c>
      <c r="F537" s="31" t="str">
        <f>IF(AND(P537&gt;2,R537&gt;2,T537&gt;2,V537&gt;2),"Y","N")</f>
        <v>Y</v>
      </c>
      <c r="G537" s="31" t="str">
        <f>IF(OR(E537="Y", F537="Y"), "Expressed", "N")</f>
        <v>Expressed</v>
      </c>
      <c r="H537" s="29">
        <v>15.740264923342931</v>
      </c>
      <c r="I537" s="29">
        <v>1659</v>
      </c>
      <c r="J537" s="29">
        <v>17.201727022634131</v>
      </c>
      <c r="K537" s="29">
        <v>4061</v>
      </c>
      <c r="L537" s="29">
        <v>24.382838821872529</v>
      </c>
      <c r="M537" s="29">
        <v>4464</v>
      </c>
      <c r="N537" s="29">
        <v>17.564575548897221</v>
      </c>
      <c r="O537" s="29">
        <v>1914</v>
      </c>
      <c r="P537" s="29">
        <v>8.5319709936233306</v>
      </c>
      <c r="Q537" s="29">
        <v>4905</v>
      </c>
      <c r="R537" s="29">
        <v>47.047778490131897</v>
      </c>
      <c r="S537" s="29">
        <v>2568</v>
      </c>
      <c r="T537" s="29">
        <v>41.692576285897637</v>
      </c>
      <c r="U537" s="29">
        <v>1480</v>
      </c>
      <c r="V537" s="29">
        <v>6.2214035717524174</v>
      </c>
      <c r="W537" s="29">
        <v>5680</v>
      </c>
      <c r="X537" s="29">
        <v>3001.2749711838928</v>
      </c>
      <c r="Y537" s="29">
        <v>0.39803454082029399</v>
      </c>
      <c r="Z537" s="29">
        <v>0.12148804898996381</v>
      </c>
      <c r="AA537" s="29">
        <v>3.276326717973518</v>
      </c>
      <c r="AB537" s="29">
        <v>1.051668250794488E-3</v>
      </c>
      <c r="AC537" s="29">
        <v>3.1825366950206477E-2</v>
      </c>
      <c r="AD537" s="29" t="s">
        <v>1575</v>
      </c>
      <c r="AE537" s="29" t="s">
        <v>1576</v>
      </c>
      <c r="AF537" s="29" t="s">
        <v>1577</v>
      </c>
      <c r="AG537" s="29" t="s">
        <v>1578</v>
      </c>
      <c r="AH537" s="29" t="s">
        <v>43</v>
      </c>
      <c r="AI537" s="29" t="s">
        <v>43</v>
      </c>
      <c r="AJ537" s="29" t="s">
        <v>43</v>
      </c>
      <c r="AK537" s="29" t="s">
        <v>43</v>
      </c>
      <c r="AL537" s="29" t="s">
        <v>43</v>
      </c>
      <c r="AM537" s="29" t="s">
        <v>1579</v>
      </c>
      <c r="AN537" s="29" t="s">
        <v>43</v>
      </c>
    </row>
    <row r="538" spans="1:40" s="29" customFormat="1" x14ac:dyDescent="0.3">
      <c r="A538" s="29" t="s">
        <v>1583</v>
      </c>
      <c r="B538" s="29">
        <v>1528</v>
      </c>
      <c r="C538" s="29" t="str">
        <f>IF(Y538&lt;0, "Down", "Up")</f>
        <v>Up</v>
      </c>
      <c r="D538" s="30" t="str">
        <f>IF(AC538&lt;0.05, "Sig", "N")</f>
        <v>Sig</v>
      </c>
      <c r="E538" s="31" t="str">
        <f>IF(AND(H538&gt;2,J538&gt;2,L538&gt;2,N538&gt;2),"Y","N")</f>
        <v>Y</v>
      </c>
      <c r="F538" s="31" t="str">
        <f>IF(AND(P538&gt;2,R538&gt;2,T538&gt;2,V538&gt;2),"Y","N")</f>
        <v>Y</v>
      </c>
      <c r="G538" s="31" t="str">
        <f>IF(OR(E538="Y", F538="Y"), "Expressed", "N")</f>
        <v>Expressed</v>
      </c>
      <c r="H538" s="29">
        <v>24.241783343590811</v>
      </c>
      <c r="I538" s="29">
        <v>1648</v>
      </c>
      <c r="J538" s="29">
        <v>17.140412752703671</v>
      </c>
      <c r="K538" s="29">
        <v>2610</v>
      </c>
      <c r="L538" s="29">
        <v>21.18795753064628</v>
      </c>
      <c r="M538" s="29">
        <v>2502</v>
      </c>
      <c r="N538" s="29">
        <v>19.122149145882091</v>
      </c>
      <c r="O538" s="29">
        <v>1344</v>
      </c>
      <c r="P538" s="29">
        <v>9.2885604547756024</v>
      </c>
      <c r="Q538" s="29">
        <v>3223</v>
      </c>
      <c r="R538" s="29">
        <v>47.929414301650702</v>
      </c>
      <c r="S538" s="29">
        <v>2820</v>
      </c>
      <c r="T538" s="29">
        <v>70.983028964022068</v>
      </c>
      <c r="U538" s="29">
        <v>2127</v>
      </c>
      <c r="V538" s="29">
        <v>13.862317932720339</v>
      </c>
      <c r="W538" s="29">
        <v>3700</v>
      </c>
      <c r="X538" s="29">
        <v>2581.0415228620641</v>
      </c>
      <c r="Y538" s="29">
        <v>0.85078912830831332</v>
      </c>
      <c r="Z538" s="29">
        <v>0.26866525540498382</v>
      </c>
      <c r="AA538" s="29">
        <v>3.1667255485858821</v>
      </c>
      <c r="AB538" s="29">
        <v>1.5416574089396431E-3</v>
      </c>
      <c r="AC538" s="29">
        <v>3.9835502092602407E-2</v>
      </c>
      <c r="AD538" s="29" t="s">
        <v>1584</v>
      </c>
      <c r="AE538" s="29" t="s">
        <v>1585</v>
      </c>
      <c r="AF538" s="29" t="s">
        <v>1586</v>
      </c>
      <c r="AG538" s="29" t="s">
        <v>1587</v>
      </c>
      <c r="AH538" s="29" t="s">
        <v>43</v>
      </c>
      <c r="AI538" s="29" t="s">
        <v>43</v>
      </c>
      <c r="AJ538" s="29" t="s">
        <v>43</v>
      </c>
      <c r="AK538" s="29" t="s">
        <v>43</v>
      </c>
      <c r="AL538" s="29" t="s">
        <v>43</v>
      </c>
      <c r="AM538" s="29" t="s">
        <v>1588</v>
      </c>
      <c r="AN538" s="29" t="s">
        <v>43</v>
      </c>
    </row>
    <row r="539" spans="1:40" s="29" customFormat="1" x14ac:dyDescent="0.3">
      <c r="A539" s="29" t="s">
        <v>1607</v>
      </c>
      <c r="B539" s="29">
        <v>7983</v>
      </c>
      <c r="C539" s="29" t="str">
        <f>IF(Y539&lt;0, "Down", "Up")</f>
        <v>Up</v>
      </c>
      <c r="D539" s="30" t="str">
        <f>IF(AC539&lt;0.05, "Sig", "N")</f>
        <v>Sig</v>
      </c>
      <c r="E539" s="31" t="str">
        <f>IF(AND(H539&gt;2,J539&gt;2,L539&gt;2,N539&gt;2),"Y","N")</f>
        <v>Y</v>
      </c>
      <c r="F539" s="31" t="str">
        <f>IF(AND(P539&gt;2,R539&gt;2,T539&gt;2,V539&gt;2),"Y","N")</f>
        <v>Y</v>
      </c>
      <c r="G539" s="31" t="str">
        <f>IF(OR(E539="Y", F539="Y"), "Expressed", "N")</f>
        <v>Expressed</v>
      </c>
      <c r="H539" s="29">
        <v>15.370134835724031</v>
      </c>
      <c r="I539" s="29">
        <v>5459</v>
      </c>
      <c r="J539" s="29">
        <v>16.470573994660938</v>
      </c>
      <c r="K539" s="29">
        <v>13103</v>
      </c>
      <c r="L539" s="29">
        <v>21.013482648475328</v>
      </c>
      <c r="M539" s="29">
        <v>12964</v>
      </c>
      <c r="N539" s="29">
        <v>18.27875472568768</v>
      </c>
      <c r="O539" s="29">
        <v>6712</v>
      </c>
      <c r="P539" s="29">
        <v>8.878882651332507</v>
      </c>
      <c r="Q539" s="29">
        <v>17892</v>
      </c>
      <c r="R539" s="29">
        <v>50.928153573896701</v>
      </c>
      <c r="S539" s="29">
        <v>6993</v>
      </c>
      <c r="T539" s="29">
        <v>33.691951928050159</v>
      </c>
      <c r="U539" s="29">
        <v>5121</v>
      </c>
      <c r="V539" s="29">
        <v>6.3882273835148533</v>
      </c>
      <c r="W539" s="29">
        <v>16291</v>
      </c>
      <c r="X539" s="29">
        <v>9550.9589939440048</v>
      </c>
      <c r="Y539" s="29">
        <v>0.36877898496869999</v>
      </c>
      <c r="Z539" s="29">
        <v>0.11639396602004939</v>
      </c>
      <c r="AA539" s="29">
        <v>3.1683685811099189</v>
      </c>
      <c r="AB539" s="29">
        <v>1.5329703766455789E-3</v>
      </c>
      <c r="AC539" s="29">
        <v>3.9835502092602407E-2</v>
      </c>
      <c r="AD539" s="29" t="s">
        <v>1608</v>
      </c>
      <c r="AE539" s="29" t="s">
        <v>1609</v>
      </c>
      <c r="AF539" s="29" t="s">
        <v>43</v>
      </c>
      <c r="AG539" s="29" t="s">
        <v>1610</v>
      </c>
      <c r="AH539" s="29" t="s">
        <v>43</v>
      </c>
      <c r="AI539" s="29" t="s">
        <v>43</v>
      </c>
      <c r="AJ539" s="29" t="s">
        <v>43</v>
      </c>
      <c r="AK539" s="29" t="s">
        <v>43</v>
      </c>
      <c r="AL539" s="29" t="s">
        <v>43</v>
      </c>
      <c r="AM539" s="29" t="s">
        <v>1611</v>
      </c>
      <c r="AN539" s="29" t="s">
        <v>43</v>
      </c>
    </row>
    <row r="540" spans="1:40" s="29" customFormat="1" x14ac:dyDescent="0.3">
      <c r="A540" s="29" t="s">
        <v>1622</v>
      </c>
      <c r="B540" s="29">
        <v>659</v>
      </c>
      <c r="C540" s="29" t="str">
        <f>IF(Y540&lt;0, "Down", "Up")</f>
        <v>Up</v>
      </c>
      <c r="D540" s="30" t="str">
        <f>IF(AC540&lt;0.05, "Sig", "N")</f>
        <v>Sig</v>
      </c>
      <c r="E540" s="31" t="str">
        <f>IF(AND(H540&gt;2,J540&gt;2,L540&gt;2,N540&gt;2),"Y","N")</f>
        <v>Y</v>
      </c>
      <c r="F540" s="31" t="str">
        <f>IF(AND(P540&gt;2,R540&gt;2,T540&gt;2,V540&gt;2),"Y","N")</f>
        <v>Y</v>
      </c>
      <c r="G540" s="31" t="str">
        <f>IF(OR(E540="Y", F540="Y"), "Expressed", "N")</f>
        <v>Expressed</v>
      </c>
      <c r="H540" s="29">
        <v>16.098569854231911</v>
      </c>
      <c r="I540" s="29">
        <v>472</v>
      </c>
      <c r="J540" s="29">
        <v>16.399643654302249</v>
      </c>
      <c r="K540" s="29">
        <v>1077</v>
      </c>
      <c r="L540" s="29">
        <v>14.92290314709623</v>
      </c>
      <c r="M540" s="29">
        <v>760</v>
      </c>
      <c r="N540" s="29">
        <v>19.62873617750353</v>
      </c>
      <c r="O540" s="29">
        <v>595</v>
      </c>
      <c r="P540" s="29">
        <v>9.5346344830097323</v>
      </c>
      <c r="Q540" s="29">
        <v>1559</v>
      </c>
      <c r="R540" s="29">
        <v>53.755867062047777</v>
      </c>
      <c r="S540" s="29">
        <v>628</v>
      </c>
      <c r="T540" s="29">
        <v>36.65244937279359</v>
      </c>
      <c r="U540" s="29">
        <v>397</v>
      </c>
      <c r="V540" s="29">
        <v>5.9992479487841379</v>
      </c>
      <c r="W540" s="29">
        <v>1581</v>
      </c>
      <c r="X540" s="29">
        <v>799.28390443744627</v>
      </c>
      <c r="Y540" s="29">
        <v>0.51896715467640719</v>
      </c>
      <c r="Z540" s="29">
        <v>0.16283877913909139</v>
      </c>
      <c r="AA540" s="29">
        <v>3.186999788503222</v>
      </c>
      <c r="AB540" s="29">
        <v>1.4375687998732249E-3</v>
      </c>
      <c r="AC540" s="29">
        <v>3.858681512895297E-2</v>
      </c>
    </row>
    <row r="541" spans="1:40" s="29" customFormat="1" x14ac:dyDescent="0.3">
      <c r="A541" s="29" t="s">
        <v>1629</v>
      </c>
      <c r="B541" s="29">
        <v>608</v>
      </c>
      <c r="C541" s="29" t="str">
        <f>IF(Y541&lt;0, "Down", "Up")</f>
        <v>Up</v>
      </c>
      <c r="D541" s="30" t="str">
        <f>IF(AC541&lt;0.05, "Sig", "N")</f>
        <v>Sig</v>
      </c>
      <c r="E541" s="31" t="str">
        <f>IF(AND(H541&gt;2,J541&gt;2,L541&gt;2,N541&gt;2),"Y","N")</f>
        <v>Y</v>
      </c>
      <c r="F541" s="31" t="str">
        <f>IF(AND(P541&gt;2,R541&gt;2,T541&gt;2,V541&gt;2),"Y","N")</f>
        <v>Y</v>
      </c>
      <c r="G541" s="31" t="str">
        <f>IF(OR(E541="Y", F541="Y"), "Expressed", "N")</f>
        <v>Expressed</v>
      </c>
      <c r="H541" s="29">
        <v>11.977664477155519</v>
      </c>
      <c r="I541" s="29">
        <v>324</v>
      </c>
      <c r="J541" s="29">
        <v>16.322881773406799</v>
      </c>
      <c r="K541" s="29">
        <v>989</v>
      </c>
      <c r="L541" s="29">
        <v>12.68433849477602</v>
      </c>
      <c r="M541" s="29">
        <v>596</v>
      </c>
      <c r="N541" s="29">
        <v>10.22641094183658</v>
      </c>
      <c r="O541" s="29">
        <v>286</v>
      </c>
      <c r="P541" s="29">
        <v>4.9674665511686644</v>
      </c>
      <c r="Q541" s="29">
        <v>1151</v>
      </c>
      <c r="R541" s="29">
        <v>43.016682599936267</v>
      </c>
      <c r="S541" s="29">
        <v>542</v>
      </c>
      <c r="T541" s="29">
        <v>34.286604723840483</v>
      </c>
      <c r="U541" s="29">
        <v>351</v>
      </c>
      <c r="V541" s="29">
        <v>5.7490390253600614</v>
      </c>
      <c r="W541" s="29">
        <v>972</v>
      </c>
      <c r="X541" s="29">
        <v>594.76889507438432</v>
      </c>
      <c r="Y541" s="29">
        <v>0.64808512666982088</v>
      </c>
      <c r="Z541" s="29">
        <v>0.2004427436642463</v>
      </c>
      <c r="AA541" s="29">
        <v>3.2332680885440421</v>
      </c>
      <c r="AB541" s="29">
        <v>1.223826562478486E-3</v>
      </c>
      <c r="AC541" s="29">
        <v>3.4986345332667909E-2</v>
      </c>
    </row>
    <row r="542" spans="1:40" s="29" customFormat="1" x14ac:dyDescent="0.3">
      <c r="A542" s="29" t="s">
        <v>1635</v>
      </c>
      <c r="B542" s="29">
        <v>1825</v>
      </c>
      <c r="C542" s="29" t="str">
        <f>IF(Y542&lt;0, "Down", "Up")</f>
        <v>Up</v>
      </c>
      <c r="D542" s="30" t="str">
        <f>IF(AC542&lt;0.05, "Sig", "N")</f>
        <v>Sig</v>
      </c>
      <c r="E542" s="31" t="str">
        <f>IF(AND(H542&gt;2,J542&gt;2,L542&gt;2,N542&gt;2),"Y","N")</f>
        <v>Y</v>
      </c>
      <c r="F542" s="31" t="str">
        <f>IF(AND(P542&gt;2,R542&gt;2,T542&gt;2,V542&gt;2),"Y","N")</f>
        <v>Y</v>
      </c>
      <c r="G542" s="31" t="str">
        <f>IF(OR(E542="Y", F542="Y"), "Expressed", "N")</f>
        <v>Expressed</v>
      </c>
      <c r="H542" s="29">
        <v>17.328538716336119</v>
      </c>
      <c r="I542" s="29">
        <v>1407</v>
      </c>
      <c r="J542" s="29">
        <v>16.061008461489379</v>
      </c>
      <c r="K542" s="29">
        <v>2921</v>
      </c>
      <c r="L542" s="29">
        <v>23.440405647464889</v>
      </c>
      <c r="M542" s="29">
        <v>3306</v>
      </c>
      <c r="N542" s="29">
        <v>17.189539766940651</v>
      </c>
      <c r="O542" s="29">
        <v>1443</v>
      </c>
      <c r="P542" s="29">
        <v>8.3497978232944163</v>
      </c>
      <c r="Q542" s="29">
        <v>4245</v>
      </c>
      <c r="R542" s="29">
        <v>52.854259963644012</v>
      </c>
      <c r="S542" s="29">
        <v>1752</v>
      </c>
      <c r="T542" s="29">
        <v>36.923257278987478</v>
      </c>
      <c r="U542" s="29">
        <v>1047</v>
      </c>
      <c r="V542" s="29">
        <v>5.7131487594857848</v>
      </c>
      <c r="W542" s="29">
        <v>4127</v>
      </c>
      <c r="X542" s="29">
        <v>2251.149022090191</v>
      </c>
      <c r="Y542" s="29">
        <v>0.35954195901469232</v>
      </c>
      <c r="Z542" s="29">
        <v>9.9821501288141518E-2</v>
      </c>
      <c r="AA542" s="29">
        <v>3.6018488439364389</v>
      </c>
      <c r="AB542" s="29">
        <v>3.1596207239738961E-4</v>
      </c>
      <c r="AC542" s="29">
        <v>1.422852441070302E-2</v>
      </c>
      <c r="AD542" s="29" t="s">
        <v>1636</v>
      </c>
      <c r="AE542" s="29" t="s">
        <v>1637</v>
      </c>
      <c r="AF542" s="29" t="s">
        <v>1638</v>
      </c>
      <c r="AG542" s="29" t="s">
        <v>1639</v>
      </c>
      <c r="AH542" s="29" t="s">
        <v>43</v>
      </c>
      <c r="AI542" s="29" t="s">
        <v>43</v>
      </c>
      <c r="AJ542" s="29" t="s">
        <v>43</v>
      </c>
      <c r="AK542" s="29" t="s">
        <v>43</v>
      </c>
      <c r="AL542" s="29" t="s">
        <v>43</v>
      </c>
      <c r="AM542" s="29" t="s">
        <v>1640</v>
      </c>
      <c r="AN542" s="29" t="s">
        <v>43</v>
      </c>
    </row>
    <row r="543" spans="1:40" s="29" customFormat="1" x14ac:dyDescent="0.3">
      <c r="A543" s="29" t="s">
        <v>1647</v>
      </c>
      <c r="B543" s="29">
        <v>1113</v>
      </c>
      <c r="C543" s="29" t="str">
        <f>IF(Y543&lt;0, "Down", "Up")</f>
        <v>Up</v>
      </c>
      <c r="D543" s="30" t="str">
        <f>IF(AC543&lt;0.05, "Sig", "N")</f>
        <v>Sig</v>
      </c>
      <c r="E543" s="31" t="str">
        <f>IF(AND(H543&gt;2,J543&gt;2,L543&gt;2,N543&gt;2),"Y","N")</f>
        <v>Y</v>
      </c>
      <c r="F543" s="31" t="str">
        <f>IF(AND(P543&gt;2,R543&gt;2,T543&gt;2,V543&gt;2),"Y","N")</f>
        <v>Y</v>
      </c>
      <c r="G543" s="31" t="str">
        <f>IF(OR(E543="Y", F543="Y"), "Expressed", "N")</f>
        <v>Expressed</v>
      </c>
      <c r="H543" s="29">
        <v>15.852771681632291</v>
      </c>
      <c r="I543" s="29">
        <v>785</v>
      </c>
      <c r="J543" s="29">
        <v>15.94010651309326</v>
      </c>
      <c r="K543" s="29">
        <v>1768</v>
      </c>
      <c r="L543" s="29">
        <v>19.275892895430299</v>
      </c>
      <c r="M543" s="29">
        <v>1658</v>
      </c>
      <c r="N543" s="29">
        <v>18.067886559003551</v>
      </c>
      <c r="O543" s="29">
        <v>925</v>
      </c>
      <c r="P543" s="29">
        <v>8.7764536984313075</v>
      </c>
      <c r="Q543" s="29">
        <v>2305</v>
      </c>
      <c r="R543" s="29">
        <v>47.058809490910818</v>
      </c>
      <c r="S543" s="29">
        <v>1061</v>
      </c>
      <c r="T543" s="29">
        <v>36.664772361677997</v>
      </c>
      <c r="U543" s="29">
        <v>567</v>
      </c>
      <c r="V543" s="29">
        <v>5.0731723184599673</v>
      </c>
      <c r="W543" s="29">
        <v>2620</v>
      </c>
      <c r="X543" s="29">
        <v>1301.1594330307259</v>
      </c>
      <c r="Y543" s="29">
        <v>0.37849323962535641</v>
      </c>
      <c r="Z543" s="29">
        <v>0.1160975812483355</v>
      </c>
      <c r="AA543" s="29">
        <v>3.260130276235043</v>
      </c>
      <c r="AB543" s="29">
        <v>1.113610504491233E-3</v>
      </c>
      <c r="AC543" s="29">
        <v>3.2924618367019237E-2</v>
      </c>
      <c r="AD543" s="29" t="s">
        <v>1648</v>
      </c>
      <c r="AE543" s="29" t="s">
        <v>1649</v>
      </c>
      <c r="AF543" s="29" t="s">
        <v>43</v>
      </c>
      <c r="AG543" s="29" t="s">
        <v>1650</v>
      </c>
      <c r="AH543" s="29" t="s">
        <v>43</v>
      </c>
      <c r="AI543" s="29" t="s">
        <v>43</v>
      </c>
      <c r="AJ543" s="29" t="s">
        <v>43</v>
      </c>
      <c r="AK543" s="29" t="s">
        <v>43</v>
      </c>
      <c r="AL543" s="29" t="s">
        <v>43</v>
      </c>
      <c r="AM543" s="29" t="s">
        <v>1651</v>
      </c>
      <c r="AN543" s="29" t="s">
        <v>43</v>
      </c>
    </row>
    <row r="544" spans="1:40" s="29" customFormat="1" x14ac:dyDescent="0.3">
      <c r="A544" s="29" t="s">
        <v>1655</v>
      </c>
      <c r="B544" s="29">
        <v>2769</v>
      </c>
      <c r="C544" s="29" t="str">
        <f>IF(Y544&lt;0, "Down", "Up")</f>
        <v>Up</v>
      </c>
      <c r="D544" s="30" t="str">
        <f>IF(AC544&lt;0.05, "Sig", "N")</f>
        <v>Sig</v>
      </c>
      <c r="E544" s="31" t="str">
        <f>IF(AND(H544&gt;2,J544&gt;2,L544&gt;2,N544&gt;2),"Y","N")</f>
        <v>Y</v>
      </c>
      <c r="F544" s="31" t="str">
        <f>IF(AND(P544&gt;2,R544&gt;2,T544&gt;2,V544&gt;2),"Y","N")</f>
        <v>Y</v>
      </c>
      <c r="G544" s="31" t="str">
        <f>IF(OR(E544="Y", F544="Y"), "Expressed", "N")</f>
        <v>Expressed</v>
      </c>
      <c r="H544" s="29">
        <v>15.10616171984331</v>
      </c>
      <c r="I544" s="29">
        <v>1861</v>
      </c>
      <c r="J544" s="29">
        <v>15.69891416494335</v>
      </c>
      <c r="K544" s="29">
        <v>4332</v>
      </c>
      <c r="L544" s="29">
        <v>19.192294085531959</v>
      </c>
      <c r="M544" s="29">
        <v>4107</v>
      </c>
      <c r="N544" s="29">
        <v>17.586760500125099</v>
      </c>
      <c r="O544" s="29">
        <v>2240</v>
      </c>
      <c r="P544" s="29">
        <v>8.5427473064265804</v>
      </c>
      <c r="Q544" s="29">
        <v>6181</v>
      </c>
      <c r="R544" s="29">
        <v>50.722535936475957</v>
      </c>
      <c r="S544" s="29">
        <v>2359</v>
      </c>
      <c r="T544" s="29">
        <v>32.766779493624149</v>
      </c>
      <c r="U544" s="29">
        <v>1588</v>
      </c>
      <c r="V544" s="29">
        <v>5.7110933885861277</v>
      </c>
      <c r="W544" s="29">
        <v>5328</v>
      </c>
      <c r="X544" s="29">
        <v>3150.9609283301311</v>
      </c>
      <c r="Y544" s="29">
        <v>0.36625257618508239</v>
      </c>
      <c r="Z544" s="29">
        <v>0.1156833243790699</v>
      </c>
      <c r="AA544" s="29">
        <v>3.165992835622097</v>
      </c>
      <c r="AB544" s="29">
        <v>1.5455460027997291E-3</v>
      </c>
      <c r="AC544" s="29">
        <v>3.9890609823352831E-2</v>
      </c>
      <c r="AD544" s="29" t="s">
        <v>1656</v>
      </c>
      <c r="AE544" s="29" t="s">
        <v>1657</v>
      </c>
      <c r="AF544" s="29" t="s">
        <v>43</v>
      </c>
      <c r="AG544" s="29" t="s">
        <v>43</v>
      </c>
      <c r="AH544" s="29" t="s">
        <v>43</v>
      </c>
      <c r="AI544" s="29" t="s">
        <v>43</v>
      </c>
      <c r="AJ544" s="29" t="s">
        <v>43</v>
      </c>
      <c r="AK544" s="29" t="s">
        <v>43</v>
      </c>
      <c r="AL544" s="29" t="s">
        <v>43</v>
      </c>
      <c r="AM544" s="29" t="s">
        <v>43</v>
      </c>
      <c r="AN544" s="29" t="s">
        <v>43</v>
      </c>
    </row>
    <row r="545" spans="1:40" s="29" customFormat="1" x14ac:dyDescent="0.3">
      <c r="A545" s="29" t="s">
        <v>1658</v>
      </c>
      <c r="B545" s="29">
        <v>4376</v>
      </c>
      <c r="C545" s="29" t="str">
        <f>IF(Y545&lt;0, "Down", "Up")</f>
        <v>Up</v>
      </c>
      <c r="D545" s="30" t="str">
        <f>IF(AC545&lt;0.05, "Sig", "N")</f>
        <v>Sig</v>
      </c>
      <c r="E545" s="31" t="str">
        <f>IF(AND(H545&gt;2,J545&gt;2,L545&gt;2,N545&gt;2),"Y","N")</f>
        <v>Y</v>
      </c>
      <c r="F545" s="31" t="str">
        <f>IF(AND(P545&gt;2,R545&gt;2,T545&gt;2,V545&gt;2),"Y","N")</f>
        <v>Y</v>
      </c>
      <c r="G545" s="31" t="str">
        <f>IF(OR(E545="Y", F545="Y"), "Expressed", "N")</f>
        <v>Expressed</v>
      </c>
      <c r="H545" s="29">
        <v>14.530693644606631</v>
      </c>
      <c r="I545" s="29">
        <v>2829</v>
      </c>
      <c r="J545" s="29">
        <v>15.55882017600358</v>
      </c>
      <c r="K545" s="29">
        <v>6785</v>
      </c>
      <c r="L545" s="29">
        <v>19.26174298055837</v>
      </c>
      <c r="M545" s="29">
        <v>6514</v>
      </c>
      <c r="N545" s="29">
        <v>16.48886361471105</v>
      </c>
      <c r="O545" s="29">
        <v>3319</v>
      </c>
      <c r="P545" s="29">
        <v>8.0094452431763123</v>
      </c>
      <c r="Q545" s="29">
        <v>10509</v>
      </c>
      <c r="R545" s="29">
        <v>54.569408884806478</v>
      </c>
      <c r="S545" s="29">
        <v>3279</v>
      </c>
      <c r="T545" s="29">
        <v>28.81992702091901</v>
      </c>
      <c r="U545" s="29">
        <v>3024</v>
      </c>
      <c r="V545" s="29">
        <v>6.881707240031619</v>
      </c>
      <c r="W545" s="29">
        <v>9587</v>
      </c>
      <c r="X545" s="29">
        <v>5132.2651404611652</v>
      </c>
      <c r="Y545" s="29">
        <v>0.51130137902982531</v>
      </c>
      <c r="Z545" s="29">
        <v>0.14309901996284949</v>
      </c>
      <c r="AA545" s="29">
        <v>3.5730599633915481</v>
      </c>
      <c r="AB545" s="29">
        <v>3.5283392474099042E-4</v>
      </c>
      <c r="AC545" s="29">
        <v>1.524990795013984E-2</v>
      </c>
      <c r="AD545" s="29" t="s">
        <v>1659</v>
      </c>
      <c r="AE545" s="29" t="s">
        <v>1660</v>
      </c>
      <c r="AF545" s="29" t="s">
        <v>43</v>
      </c>
      <c r="AG545" s="29" t="s">
        <v>1661</v>
      </c>
      <c r="AH545" s="29" t="s">
        <v>43</v>
      </c>
      <c r="AI545" s="29" t="s">
        <v>43</v>
      </c>
      <c r="AJ545" s="29" t="s">
        <v>43</v>
      </c>
      <c r="AK545" s="29" t="s">
        <v>43</v>
      </c>
      <c r="AL545" s="29" t="s">
        <v>43</v>
      </c>
      <c r="AM545" s="29" t="s">
        <v>1662</v>
      </c>
      <c r="AN545" s="29" t="s">
        <v>43</v>
      </c>
    </row>
    <row r="546" spans="1:40" s="29" customFormat="1" x14ac:dyDescent="0.3">
      <c r="A546" s="29" t="s">
        <v>1672</v>
      </c>
      <c r="B546" s="29">
        <v>2196</v>
      </c>
      <c r="C546" s="29" t="str">
        <f>IF(Y546&lt;0, "Down", "Up")</f>
        <v>Up</v>
      </c>
      <c r="D546" s="30" t="str">
        <f>IF(AC546&lt;0.05, "Sig", "N")</f>
        <v>Sig</v>
      </c>
      <c r="E546" s="31" t="str">
        <f>IF(AND(H546&gt;2,J546&gt;2,L546&gt;2,N546&gt;2),"Y","N")</f>
        <v>Y</v>
      </c>
      <c r="F546" s="31" t="str">
        <f>IF(AND(P546&gt;2,R546&gt;2,T546&gt;2,V546&gt;2),"Y","N")</f>
        <v>Y</v>
      </c>
      <c r="G546" s="31" t="str">
        <f>IF(OR(E546="Y", F546="Y"), "Expressed", "N")</f>
        <v>Expressed</v>
      </c>
      <c r="H546" s="29">
        <v>15.015109040983861</v>
      </c>
      <c r="I546" s="29">
        <v>1467</v>
      </c>
      <c r="J546" s="29">
        <v>15.381046976655171</v>
      </c>
      <c r="K546" s="29">
        <v>3366</v>
      </c>
      <c r="L546" s="29">
        <v>18.189863344802578</v>
      </c>
      <c r="M546" s="29">
        <v>3087</v>
      </c>
      <c r="N546" s="29">
        <v>13.622188475594561</v>
      </c>
      <c r="O546" s="29">
        <v>1376</v>
      </c>
      <c r="P546" s="29">
        <v>6.6169613162522358</v>
      </c>
      <c r="Q546" s="29">
        <v>4319</v>
      </c>
      <c r="R546" s="29">
        <v>44.690584929976097</v>
      </c>
      <c r="S546" s="29">
        <v>1771</v>
      </c>
      <c r="T546" s="29">
        <v>31.018086217880441</v>
      </c>
      <c r="U546" s="29">
        <v>1356</v>
      </c>
      <c r="V546" s="29">
        <v>6.149206439031925</v>
      </c>
      <c r="W546" s="29">
        <v>4132</v>
      </c>
      <c r="X546" s="29">
        <v>2366.8930696614289</v>
      </c>
      <c r="Y546" s="29">
        <v>0.44129801397898522</v>
      </c>
      <c r="Z546" s="29">
        <v>0.11775727510117991</v>
      </c>
      <c r="AA546" s="29">
        <v>3.7475222961792491</v>
      </c>
      <c r="AB546" s="29">
        <v>1.7858996635350771E-4</v>
      </c>
      <c r="AC546" s="29">
        <v>9.9580754352113915E-3</v>
      </c>
      <c r="AD546" s="29" t="s">
        <v>1673</v>
      </c>
      <c r="AE546" s="29" t="s">
        <v>1674</v>
      </c>
      <c r="AF546" s="29" t="s">
        <v>43</v>
      </c>
      <c r="AG546" s="29" t="s">
        <v>1675</v>
      </c>
      <c r="AH546" s="29" t="s">
        <v>43</v>
      </c>
      <c r="AI546" s="29" t="s">
        <v>43</v>
      </c>
      <c r="AJ546" s="29" t="s">
        <v>43</v>
      </c>
      <c r="AK546" s="29" t="s">
        <v>43</v>
      </c>
      <c r="AL546" s="29" t="s">
        <v>43</v>
      </c>
      <c r="AM546" s="29" t="s">
        <v>1676</v>
      </c>
      <c r="AN546" s="29" t="s">
        <v>43</v>
      </c>
    </row>
    <row r="547" spans="1:40" s="29" customFormat="1" x14ac:dyDescent="0.3">
      <c r="A547" s="29" t="s">
        <v>1683</v>
      </c>
      <c r="B547" s="29">
        <v>1477</v>
      </c>
      <c r="C547" s="29" t="str">
        <f>IF(Y547&lt;0, "Down", "Up")</f>
        <v>Up</v>
      </c>
      <c r="D547" s="30" t="str">
        <f>IF(AC547&lt;0.05, "Sig", "N")</f>
        <v>Sig</v>
      </c>
      <c r="E547" s="31" t="str">
        <f>IF(AND(H547&gt;2,J547&gt;2,L547&gt;2,N547&gt;2),"Y","N")</f>
        <v>Y</v>
      </c>
      <c r="F547" s="31" t="str">
        <f>IF(AND(P547&gt;2,R547&gt;2,T547&gt;2,V547&gt;2),"Y","N")</f>
        <v>Y</v>
      </c>
      <c r="G547" s="31" t="str">
        <f>IF(OR(E547="Y", F547="Y"), "Expressed", "N")</f>
        <v>Expressed</v>
      </c>
      <c r="H547" s="29">
        <v>11.900274249710479</v>
      </c>
      <c r="I547" s="29">
        <v>782</v>
      </c>
      <c r="J547" s="29">
        <v>15.19131701003883</v>
      </c>
      <c r="K547" s="29">
        <v>2236</v>
      </c>
      <c r="L547" s="29">
        <v>18.529129603815989</v>
      </c>
      <c r="M547" s="29">
        <v>2115</v>
      </c>
      <c r="N547" s="29">
        <v>16.05850243885634</v>
      </c>
      <c r="O547" s="29">
        <v>1091</v>
      </c>
      <c r="P547" s="29">
        <v>7.8003978307323196</v>
      </c>
      <c r="Q547" s="29">
        <v>2707</v>
      </c>
      <c r="R547" s="29">
        <v>41.645965127142517</v>
      </c>
      <c r="S547" s="29">
        <v>1744</v>
      </c>
      <c r="T547" s="29">
        <v>45.414523170950517</v>
      </c>
      <c r="U547" s="29">
        <v>825</v>
      </c>
      <c r="V547" s="29">
        <v>5.5624378651586568</v>
      </c>
      <c r="W547" s="29">
        <v>3208</v>
      </c>
      <c r="X547" s="29">
        <v>1678.3423291441591</v>
      </c>
      <c r="Y547" s="29">
        <v>0.59301332090698511</v>
      </c>
      <c r="Z547" s="29">
        <v>0.16784295388506301</v>
      </c>
      <c r="AA547" s="29">
        <v>3.533143972865695</v>
      </c>
      <c r="AB547" s="29">
        <v>4.106487751963154E-4</v>
      </c>
      <c r="AC547" s="29">
        <v>1.6973004096488269E-2</v>
      </c>
      <c r="AD547" s="29" t="s">
        <v>1684</v>
      </c>
      <c r="AE547" s="29" t="s">
        <v>1685</v>
      </c>
      <c r="AF547" s="29" t="s">
        <v>1686</v>
      </c>
      <c r="AG547" s="29" t="s">
        <v>1687</v>
      </c>
      <c r="AH547" s="29" t="s">
        <v>43</v>
      </c>
      <c r="AI547" s="29" t="s">
        <v>43</v>
      </c>
      <c r="AJ547" s="29" t="s">
        <v>43</v>
      </c>
      <c r="AK547" s="29" t="s">
        <v>43</v>
      </c>
      <c r="AL547" s="29" t="s">
        <v>43</v>
      </c>
      <c r="AM547" s="29" t="s">
        <v>1688</v>
      </c>
      <c r="AN547" s="29" t="s">
        <v>43</v>
      </c>
    </row>
    <row r="548" spans="1:40" s="29" customFormat="1" x14ac:dyDescent="0.3">
      <c r="A548" s="29" t="s">
        <v>1695</v>
      </c>
      <c r="B548" s="29">
        <v>727</v>
      </c>
      <c r="C548" s="29" t="str">
        <f>IF(Y548&lt;0, "Down", "Up")</f>
        <v>Up</v>
      </c>
      <c r="D548" s="30" t="str">
        <f>IF(AC548&lt;0.05, "Sig", "N")</f>
        <v>Sig</v>
      </c>
      <c r="E548" s="31" t="str">
        <f>IF(AND(H548&gt;2,J548&gt;2,L548&gt;2,N548&gt;2),"Y","N")</f>
        <v>Y</v>
      </c>
      <c r="F548" s="31" t="str">
        <f>IF(AND(P548&gt;2,R548&gt;2,T548&gt;2,V548&gt;2),"Y","N")</f>
        <v>Y</v>
      </c>
      <c r="G548" s="31" t="str">
        <f>IF(OR(E548="Y", F548="Y"), "Expressed", "N")</f>
        <v>Expressed</v>
      </c>
      <c r="H548" s="29">
        <v>15.98405055908416</v>
      </c>
      <c r="I548" s="29">
        <v>517</v>
      </c>
      <c r="J548" s="29">
        <v>15.03133630423506</v>
      </c>
      <c r="K548" s="29">
        <v>1089</v>
      </c>
      <c r="L548" s="29">
        <v>17.33603154892867</v>
      </c>
      <c r="M548" s="29">
        <v>974</v>
      </c>
      <c r="N548" s="29">
        <v>17.88247225342537</v>
      </c>
      <c r="O548" s="29">
        <v>598</v>
      </c>
      <c r="P548" s="29">
        <v>8.6863889272905599</v>
      </c>
      <c r="Q548" s="29">
        <v>1489</v>
      </c>
      <c r="R548" s="29">
        <v>46.539901261523092</v>
      </c>
      <c r="S548" s="29">
        <v>723</v>
      </c>
      <c r="T548" s="29">
        <v>38.250107480381629</v>
      </c>
      <c r="U548" s="29">
        <v>365</v>
      </c>
      <c r="V548" s="29">
        <v>4.9997716898776332</v>
      </c>
      <c r="W548" s="29">
        <v>1604</v>
      </c>
      <c r="X548" s="29">
        <v>830.08386367527055</v>
      </c>
      <c r="Y548" s="29">
        <v>0.42098193610628359</v>
      </c>
      <c r="Z548" s="29">
        <v>0.1325447790689068</v>
      </c>
      <c r="AA548" s="29">
        <v>3.1761487631845928</v>
      </c>
      <c r="AB548" s="29">
        <v>1.492443961628218E-3</v>
      </c>
      <c r="AC548" s="29">
        <v>3.9379199188814058E-2</v>
      </c>
      <c r="AD548" s="29" t="s">
        <v>1696</v>
      </c>
      <c r="AE548" s="29" t="s">
        <v>1697</v>
      </c>
      <c r="AF548" s="29" t="s">
        <v>43</v>
      </c>
      <c r="AG548" s="29" t="s">
        <v>1698</v>
      </c>
      <c r="AH548" s="29" t="s">
        <v>43</v>
      </c>
      <c r="AI548" s="29" t="s">
        <v>43</v>
      </c>
      <c r="AJ548" s="29" t="s">
        <v>43</v>
      </c>
      <c r="AK548" s="29" t="s">
        <v>43</v>
      </c>
      <c r="AL548" s="29" t="s">
        <v>43</v>
      </c>
      <c r="AM548" s="29" t="s">
        <v>597</v>
      </c>
      <c r="AN548" s="29" t="s">
        <v>43</v>
      </c>
    </row>
    <row r="549" spans="1:40" s="29" customFormat="1" x14ac:dyDescent="0.3">
      <c r="A549" s="29" t="s">
        <v>1705</v>
      </c>
      <c r="B549" s="29">
        <v>3854</v>
      </c>
      <c r="C549" s="29" t="str">
        <f>IF(Y549&lt;0, "Down", "Up")</f>
        <v>Up</v>
      </c>
      <c r="D549" s="30" t="str">
        <f>IF(AC549&lt;0.05, "Sig", "N")</f>
        <v>Sig</v>
      </c>
      <c r="E549" s="31" t="str">
        <f>IF(AND(H549&gt;2,J549&gt;2,L549&gt;2,N549&gt;2),"Y","N")</f>
        <v>Y</v>
      </c>
      <c r="F549" s="31" t="str">
        <f>IF(AND(P549&gt;2,R549&gt;2,T549&gt;2,V549&gt;2),"Y","N")</f>
        <v>Y</v>
      </c>
      <c r="G549" s="31" t="str">
        <f>IF(OR(E549="Y", F549="Y"), "Expressed", "N")</f>
        <v>Expressed</v>
      </c>
      <c r="H549" s="29">
        <v>14.81916273085116</v>
      </c>
      <c r="I549" s="29">
        <v>2541</v>
      </c>
      <c r="J549" s="29">
        <v>14.92185518376867</v>
      </c>
      <c r="K549" s="29">
        <v>5731</v>
      </c>
      <c r="L549" s="29">
        <v>18.58029423448097</v>
      </c>
      <c r="M549" s="29">
        <v>5534</v>
      </c>
      <c r="N549" s="29">
        <v>16.945289962404392</v>
      </c>
      <c r="O549" s="29">
        <v>3004</v>
      </c>
      <c r="P549" s="29">
        <v>8.2311537808181185</v>
      </c>
      <c r="Q549" s="29">
        <v>7845</v>
      </c>
      <c r="R549" s="29">
        <v>46.253692440875632</v>
      </c>
      <c r="S549" s="29">
        <v>3636</v>
      </c>
      <c r="T549" s="29">
        <v>36.286153851625613</v>
      </c>
      <c r="U549" s="29">
        <v>2061</v>
      </c>
      <c r="V549" s="29">
        <v>5.3254707169303428</v>
      </c>
      <c r="W549" s="29">
        <v>6887</v>
      </c>
      <c r="X549" s="29">
        <v>4241.4795884597424</v>
      </c>
      <c r="Y549" s="29">
        <v>0.37070723231803382</v>
      </c>
      <c r="Z549" s="29">
        <v>0.1204283273954478</v>
      </c>
      <c r="AA549" s="29">
        <v>3.0782394834792539</v>
      </c>
      <c r="AB549" s="29">
        <v>2.082275039384263E-3</v>
      </c>
      <c r="AC549" s="29">
        <v>4.7518481159384902E-2</v>
      </c>
      <c r="AD549" s="29" t="s">
        <v>1706</v>
      </c>
      <c r="AE549" s="29" t="s">
        <v>1707</v>
      </c>
      <c r="AF549" s="29" t="s">
        <v>43</v>
      </c>
      <c r="AG549" s="29" t="s">
        <v>1708</v>
      </c>
      <c r="AH549" s="29" t="s">
        <v>43</v>
      </c>
      <c r="AI549" s="29" t="s">
        <v>43</v>
      </c>
      <c r="AJ549" s="29" t="s">
        <v>43</v>
      </c>
      <c r="AK549" s="29" t="s">
        <v>43</v>
      </c>
      <c r="AL549" s="29" t="s">
        <v>43</v>
      </c>
      <c r="AM549" s="29" t="s">
        <v>1709</v>
      </c>
      <c r="AN549" s="29" t="s">
        <v>43</v>
      </c>
    </row>
    <row r="550" spans="1:40" s="29" customFormat="1" x14ac:dyDescent="0.3">
      <c r="A550" s="29" t="s">
        <v>1710</v>
      </c>
      <c r="B550" s="29">
        <v>2354</v>
      </c>
      <c r="C550" s="29" t="str">
        <f>IF(Y550&lt;0, "Down", "Up")</f>
        <v>Up</v>
      </c>
      <c r="D550" s="30" t="str">
        <f>IF(AC550&lt;0.05, "Sig", "N")</f>
        <v>Sig</v>
      </c>
      <c r="E550" s="31" t="str">
        <f>IF(AND(H550&gt;2,J550&gt;2,L550&gt;2,N550&gt;2),"Y","N")</f>
        <v>Y</v>
      </c>
      <c r="F550" s="31" t="str">
        <f>IF(AND(P550&gt;2,R550&gt;2,T550&gt;2,V550&gt;2),"Y","N")</f>
        <v>Y</v>
      </c>
      <c r="G550" s="31" t="str">
        <f>IF(OR(E550="Y", F550="Y"), "Expressed", "N")</f>
        <v>Expressed</v>
      </c>
      <c r="H550" s="29">
        <v>14.379680138847579</v>
      </c>
      <c r="I550" s="29">
        <v>1506</v>
      </c>
      <c r="J550" s="29">
        <v>14.73659145791717</v>
      </c>
      <c r="K550" s="29">
        <v>3457</v>
      </c>
      <c r="L550" s="29">
        <v>19.387604147740539</v>
      </c>
      <c r="M550" s="29">
        <v>3527</v>
      </c>
      <c r="N550" s="29">
        <v>16.669843955548259</v>
      </c>
      <c r="O550" s="29">
        <v>1805</v>
      </c>
      <c r="P550" s="29">
        <v>8.0973562213915606</v>
      </c>
      <c r="Q550" s="29">
        <v>4574</v>
      </c>
      <c r="R550" s="29">
        <v>44.152456611908519</v>
      </c>
      <c r="S550" s="29">
        <v>2249</v>
      </c>
      <c r="T550" s="29">
        <v>36.746143806837139</v>
      </c>
      <c r="U550" s="29">
        <v>1299</v>
      </c>
      <c r="V550" s="29">
        <v>5.4953380315461997</v>
      </c>
      <c r="W550" s="29">
        <v>4309</v>
      </c>
      <c r="X550" s="29">
        <v>2593.5200572021458</v>
      </c>
      <c r="Y550" s="29">
        <v>0.38257079105963721</v>
      </c>
      <c r="Z550" s="29">
        <v>0.12078628221768239</v>
      </c>
      <c r="AA550" s="29">
        <v>3.1673364229405099</v>
      </c>
      <c r="AB550" s="29">
        <v>1.538422316654985E-3</v>
      </c>
      <c r="AC550" s="29">
        <v>3.9835502092602407E-2</v>
      </c>
      <c r="AD550" s="29" t="s">
        <v>1711</v>
      </c>
      <c r="AE550" s="29" t="s">
        <v>1712</v>
      </c>
      <c r="AF550" s="29" t="s">
        <v>1713</v>
      </c>
      <c r="AG550" s="29" t="s">
        <v>1714</v>
      </c>
      <c r="AH550" s="29" t="s">
        <v>43</v>
      </c>
      <c r="AI550" s="29" t="s">
        <v>43</v>
      </c>
      <c r="AJ550" s="29" t="s">
        <v>43</v>
      </c>
      <c r="AK550" s="29" t="s">
        <v>43</v>
      </c>
      <c r="AL550" s="29" t="s">
        <v>43</v>
      </c>
      <c r="AM550" s="29" t="s">
        <v>1715</v>
      </c>
      <c r="AN550" s="29" t="s">
        <v>43</v>
      </c>
    </row>
    <row r="551" spans="1:40" s="29" customFormat="1" x14ac:dyDescent="0.3">
      <c r="A551" s="29" t="s">
        <v>1722</v>
      </c>
      <c r="B551" s="29">
        <v>757</v>
      </c>
      <c r="C551" s="29" t="str">
        <f>IF(Y551&lt;0, "Down", "Up")</f>
        <v>Up</v>
      </c>
      <c r="D551" s="30" t="str">
        <f>IF(AC551&lt;0.05, "Sig", "N")</f>
        <v>Sig</v>
      </c>
      <c r="E551" s="31" t="str">
        <f>IF(AND(H551&gt;2,J551&gt;2,L551&gt;2,N551&gt;2),"Y","N")</f>
        <v>Y</v>
      </c>
      <c r="F551" s="31" t="str">
        <f>IF(AND(P551&gt;2,R551&gt;2,T551&gt;2,V551&gt;2),"Y","N")</f>
        <v>Y</v>
      </c>
      <c r="G551" s="31" t="str">
        <f>IF(OR(E551="Y", F551="Y"), "Expressed", "N")</f>
        <v>Expressed</v>
      </c>
      <c r="H551" s="29">
        <v>22.565679997406999</v>
      </c>
      <c r="I551" s="29">
        <v>760</v>
      </c>
      <c r="J551" s="29">
        <v>14.541689621102631</v>
      </c>
      <c r="K551" s="29">
        <v>1097</v>
      </c>
      <c r="L551" s="29">
        <v>25.623054244126209</v>
      </c>
      <c r="M551" s="29">
        <v>1499</v>
      </c>
      <c r="N551" s="29">
        <v>15.30707169197203</v>
      </c>
      <c r="O551" s="29">
        <v>533</v>
      </c>
      <c r="P551" s="29">
        <v>7.4353912686160966</v>
      </c>
      <c r="Q551" s="29">
        <v>1528</v>
      </c>
      <c r="R551" s="29">
        <v>45.866187848511707</v>
      </c>
      <c r="S551" s="29">
        <v>1380</v>
      </c>
      <c r="T551" s="29">
        <v>70.115168214721933</v>
      </c>
      <c r="U551" s="29">
        <v>1149</v>
      </c>
      <c r="V551" s="29">
        <v>15.115268588348579</v>
      </c>
      <c r="W551" s="29">
        <v>2109</v>
      </c>
      <c r="X551" s="29">
        <v>1291.584836534593</v>
      </c>
      <c r="Y551" s="29">
        <v>1.0042807281231021</v>
      </c>
      <c r="Z551" s="29">
        <v>0.28454712974170537</v>
      </c>
      <c r="AA551" s="29">
        <v>3.5294003107138252</v>
      </c>
      <c r="AB551" s="29">
        <v>4.1650258953162812E-4</v>
      </c>
      <c r="AC551" s="29">
        <v>1.7095406634907551E-2</v>
      </c>
      <c r="AD551" s="29" t="s">
        <v>1723</v>
      </c>
      <c r="AE551" s="29" t="s">
        <v>1724</v>
      </c>
      <c r="AF551" s="29" t="s">
        <v>1725</v>
      </c>
      <c r="AG551" s="29" t="s">
        <v>1726</v>
      </c>
      <c r="AH551" s="29" t="s">
        <v>43</v>
      </c>
      <c r="AI551" s="29" t="s">
        <v>43</v>
      </c>
      <c r="AJ551" s="29" t="s">
        <v>43</v>
      </c>
      <c r="AK551" s="29" t="s">
        <v>43</v>
      </c>
      <c r="AL551" s="29" t="s">
        <v>43</v>
      </c>
      <c r="AM551" s="29" t="s">
        <v>1727</v>
      </c>
      <c r="AN551" s="29" t="s">
        <v>43</v>
      </c>
    </row>
    <row r="552" spans="1:40" s="29" customFormat="1" x14ac:dyDescent="0.3">
      <c r="A552" s="29" t="s">
        <v>1728</v>
      </c>
      <c r="B552" s="29">
        <v>2124</v>
      </c>
      <c r="C552" s="29" t="str">
        <f>IF(Y552&lt;0, "Down", "Up")</f>
        <v>Up</v>
      </c>
      <c r="D552" s="30" t="str">
        <f>IF(AC552&lt;0.05, "Sig", "N")</f>
        <v>Sig</v>
      </c>
      <c r="E552" s="31" t="str">
        <f>IF(AND(H552&gt;2,J552&gt;2,L552&gt;2,N552&gt;2),"Y","N")</f>
        <v>Y</v>
      </c>
      <c r="F552" s="31" t="str">
        <f>IF(AND(P552&gt;2,R552&gt;2,T552&gt;2,V552&gt;2),"Y","N")</f>
        <v>Y</v>
      </c>
      <c r="G552" s="31" t="str">
        <f>IF(OR(E552="Y", F552="Y"), "Expressed", "N")</f>
        <v>Expressed</v>
      </c>
      <c r="H552" s="29">
        <v>13.66162758178827</v>
      </c>
      <c r="I552" s="29">
        <v>1291</v>
      </c>
      <c r="J552" s="29">
        <v>14.48038434187505</v>
      </c>
      <c r="K552" s="29">
        <v>3065</v>
      </c>
      <c r="L552" s="29">
        <v>15.57153691680387</v>
      </c>
      <c r="M552" s="29">
        <v>2556</v>
      </c>
      <c r="N552" s="29">
        <v>12.6919385136723</v>
      </c>
      <c r="O552" s="29">
        <v>1240</v>
      </c>
      <c r="P552" s="29">
        <v>6.1650935401226734</v>
      </c>
      <c r="Q552" s="29">
        <v>3357</v>
      </c>
      <c r="R552" s="29">
        <v>35.913852901470896</v>
      </c>
      <c r="S552" s="29">
        <v>2150</v>
      </c>
      <c r="T552" s="29">
        <v>38.932538424858308</v>
      </c>
      <c r="U552" s="29">
        <v>1273</v>
      </c>
      <c r="V552" s="29">
        <v>5.9685056698433341</v>
      </c>
      <c r="W552" s="29">
        <v>3946</v>
      </c>
      <c r="X552" s="29">
        <v>2202.318062841437</v>
      </c>
      <c r="Y552" s="29">
        <v>0.57818964117839833</v>
      </c>
      <c r="Z552" s="29">
        <v>0.15490647131367299</v>
      </c>
      <c r="AA552" s="29">
        <v>3.7325079854644132</v>
      </c>
      <c r="AB552" s="29">
        <v>1.8958268465867699E-4</v>
      </c>
      <c r="AC552" s="29">
        <v>1.039933603410776E-2</v>
      </c>
      <c r="AD552" s="29" t="s">
        <v>1729</v>
      </c>
      <c r="AE552" s="29" t="s">
        <v>1730</v>
      </c>
      <c r="AF552" s="29" t="s">
        <v>1731</v>
      </c>
      <c r="AG552" s="29" t="s">
        <v>1687</v>
      </c>
      <c r="AH552" s="29" t="s">
        <v>43</v>
      </c>
      <c r="AI552" s="29" t="s">
        <v>43</v>
      </c>
      <c r="AJ552" s="29" t="s">
        <v>43</v>
      </c>
      <c r="AK552" s="29" t="s">
        <v>43</v>
      </c>
      <c r="AL552" s="29" t="s">
        <v>43</v>
      </c>
      <c r="AM552" s="29" t="s">
        <v>1688</v>
      </c>
      <c r="AN552" s="29" t="s">
        <v>43</v>
      </c>
    </row>
    <row r="553" spans="1:40" s="29" customFormat="1" x14ac:dyDescent="0.3">
      <c r="A553" s="29" t="s">
        <v>1770</v>
      </c>
      <c r="B553" s="29">
        <v>4474</v>
      </c>
      <c r="C553" s="29" t="str">
        <f>IF(Y553&lt;0, "Down", "Up")</f>
        <v>Up</v>
      </c>
      <c r="D553" s="30" t="str">
        <f>IF(AC553&lt;0.05, "Sig", "N")</f>
        <v>Sig</v>
      </c>
      <c r="E553" s="31" t="str">
        <f>IF(AND(H553&gt;2,J553&gt;2,L553&gt;2,N553&gt;2),"Y","N")</f>
        <v>Y</v>
      </c>
      <c r="F553" s="31" t="str">
        <f>IF(AND(P553&gt;2,R553&gt;2,T553&gt;2,V553&gt;2),"Y","N")</f>
        <v>Y</v>
      </c>
      <c r="G553" s="31" t="str">
        <f>IF(OR(E553="Y", F553="Y"), "Expressed", "N")</f>
        <v>Expressed</v>
      </c>
      <c r="H553" s="29">
        <v>12.47918790407858</v>
      </c>
      <c r="I553" s="29">
        <v>2484</v>
      </c>
      <c r="J553" s="29">
        <v>13.8274222095478</v>
      </c>
      <c r="K553" s="29">
        <v>6165</v>
      </c>
      <c r="L553" s="29">
        <v>16.88469630068489</v>
      </c>
      <c r="M553" s="29">
        <v>5838</v>
      </c>
      <c r="N553" s="29">
        <v>15.37450994693687</v>
      </c>
      <c r="O553" s="29">
        <v>3164</v>
      </c>
      <c r="P553" s="29">
        <v>7.468149318112868</v>
      </c>
      <c r="Q553" s="29">
        <v>8237</v>
      </c>
      <c r="R553" s="29">
        <v>41.834853924229549</v>
      </c>
      <c r="S553" s="29">
        <v>3564</v>
      </c>
      <c r="T553" s="29">
        <v>30.638710918247881</v>
      </c>
      <c r="U553" s="29">
        <v>2312</v>
      </c>
      <c r="V553" s="29">
        <v>5.1461633736883936</v>
      </c>
      <c r="W553" s="29">
        <v>8067</v>
      </c>
      <c r="X553" s="29">
        <v>4496.6005094074062</v>
      </c>
      <c r="Y553" s="29">
        <v>0.4154762225888643</v>
      </c>
      <c r="Z553" s="29">
        <v>0.11081580139937069</v>
      </c>
      <c r="AA553" s="29">
        <v>3.749250714629798</v>
      </c>
      <c r="AB553" s="29">
        <v>1.7736370296045001E-4</v>
      </c>
      <c r="AC553" s="29">
        <v>9.9130795872126674E-3</v>
      </c>
      <c r="AD553" s="29" t="s">
        <v>1771</v>
      </c>
      <c r="AE553" s="29" t="s">
        <v>1772</v>
      </c>
      <c r="AF553" s="29" t="s">
        <v>43</v>
      </c>
      <c r="AG553" s="29" t="s">
        <v>1773</v>
      </c>
      <c r="AH553" s="29" t="s">
        <v>43</v>
      </c>
      <c r="AI553" s="29" t="s">
        <v>43</v>
      </c>
      <c r="AJ553" s="29" t="s">
        <v>43</v>
      </c>
      <c r="AK553" s="29" t="s">
        <v>43</v>
      </c>
      <c r="AL553" s="29" t="s">
        <v>43</v>
      </c>
      <c r="AM553" s="29" t="s">
        <v>1774</v>
      </c>
      <c r="AN553" s="29" t="s">
        <v>43</v>
      </c>
    </row>
    <row r="554" spans="1:40" s="29" customFormat="1" x14ac:dyDescent="0.3">
      <c r="A554" s="29" t="s">
        <v>1775</v>
      </c>
      <c r="B554" s="29">
        <v>2938</v>
      </c>
      <c r="C554" s="29" t="str">
        <f>IF(Y554&lt;0, "Down", "Up")</f>
        <v>Up</v>
      </c>
      <c r="D554" s="30" t="str">
        <f>IF(AC554&lt;0.05, "Sig", "N")</f>
        <v>Sig</v>
      </c>
      <c r="E554" s="31" t="str">
        <f>IF(AND(H554&gt;2,J554&gt;2,L554&gt;2,N554&gt;2),"Y","N")</f>
        <v>Y</v>
      </c>
      <c r="F554" s="31" t="str">
        <f>IF(AND(P554&gt;2,R554&gt;2,T554&gt;2,V554&gt;2),"Y","N")</f>
        <v>Y</v>
      </c>
      <c r="G554" s="31" t="str">
        <f>IF(OR(E554="Y", F554="Y"), "Expressed", "N")</f>
        <v>Expressed</v>
      </c>
      <c r="H554" s="29">
        <v>13.56399610861299</v>
      </c>
      <c r="I554" s="29">
        <v>1773</v>
      </c>
      <c r="J554" s="29">
        <v>13.733663569312879</v>
      </c>
      <c r="K554" s="29">
        <v>4021</v>
      </c>
      <c r="L554" s="29">
        <v>18.189610641125991</v>
      </c>
      <c r="M554" s="29">
        <v>4130</v>
      </c>
      <c r="N554" s="29">
        <v>14.333050003757339</v>
      </c>
      <c r="O554" s="29">
        <v>1937</v>
      </c>
      <c r="P554" s="29">
        <v>6.9622614302164676</v>
      </c>
      <c r="Q554" s="29">
        <v>5590</v>
      </c>
      <c r="R554" s="29">
        <v>43.23397699163997</v>
      </c>
      <c r="S554" s="29">
        <v>2069</v>
      </c>
      <c r="T554" s="29">
        <v>27.08553838716286</v>
      </c>
      <c r="U554" s="29">
        <v>1746</v>
      </c>
      <c r="V554" s="29">
        <v>5.9181254570462194</v>
      </c>
      <c r="W554" s="29">
        <v>5914</v>
      </c>
      <c r="X554" s="29">
        <v>3051.4644501039452</v>
      </c>
      <c r="Y554" s="29">
        <v>0.45380760690338551</v>
      </c>
      <c r="Z554" s="29">
        <v>0.1196547263541467</v>
      </c>
      <c r="AA554" s="29">
        <v>3.7926425535438821</v>
      </c>
      <c r="AB554" s="29">
        <v>1.4905263359237301E-4</v>
      </c>
      <c r="AC554" s="29">
        <v>8.8115422435509037E-3</v>
      </c>
      <c r="AD554" s="29" t="s">
        <v>1776</v>
      </c>
      <c r="AE554" s="29" t="s">
        <v>1777</v>
      </c>
      <c r="AF554" s="29" t="s">
        <v>43</v>
      </c>
      <c r="AG554" s="29" t="s">
        <v>1483</v>
      </c>
      <c r="AH554" s="29" t="s">
        <v>43</v>
      </c>
      <c r="AI554" s="29" t="s">
        <v>43</v>
      </c>
      <c r="AJ554" s="29" t="s">
        <v>43</v>
      </c>
      <c r="AK554" s="29" t="s">
        <v>43</v>
      </c>
      <c r="AL554" s="29" t="s">
        <v>43</v>
      </c>
      <c r="AM554" s="29" t="s">
        <v>1484</v>
      </c>
      <c r="AN554" s="29" t="s">
        <v>43</v>
      </c>
    </row>
    <row r="555" spans="1:40" s="29" customFormat="1" x14ac:dyDescent="0.3">
      <c r="A555" s="29" t="s">
        <v>1790</v>
      </c>
      <c r="B555" s="29">
        <v>2124</v>
      </c>
      <c r="C555" s="29" t="str">
        <f>IF(Y555&lt;0, "Down", "Up")</f>
        <v>Up</v>
      </c>
      <c r="D555" s="30" t="str">
        <f>IF(AC555&lt;0.05, "Sig", "N")</f>
        <v>Sig</v>
      </c>
      <c r="E555" s="31" t="str">
        <f>IF(AND(H555&gt;2,J555&gt;2,L555&gt;2,N555&gt;2),"Y","N")</f>
        <v>Y</v>
      </c>
      <c r="F555" s="31" t="str">
        <f>IF(AND(P555&gt;2,R555&gt;2,T555&gt;2,V555&gt;2),"Y","N")</f>
        <v>Y</v>
      </c>
      <c r="G555" s="31" t="str">
        <f>IF(OR(E555="Y", F555="Y"), "Expressed", "N")</f>
        <v>Expressed</v>
      </c>
      <c r="H555" s="29">
        <v>11.5240220267757</v>
      </c>
      <c r="I555" s="29">
        <v>1089</v>
      </c>
      <c r="J555" s="29">
        <v>13.568568949385041</v>
      </c>
      <c r="K555" s="29">
        <v>2872</v>
      </c>
      <c r="L555" s="29">
        <v>16.180751976146741</v>
      </c>
      <c r="M555" s="29">
        <v>2656</v>
      </c>
      <c r="N555" s="29">
        <v>13.920190627898659</v>
      </c>
      <c r="O555" s="29">
        <v>1360</v>
      </c>
      <c r="P555" s="29">
        <v>6.7617154956184162</v>
      </c>
      <c r="Q555" s="29">
        <v>3602</v>
      </c>
      <c r="R555" s="29">
        <v>38.534911573160009</v>
      </c>
      <c r="S555" s="29">
        <v>1312</v>
      </c>
      <c r="T555" s="29">
        <v>23.75790251786702</v>
      </c>
      <c r="U555" s="29">
        <v>1096</v>
      </c>
      <c r="V555" s="29">
        <v>5.1386348893545124</v>
      </c>
      <c r="W555" s="29">
        <v>4249</v>
      </c>
      <c r="X555" s="29">
        <v>2018.5046499387429</v>
      </c>
      <c r="Y555" s="29">
        <v>0.42543835140700909</v>
      </c>
      <c r="Z555" s="29">
        <v>0.13820703293706529</v>
      </c>
      <c r="AA555" s="29">
        <v>3.078268466994289</v>
      </c>
      <c r="AB555" s="29">
        <v>2.0820725135652141E-3</v>
      </c>
      <c r="AC555" s="29">
        <v>4.7518481159384902E-2</v>
      </c>
      <c r="AD555" s="29" t="s">
        <v>1791</v>
      </c>
      <c r="AE555" s="29" t="s">
        <v>1792</v>
      </c>
      <c r="AF555" s="29" t="s">
        <v>1793</v>
      </c>
      <c r="AG555" s="29" t="s">
        <v>388</v>
      </c>
      <c r="AH555" s="29" t="s">
        <v>43</v>
      </c>
      <c r="AI555" s="29" t="s">
        <v>43</v>
      </c>
      <c r="AJ555" s="29" t="s">
        <v>43</v>
      </c>
      <c r="AK555" s="29" t="s">
        <v>43</v>
      </c>
      <c r="AL555" s="29" t="s">
        <v>43</v>
      </c>
      <c r="AM555" s="29" t="s">
        <v>389</v>
      </c>
      <c r="AN555" s="29" t="s">
        <v>43</v>
      </c>
    </row>
    <row r="556" spans="1:40" s="29" customFormat="1" x14ac:dyDescent="0.3">
      <c r="A556" s="29" t="s">
        <v>1815</v>
      </c>
      <c r="B556" s="29">
        <v>2936</v>
      </c>
      <c r="C556" s="29" t="str">
        <f>IF(Y556&lt;0, "Down", "Up")</f>
        <v>Up</v>
      </c>
      <c r="D556" s="30" t="str">
        <f>IF(AC556&lt;0.05, "Sig", "N")</f>
        <v>Sig</v>
      </c>
      <c r="E556" s="31" t="str">
        <f>IF(AND(H556&gt;2,J556&gt;2,L556&gt;2,N556&gt;2),"Y","N")</f>
        <v>Y</v>
      </c>
      <c r="F556" s="31" t="str">
        <f>IF(AND(P556&gt;2,R556&gt;2,T556&gt;2,V556&gt;2),"Y","N")</f>
        <v>Y</v>
      </c>
      <c r="G556" s="31" t="str">
        <f>IF(OR(E556="Y", F556="Y"), "Expressed", "N")</f>
        <v>Expressed</v>
      </c>
      <c r="H556" s="29">
        <v>12.570362847185979</v>
      </c>
      <c r="I556" s="29">
        <v>1642</v>
      </c>
      <c r="J556" s="29">
        <v>13.414909048600681</v>
      </c>
      <c r="K556" s="29">
        <v>3925</v>
      </c>
      <c r="L556" s="29">
        <v>14.477863086360401</v>
      </c>
      <c r="M556" s="29">
        <v>3285</v>
      </c>
      <c r="N556" s="29">
        <v>12.32874793334731</v>
      </c>
      <c r="O556" s="29">
        <v>1665</v>
      </c>
      <c r="P556" s="29">
        <v>5.9886741619336794</v>
      </c>
      <c r="Q556" s="29">
        <v>4406</v>
      </c>
      <c r="R556" s="29">
        <v>34.099939795709602</v>
      </c>
      <c r="S556" s="29">
        <v>1868</v>
      </c>
      <c r="T556" s="29">
        <v>24.470880377621409</v>
      </c>
      <c r="U556" s="29">
        <v>1511</v>
      </c>
      <c r="V556" s="29">
        <v>5.1250739072967697</v>
      </c>
      <c r="W556" s="29">
        <v>5331</v>
      </c>
      <c r="X556" s="29">
        <v>2665.2016291175892</v>
      </c>
      <c r="Y556" s="29">
        <v>0.41341335043915611</v>
      </c>
      <c r="Z556" s="29">
        <v>0.124604574527429</v>
      </c>
      <c r="AA556" s="29">
        <v>3.317802352016797</v>
      </c>
      <c r="AB556" s="29">
        <v>9.0728660653713452E-4</v>
      </c>
      <c r="AC556" s="29">
        <v>2.894746282287575E-2</v>
      </c>
      <c r="AD556" s="29" t="s">
        <v>1816</v>
      </c>
      <c r="AE556" s="29" t="s">
        <v>1817</v>
      </c>
      <c r="AF556" s="29" t="s">
        <v>43</v>
      </c>
      <c r="AG556" s="29" t="s">
        <v>1818</v>
      </c>
      <c r="AH556" s="29" t="s">
        <v>43</v>
      </c>
      <c r="AI556" s="29" t="s">
        <v>43</v>
      </c>
      <c r="AJ556" s="29" t="s">
        <v>43</v>
      </c>
      <c r="AK556" s="29" t="s">
        <v>43</v>
      </c>
      <c r="AL556" s="29" t="s">
        <v>43</v>
      </c>
      <c r="AM556" s="29" t="s">
        <v>1819</v>
      </c>
      <c r="AN556" s="29" t="s">
        <v>43</v>
      </c>
    </row>
    <row r="557" spans="1:40" s="29" customFormat="1" x14ac:dyDescent="0.3">
      <c r="A557" s="29" t="s">
        <v>1826</v>
      </c>
      <c r="B557" s="29">
        <v>2728</v>
      </c>
      <c r="C557" s="29" t="str">
        <f>IF(Y557&lt;0, "Down", "Up")</f>
        <v>Up</v>
      </c>
      <c r="D557" s="30" t="str">
        <f>IF(AC557&lt;0.05, "Sig", "N")</f>
        <v>Sig</v>
      </c>
      <c r="E557" s="31" t="str">
        <f>IF(AND(H557&gt;2,J557&gt;2,L557&gt;2,N557&gt;2),"Y","N")</f>
        <v>Y</v>
      </c>
      <c r="F557" s="31" t="str">
        <f>IF(AND(P557&gt;2,R557&gt;2,T557&gt;2,V557&gt;2),"Y","N")</f>
        <v>Y</v>
      </c>
      <c r="G557" s="31" t="str">
        <f>IF(OR(E557="Y", F557="Y"), "Expressed", "N")</f>
        <v>Expressed</v>
      </c>
      <c r="H557" s="29">
        <v>12.04574649167032</v>
      </c>
      <c r="I557" s="29">
        <v>1462</v>
      </c>
      <c r="J557" s="29">
        <v>13.003168036802091</v>
      </c>
      <c r="K557" s="29">
        <v>3535</v>
      </c>
      <c r="L557" s="29">
        <v>15.90903491346212</v>
      </c>
      <c r="M557" s="29">
        <v>3354</v>
      </c>
      <c r="N557" s="29">
        <v>16.408646820564311</v>
      </c>
      <c r="O557" s="29">
        <v>2059</v>
      </c>
      <c r="P557" s="29">
        <v>7.9704800339712207</v>
      </c>
      <c r="Q557" s="29">
        <v>5551</v>
      </c>
      <c r="R557" s="29">
        <v>46.237253818637157</v>
      </c>
      <c r="S557" s="29">
        <v>1989</v>
      </c>
      <c r="T557" s="29">
        <v>28.042658971738341</v>
      </c>
      <c r="U557" s="29">
        <v>1411</v>
      </c>
      <c r="V557" s="29">
        <v>5.1507962079313527</v>
      </c>
      <c r="W557" s="29">
        <v>5128</v>
      </c>
      <c r="X557" s="29">
        <v>2744.182455975556</v>
      </c>
      <c r="Y557" s="29">
        <v>0.46511010276150588</v>
      </c>
      <c r="Z557" s="29">
        <v>0.1382280834208667</v>
      </c>
      <c r="AA557" s="29">
        <v>3.364801791726888</v>
      </c>
      <c r="AB557" s="29">
        <v>7.6598663721001931E-4</v>
      </c>
      <c r="AC557" s="29">
        <v>2.5723659200169429E-2</v>
      </c>
      <c r="AD557" s="29" t="s">
        <v>1827</v>
      </c>
      <c r="AE557" s="29" t="s">
        <v>1828</v>
      </c>
      <c r="AF557" s="29" t="s">
        <v>43</v>
      </c>
      <c r="AG557" s="29" t="s">
        <v>1829</v>
      </c>
      <c r="AH557" s="29" t="s">
        <v>43</v>
      </c>
      <c r="AI557" s="29" t="s">
        <v>43</v>
      </c>
      <c r="AJ557" s="29" t="s">
        <v>43</v>
      </c>
      <c r="AK557" s="29" t="s">
        <v>43</v>
      </c>
      <c r="AL557" s="29" t="s">
        <v>43</v>
      </c>
      <c r="AM557" s="29" t="s">
        <v>1830</v>
      </c>
      <c r="AN557" s="29" t="s">
        <v>43</v>
      </c>
    </row>
    <row r="558" spans="1:40" s="29" customFormat="1" x14ac:dyDescent="0.3">
      <c r="A558" s="29" t="s">
        <v>1831</v>
      </c>
      <c r="B558" s="29">
        <v>2313</v>
      </c>
      <c r="C558" s="29" t="str">
        <f>IF(Y558&lt;0, "Down", "Up")</f>
        <v>Up</v>
      </c>
      <c r="D558" s="30" t="str">
        <f>IF(AC558&lt;0.05, "Sig", "N")</f>
        <v>Sig</v>
      </c>
      <c r="E558" s="31" t="str">
        <f>IF(AND(H558&gt;2,J558&gt;2,L558&gt;2,N558&gt;2),"Y","N")</f>
        <v>Y</v>
      </c>
      <c r="F558" s="31" t="str">
        <f>IF(AND(P558&gt;2,R558&gt;2,T558&gt;2,V558&gt;2),"Y","N")</f>
        <v>Y</v>
      </c>
      <c r="G558" s="31" t="str">
        <f>IF(OR(E558="Y", F558="Y"), "Expressed", "N")</f>
        <v>Expressed</v>
      </c>
      <c r="H558" s="29">
        <v>12.331522557255941</v>
      </c>
      <c r="I558" s="29">
        <v>1269</v>
      </c>
      <c r="J558" s="29">
        <v>12.99347504525694</v>
      </c>
      <c r="K558" s="29">
        <v>2995</v>
      </c>
      <c r="L558" s="29">
        <v>17.616603126906149</v>
      </c>
      <c r="M558" s="29">
        <v>3149</v>
      </c>
      <c r="N558" s="29">
        <v>13.750847956378211</v>
      </c>
      <c r="O558" s="29">
        <v>1463</v>
      </c>
      <c r="P558" s="29">
        <v>6.6794575009761363</v>
      </c>
      <c r="Q558" s="29">
        <v>3813</v>
      </c>
      <c r="R558" s="29">
        <v>37.459014131272028</v>
      </c>
      <c r="S558" s="29">
        <v>1644</v>
      </c>
      <c r="T558" s="29">
        <v>27.337258145380911</v>
      </c>
      <c r="U558" s="29">
        <v>1163</v>
      </c>
      <c r="V558" s="29">
        <v>5.0072099492010356</v>
      </c>
      <c r="W558" s="29">
        <v>4235</v>
      </c>
      <c r="X558" s="29">
        <v>2212.145221065718</v>
      </c>
      <c r="Y558" s="29">
        <v>0.38322870347673399</v>
      </c>
      <c r="Z558" s="29">
        <v>0.1056112460439784</v>
      </c>
      <c r="AA558" s="29">
        <v>3.6286732505471129</v>
      </c>
      <c r="AB558" s="29">
        <v>2.8488153827654542E-4</v>
      </c>
      <c r="AC558" s="29">
        <v>1.3336968966206109E-2</v>
      </c>
      <c r="AD558" s="29" t="s">
        <v>1832</v>
      </c>
      <c r="AE558" s="29" t="s">
        <v>1833</v>
      </c>
      <c r="AF558" s="29" t="s">
        <v>1834</v>
      </c>
      <c r="AG558" s="29" t="s">
        <v>1835</v>
      </c>
      <c r="AH558" s="29" t="s">
        <v>43</v>
      </c>
      <c r="AI558" s="29" t="s">
        <v>43</v>
      </c>
      <c r="AJ558" s="29" t="s">
        <v>43</v>
      </c>
      <c r="AK558" s="29" t="s">
        <v>43</v>
      </c>
      <c r="AL558" s="29" t="s">
        <v>43</v>
      </c>
      <c r="AM558" s="29" t="s">
        <v>273</v>
      </c>
      <c r="AN558" s="29" t="s">
        <v>43</v>
      </c>
    </row>
    <row r="559" spans="1:40" s="29" customFormat="1" x14ac:dyDescent="0.3">
      <c r="A559" s="29" t="s">
        <v>1836</v>
      </c>
      <c r="B559" s="29">
        <v>3960</v>
      </c>
      <c r="C559" s="29" t="str">
        <f>IF(Y559&lt;0, "Down", "Up")</f>
        <v>Up</v>
      </c>
      <c r="D559" s="30" t="str">
        <f>IF(AC559&lt;0.05, "Sig", "N")</f>
        <v>Sig</v>
      </c>
      <c r="E559" s="31" t="str">
        <f>IF(AND(H559&gt;2,J559&gt;2,L559&gt;2,N559&gt;2),"Y","N")</f>
        <v>Y</v>
      </c>
      <c r="F559" s="31" t="str">
        <f>IF(AND(P559&gt;2,R559&gt;2,T559&gt;2,V559&gt;2),"Y","N")</f>
        <v>Y</v>
      </c>
      <c r="G559" s="31" t="str">
        <f>IF(OR(E559="Y", F559="Y"), "Expressed", "N")</f>
        <v>Expressed</v>
      </c>
      <c r="H559" s="29">
        <v>11.544801630730809</v>
      </c>
      <c r="I559" s="29">
        <v>2034</v>
      </c>
      <c r="J559" s="29">
        <v>12.98935357571003</v>
      </c>
      <c r="K559" s="29">
        <v>5126</v>
      </c>
      <c r="L559" s="29">
        <v>15.98840616695604</v>
      </c>
      <c r="M559" s="29">
        <v>4893</v>
      </c>
      <c r="N559" s="29">
        <v>14.21887921022188</v>
      </c>
      <c r="O559" s="29">
        <v>2590</v>
      </c>
      <c r="P559" s="29">
        <v>6.9068031075230616</v>
      </c>
      <c r="Q559" s="29">
        <v>6530</v>
      </c>
      <c r="R559" s="29">
        <v>37.469954524737162</v>
      </c>
      <c r="S559" s="29">
        <v>2620</v>
      </c>
      <c r="T559" s="29">
        <v>25.446899745093429</v>
      </c>
      <c r="U559" s="29">
        <v>1896</v>
      </c>
      <c r="V559" s="29">
        <v>4.7679848478994122</v>
      </c>
      <c r="W559" s="29">
        <v>6709</v>
      </c>
      <c r="X559" s="29">
        <v>3634.3197111517711</v>
      </c>
      <c r="Y559" s="29">
        <v>0.3576676207422943</v>
      </c>
      <c r="Z559" s="29">
        <v>0.11380164914782299</v>
      </c>
      <c r="AA559" s="29">
        <v>3.1429036698554409</v>
      </c>
      <c r="AB559" s="29">
        <v>1.672808814771566E-3</v>
      </c>
      <c r="AC559" s="29">
        <v>4.1965228584283747E-2</v>
      </c>
      <c r="AD559" s="29" t="s">
        <v>1837</v>
      </c>
      <c r="AE559" s="29" t="s">
        <v>1838</v>
      </c>
      <c r="AF559" s="29" t="s">
        <v>43</v>
      </c>
      <c r="AG559" s="29" t="s">
        <v>1839</v>
      </c>
      <c r="AH559" s="29" t="s">
        <v>43</v>
      </c>
      <c r="AI559" s="29" t="s">
        <v>43</v>
      </c>
      <c r="AJ559" s="29" t="s">
        <v>43</v>
      </c>
      <c r="AK559" s="29" t="s">
        <v>43</v>
      </c>
      <c r="AL559" s="29" t="s">
        <v>43</v>
      </c>
      <c r="AM559" s="29" t="s">
        <v>1840</v>
      </c>
      <c r="AN559" s="29" t="s">
        <v>43</v>
      </c>
    </row>
    <row r="560" spans="1:40" s="29" customFormat="1" x14ac:dyDescent="0.3">
      <c r="A560" s="29" t="s">
        <v>1846</v>
      </c>
      <c r="B560" s="29">
        <v>3948</v>
      </c>
      <c r="C560" s="29" t="str">
        <f>IF(Y560&lt;0, "Down", "Up")</f>
        <v>Up</v>
      </c>
      <c r="D560" s="30" t="str">
        <f>IF(AC560&lt;0.05, "Sig", "N")</f>
        <v>Sig</v>
      </c>
      <c r="E560" s="31" t="str">
        <f>IF(AND(H560&gt;2,J560&gt;2,L560&gt;2,N560&gt;2),"Y","N")</f>
        <v>Y</v>
      </c>
      <c r="F560" s="31" t="str">
        <f>IF(AND(P560&gt;2,R560&gt;2,T560&gt;2,V560&gt;2),"Y","N")</f>
        <v>Y</v>
      </c>
      <c r="G560" s="31" t="str">
        <f>IF(OR(E560="Y", F560="Y"), "Expressed", "N")</f>
        <v>Expressed</v>
      </c>
      <c r="H560" s="29">
        <v>13.76037339198251</v>
      </c>
      <c r="I560" s="29">
        <v>2417</v>
      </c>
      <c r="J560" s="29">
        <v>12.919541116662691</v>
      </c>
      <c r="K560" s="29">
        <v>5083</v>
      </c>
      <c r="L560" s="29">
        <v>19.150666131855729</v>
      </c>
      <c r="M560" s="29">
        <v>5843</v>
      </c>
      <c r="N560" s="29">
        <v>14.4713485421751</v>
      </c>
      <c r="O560" s="29">
        <v>2628</v>
      </c>
      <c r="P560" s="29">
        <v>7.0294397753439117</v>
      </c>
      <c r="Q560" s="29">
        <v>7625</v>
      </c>
      <c r="R560" s="29">
        <v>43.886189563655179</v>
      </c>
      <c r="S560" s="29">
        <v>2908</v>
      </c>
      <c r="T560" s="29">
        <v>28.329964583147479</v>
      </c>
      <c r="U560" s="29">
        <v>2137</v>
      </c>
      <c r="V560" s="29">
        <v>5.390376467795174</v>
      </c>
      <c r="W560" s="29">
        <v>7010</v>
      </c>
      <c r="X560" s="29">
        <v>4010.744841662839</v>
      </c>
      <c r="Y560" s="29">
        <v>0.38627165870878299</v>
      </c>
      <c r="Z560" s="29">
        <v>0.11312614148584479</v>
      </c>
      <c r="AA560" s="29">
        <v>3.4145216449119</v>
      </c>
      <c r="AB560" s="29">
        <v>6.3894116610506869E-4</v>
      </c>
      <c r="AC560" s="29">
        <v>2.2992156847878292E-2</v>
      </c>
      <c r="AD560" s="29" t="s">
        <v>1847</v>
      </c>
      <c r="AE560" s="29" t="s">
        <v>1848</v>
      </c>
      <c r="AF560" s="29" t="s">
        <v>43</v>
      </c>
      <c r="AG560" s="29" t="s">
        <v>1849</v>
      </c>
      <c r="AH560" s="29" t="s">
        <v>43</v>
      </c>
      <c r="AI560" s="29" t="s">
        <v>43</v>
      </c>
      <c r="AJ560" s="29" t="s">
        <v>43</v>
      </c>
      <c r="AK560" s="29" t="s">
        <v>43</v>
      </c>
      <c r="AL560" s="29" t="s">
        <v>43</v>
      </c>
      <c r="AM560" s="29" t="s">
        <v>1850</v>
      </c>
      <c r="AN560" s="29" t="s">
        <v>43</v>
      </c>
    </row>
    <row r="561" spans="1:40" s="29" customFormat="1" x14ac:dyDescent="0.3">
      <c r="A561" s="29" t="s">
        <v>1867</v>
      </c>
      <c r="B561" s="29">
        <v>3853</v>
      </c>
      <c r="C561" s="29" t="str">
        <f>IF(Y561&lt;0, "Down", "Up")</f>
        <v>Up</v>
      </c>
      <c r="D561" s="30" t="str">
        <f>IF(AC561&lt;0.05, "Sig", "N")</f>
        <v>Sig</v>
      </c>
      <c r="E561" s="31" t="str">
        <f>IF(AND(H561&gt;2,J561&gt;2,L561&gt;2,N561&gt;2),"Y","N")</f>
        <v>Y</v>
      </c>
      <c r="F561" s="31" t="str">
        <f>IF(AND(P561&gt;2,R561&gt;2,T561&gt;2,V561&gt;2),"Y","N")</f>
        <v>Y</v>
      </c>
      <c r="G561" s="31" t="str">
        <f>IF(OR(E561="Y", F561="Y"), "Expressed", "N")</f>
        <v>Expressed</v>
      </c>
      <c r="H561" s="29">
        <v>11.754570195624989</v>
      </c>
      <c r="I561" s="29">
        <v>2015</v>
      </c>
      <c r="J561" s="29">
        <v>12.5817818592568</v>
      </c>
      <c r="K561" s="29">
        <v>4831</v>
      </c>
      <c r="L561" s="29">
        <v>15.82455169436953</v>
      </c>
      <c r="M561" s="29">
        <v>4712</v>
      </c>
      <c r="N561" s="29">
        <v>12.15367102428525</v>
      </c>
      <c r="O561" s="29">
        <v>2154</v>
      </c>
      <c r="P561" s="29">
        <v>5.9036307684504497</v>
      </c>
      <c r="Q561" s="29">
        <v>5523</v>
      </c>
      <c r="R561" s="29">
        <v>32.571758408133213</v>
      </c>
      <c r="S561" s="29">
        <v>2738</v>
      </c>
      <c r="T561" s="29">
        <v>27.331483700435729</v>
      </c>
      <c r="U561" s="29">
        <v>1618</v>
      </c>
      <c r="V561" s="29">
        <v>4.1818767386376754</v>
      </c>
      <c r="W561" s="29">
        <v>6058</v>
      </c>
      <c r="X561" s="29">
        <v>3332.0243687460879</v>
      </c>
      <c r="Y561" s="29">
        <v>0.32706023975562742</v>
      </c>
      <c r="Z561" s="29">
        <v>9.9404218183598583E-2</v>
      </c>
      <c r="AA561" s="29">
        <v>3.2902048397136481</v>
      </c>
      <c r="AB561" s="29">
        <v>1.001144732041697E-3</v>
      </c>
      <c r="AC561" s="29">
        <v>3.081909343089817E-2</v>
      </c>
      <c r="AD561" s="29" t="s">
        <v>1868</v>
      </c>
      <c r="AE561" s="29" t="s">
        <v>1869</v>
      </c>
      <c r="AF561" s="29" t="s">
        <v>43</v>
      </c>
      <c r="AG561" s="29" t="s">
        <v>1870</v>
      </c>
      <c r="AH561" s="29" t="s">
        <v>43</v>
      </c>
      <c r="AI561" s="29" t="s">
        <v>43</v>
      </c>
      <c r="AJ561" s="29" t="s">
        <v>43</v>
      </c>
      <c r="AK561" s="29" t="s">
        <v>43</v>
      </c>
      <c r="AL561" s="29" t="s">
        <v>43</v>
      </c>
      <c r="AM561" s="29" t="s">
        <v>1871</v>
      </c>
      <c r="AN561" s="29" t="s">
        <v>43</v>
      </c>
    </row>
    <row r="562" spans="1:40" s="29" customFormat="1" x14ac:dyDescent="0.3">
      <c r="A562" s="29" t="s">
        <v>1872</v>
      </c>
      <c r="B562" s="29">
        <v>3204</v>
      </c>
      <c r="C562" s="29" t="str">
        <f>IF(Y562&lt;0, "Down", "Up")</f>
        <v>Up</v>
      </c>
      <c r="D562" s="30" t="str">
        <f>IF(AC562&lt;0.05, "Sig", "N")</f>
        <v>Sig</v>
      </c>
      <c r="E562" s="31" t="str">
        <f>IF(AND(H562&gt;2,J562&gt;2,L562&gt;2,N562&gt;2),"Y","N")</f>
        <v>Y</v>
      </c>
      <c r="F562" s="31" t="str">
        <f>IF(AND(P562&gt;2,R562&gt;2,T562&gt;2,V562&gt;2),"Y","N")</f>
        <v>Y</v>
      </c>
      <c r="G562" s="31" t="str">
        <f>IF(OR(E562="Y", F562="Y"), "Expressed", "N")</f>
        <v>Expressed</v>
      </c>
      <c r="H562" s="29">
        <v>9.4774947816496322</v>
      </c>
      <c r="I562" s="29">
        <v>1351</v>
      </c>
      <c r="J562" s="29">
        <v>12.580950309501659</v>
      </c>
      <c r="K562" s="29">
        <v>4017</v>
      </c>
      <c r="L562" s="29">
        <v>15.205391821025779</v>
      </c>
      <c r="M562" s="29">
        <v>3765</v>
      </c>
      <c r="N562" s="29">
        <v>11.65712460694864</v>
      </c>
      <c r="O562" s="29">
        <v>1718</v>
      </c>
      <c r="P562" s="29">
        <v>5.662433956269612</v>
      </c>
      <c r="Q562" s="29">
        <v>5260</v>
      </c>
      <c r="R562" s="29">
        <v>37.304258113827153</v>
      </c>
      <c r="S562" s="29">
        <v>2087</v>
      </c>
      <c r="T562" s="29">
        <v>25.052940966125309</v>
      </c>
      <c r="U562" s="29">
        <v>1351</v>
      </c>
      <c r="V562" s="29">
        <v>4.1990839866681577</v>
      </c>
      <c r="W562" s="29">
        <v>5373</v>
      </c>
      <c r="X562" s="29">
        <v>2735.095023558084</v>
      </c>
      <c r="Y562" s="29">
        <v>0.46605222019787967</v>
      </c>
      <c r="Z562" s="29">
        <v>0.1300975378621492</v>
      </c>
      <c r="AA562" s="29">
        <v>3.5823292881353881</v>
      </c>
      <c r="AB562" s="29">
        <v>3.4054415379756997E-4</v>
      </c>
      <c r="AC562" s="29">
        <v>1.489860237875266E-2</v>
      </c>
      <c r="AD562" s="29" t="s">
        <v>1873</v>
      </c>
      <c r="AE562" s="29" t="s">
        <v>1874</v>
      </c>
      <c r="AF562" s="29" t="s">
        <v>43</v>
      </c>
      <c r="AG562" s="29" t="s">
        <v>1875</v>
      </c>
      <c r="AH562" s="29" t="s">
        <v>43</v>
      </c>
      <c r="AI562" s="29" t="s">
        <v>43</v>
      </c>
      <c r="AJ562" s="29" t="s">
        <v>43</v>
      </c>
      <c r="AK562" s="29" t="s">
        <v>43</v>
      </c>
      <c r="AL562" s="29" t="s">
        <v>43</v>
      </c>
      <c r="AM562" s="29" t="s">
        <v>1850</v>
      </c>
      <c r="AN562" s="29" t="s">
        <v>43</v>
      </c>
    </row>
    <row r="563" spans="1:40" s="29" customFormat="1" x14ac:dyDescent="0.3">
      <c r="A563" s="29" t="s">
        <v>1876</v>
      </c>
      <c r="B563" s="29">
        <v>1522</v>
      </c>
      <c r="C563" s="29" t="str">
        <f>IF(Y563&lt;0, "Down", "Up")</f>
        <v>Up</v>
      </c>
      <c r="D563" s="30" t="str">
        <f>IF(AC563&lt;0.05, "Sig", "N")</f>
        <v>Sig</v>
      </c>
      <c r="E563" s="31" t="str">
        <f>IF(AND(H563&gt;2,J563&gt;2,L563&gt;2,N563&gt;2),"Y","N")</f>
        <v>Y</v>
      </c>
      <c r="F563" s="31" t="str">
        <f>IF(AND(P563&gt;2,R563&gt;2,T563&gt;2,V563&gt;2),"Y","N")</f>
        <v>Y</v>
      </c>
      <c r="G563" s="31" t="str">
        <f>IF(OR(E563="Y", F563="Y"), "Expressed", "N")</f>
        <v>Expressed</v>
      </c>
      <c r="H563" s="29">
        <v>11.400748368840031</v>
      </c>
      <c r="I563" s="29">
        <v>772</v>
      </c>
      <c r="J563" s="29">
        <v>12.57962922076174</v>
      </c>
      <c r="K563" s="29">
        <v>1908</v>
      </c>
      <c r="L563" s="29">
        <v>18.20233728594463</v>
      </c>
      <c r="M563" s="29">
        <v>2141</v>
      </c>
      <c r="N563" s="29">
        <v>13.683955190598271</v>
      </c>
      <c r="O563" s="29">
        <v>958</v>
      </c>
      <c r="P563" s="29">
        <v>6.6469644221807549</v>
      </c>
      <c r="Q563" s="29">
        <v>2337</v>
      </c>
      <c r="R563" s="29">
        <v>34.89066368587622</v>
      </c>
      <c r="S563" s="29">
        <v>1424</v>
      </c>
      <c r="T563" s="29">
        <v>35.985215701159497</v>
      </c>
      <c r="U563" s="29">
        <v>782</v>
      </c>
      <c r="V563" s="29">
        <v>5.116627729373918</v>
      </c>
      <c r="W563" s="29">
        <v>2793</v>
      </c>
      <c r="X563" s="29">
        <v>1499.0243898385479</v>
      </c>
      <c r="Y563" s="29">
        <v>0.49952370804729218</v>
      </c>
      <c r="Z563" s="29">
        <v>0.1510276970799373</v>
      </c>
      <c r="AA563" s="29">
        <v>3.3074973511838679</v>
      </c>
      <c r="AB563" s="29">
        <v>9.4133602085248117E-4</v>
      </c>
      <c r="AC563" s="29">
        <v>2.9516002924395698E-2</v>
      </c>
      <c r="AD563" s="29" t="s">
        <v>1877</v>
      </c>
      <c r="AE563" s="29" t="s">
        <v>1878</v>
      </c>
      <c r="AF563" s="29" t="s">
        <v>1879</v>
      </c>
      <c r="AG563" s="29" t="s">
        <v>1880</v>
      </c>
      <c r="AH563" s="29" t="s">
        <v>991</v>
      </c>
      <c r="AI563" s="29" t="s">
        <v>1881</v>
      </c>
      <c r="AK563" s="29" t="s">
        <v>1017</v>
      </c>
      <c r="AL563" s="29" t="s">
        <v>1882</v>
      </c>
      <c r="AM563" s="29" t="s">
        <v>1883</v>
      </c>
      <c r="AN563" s="29" t="s">
        <v>43</v>
      </c>
    </row>
    <row r="564" spans="1:40" s="29" customFormat="1" x14ac:dyDescent="0.3">
      <c r="A564" s="29" t="s">
        <v>1927</v>
      </c>
      <c r="B564" s="29">
        <v>2227</v>
      </c>
      <c r="C564" s="29" t="str">
        <f>IF(Y564&lt;0, "Down", "Up")</f>
        <v>Up</v>
      </c>
      <c r="D564" s="30" t="str">
        <f>IF(AC564&lt;0.05, "Sig", "N")</f>
        <v>Sig</v>
      </c>
      <c r="E564" s="31" t="str">
        <f>IF(AND(H564&gt;2,J564&gt;2,L564&gt;2,N564&gt;2),"Y","N")</f>
        <v>Y</v>
      </c>
      <c r="F564" s="31" t="str">
        <f>IF(AND(P564&gt;2,R564&gt;2,T564&gt;2,V564&gt;2),"Y","N")</f>
        <v>Y</v>
      </c>
      <c r="G564" s="31" t="str">
        <f>IF(OR(E564="Y", F564="Y"), "Expressed", "N")</f>
        <v>Expressed</v>
      </c>
      <c r="H564" s="29">
        <v>11.21307054048355</v>
      </c>
      <c r="I564" s="29">
        <v>1111</v>
      </c>
      <c r="J564" s="29">
        <v>12.24259672982717</v>
      </c>
      <c r="K564" s="29">
        <v>2717</v>
      </c>
      <c r="L564" s="29">
        <v>16.04828394725757</v>
      </c>
      <c r="M564" s="29">
        <v>2762</v>
      </c>
      <c r="N564" s="29">
        <v>13.334946236276419</v>
      </c>
      <c r="O564" s="29">
        <v>1366</v>
      </c>
      <c r="P564" s="29">
        <v>6.4774337513997136</v>
      </c>
      <c r="Q564" s="29">
        <v>3549</v>
      </c>
      <c r="R564" s="29">
        <v>36.211870032260137</v>
      </c>
      <c r="S564" s="29">
        <v>1501</v>
      </c>
      <c r="T564" s="29">
        <v>25.923238089245721</v>
      </c>
      <c r="U564" s="29">
        <v>1122</v>
      </c>
      <c r="V564" s="29">
        <v>5.0172340316576092</v>
      </c>
      <c r="W564" s="29">
        <v>3604</v>
      </c>
      <c r="X564" s="29">
        <v>2009.3941269175129</v>
      </c>
      <c r="Y564" s="29">
        <v>0.409136652127355</v>
      </c>
      <c r="Z564" s="29">
        <v>0.1203314793149985</v>
      </c>
      <c r="AA564" s="29">
        <v>3.4000799662433718</v>
      </c>
      <c r="AB564" s="29">
        <v>6.7366148626618171E-4</v>
      </c>
      <c r="AC564" s="29">
        <v>2.377120128105234E-2</v>
      </c>
      <c r="AD564" s="29" t="s">
        <v>1928</v>
      </c>
      <c r="AE564" s="29" t="s">
        <v>1929</v>
      </c>
      <c r="AF564" s="29" t="s">
        <v>1930</v>
      </c>
      <c r="AG564" s="29" t="s">
        <v>1931</v>
      </c>
      <c r="AH564" s="29" t="s">
        <v>43</v>
      </c>
      <c r="AI564" s="29" t="s">
        <v>43</v>
      </c>
      <c r="AJ564" s="29" t="s">
        <v>43</v>
      </c>
      <c r="AK564" s="29" t="s">
        <v>43</v>
      </c>
      <c r="AL564" s="29" t="s">
        <v>43</v>
      </c>
      <c r="AM564" s="29" t="s">
        <v>1932</v>
      </c>
      <c r="AN564" s="29" t="s">
        <v>43</v>
      </c>
    </row>
    <row r="565" spans="1:40" s="29" customFormat="1" x14ac:dyDescent="0.3">
      <c r="A565" s="29" t="s">
        <v>1939</v>
      </c>
      <c r="B565" s="29">
        <v>1963</v>
      </c>
      <c r="C565" s="29" t="str">
        <f>IF(Y565&lt;0, "Down", "Up")</f>
        <v>Up</v>
      </c>
      <c r="D565" s="30" t="str">
        <f>IF(AC565&lt;0.05, "Sig", "N")</f>
        <v>Sig</v>
      </c>
      <c r="E565" s="31" t="str">
        <f>IF(AND(H565&gt;2,J565&gt;2,L565&gt;2,N565&gt;2),"Y","N")</f>
        <v>Y</v>
      </c>
      <c r="F565" s="31" t="str">
        <f>IF(AND(P565&gt;2,R565&gt;2,T565&gt;2,V565&gt;2),"Y","N")</f>
        <v>Y</v>
      </c>
      <c r="G565" s="31" t="str">
        <f>IF(OR(E565="Y", F565="Y"), "Expressed", "N")</f>
        <v>Expressed</v>
      </c>
      <c r="H565" s="29">
        <v>11.736383121958889</v>
      </c>
      <c r="I565" s="29">
        <v>1025</v>
      </c>
      <c r="J565" s="29">
        <v>12.140803695875929</v>
      </c>
      <c r="K565" s="29">
        <v>2375</v>
      </c>
      <c r="L565" s="29">
        <v>14.857945286519479</v>
      </c>
      <c r="M565" s="29">
        <v>2254</v>
      </c>
      <c r="N565" s="29">
        <v>13.633223046991199</v>
      </c>
      <c r="O565" s="29">
        <v>1231</v>
      </c>
      <c r="P565" s="29">
        <v>6.6223213457514447</v>
      </c>
      <c r="Q565" s="29">
        <v>3043</v>
      </c>
      <c r="R565" s="29">
        <v>35.224661100992378</v>
      </c>
      <c r="S565" s="29">
        <v>1574</v>
      </c>
      <c r="T565" s="29">
        <v>30.83991708966202</v>
      </c>
      <c r="U565" s="29">
        <v>952</v>
      </c>
      <c r="V565" s="29">
        <v>4.8295689232319408</v>
      </c>
      <c r="W565" s="29">
        <v>3016</v>
      </c>
      <c r="X565" s="29">
        <v>1783.724822042783</v>
      </c>
      <c r="Y565" s="29">
        <v>0.44027271698247827</v>
      </c>
      <c r="Z565" s="29">
        <v>0.12805667820007269</v>
      </c>
      <c r="AA565" s="29">
        <v>3.4381082124792162</v>
      </c>
      <c r="AB565" s="29">
        <v>5.8579355072192827E-4</v>
      </c>
      <c r="AC565" s="29">
        <v>2.157216686318976E-2</v>
      </c>
      <c r="AD565" s="29" t="s">
        <v>1940</v>
      </c>
      <c r="AE565" s="29" t="s">
        <v>1941</v>
      </c>
      <c r="AF565" s="29" t="s">
        <v>1942</v>
      </c>
      <c r="AG565" s="29" t="s">
        <v>1943</v>
      </c>
      <c r="AH565" s="29" t="s">
        <v>43</v>
      </c>
      <c r="AI565" s="29" t="s">
        <v>43</v>
      </c>
      <c r="AJ565" s="29" t="s">
        <v>43</v>
      </c>
      <c r="AK565" s="29" t="s">
        <v>43</v>
      </c>
      <c r="AL565" s="29" t="s">
        <v>43</v>
      </c>
      <c r="AM565" s="29" t="s">
        <v>1944</v>
      </c>
      <c r="AN565" s="29" t="s">
        <v>43</v>
      </c>
    </row>
    <row r="566" spans="1:40" s="29" customFormat="1" x14ac:dyDescent="0.3">
      <c r="A566" s="29" t="s">
        <v>1951</v>
      </c>
      <c r="B566" s="29">
        <v>2308</v>
      </c>
      <c r="C566" s="29" t="str">
        <f>IF(Y566&lt;0, "Down", "Up")</f>
        <v>Up</v>
      </c>
      <c r="D566" s="30" t="str">
        <f>IF(AC566&lt;0.05, "Sig", "N")</f>
        <v>Sig</v>
      </c>
      <c r="E566" s="31" t="str">
        <f>IF(AND(H566&gt;2,J566&gt;2,L566&gt;2,N566&gt;2),"Y","N")</f>
        <v>Y</v>
      </c>
      <c r="F566" s="31" t="str">
        <f>IF(AND(P566&gt;2,R566&gt;2,T566&gt;2,V566&gt;2),"Y","N")</f>
        <v>Y</v>
      </c>
      <c r="G566" s="31" t="str">
        <f>IF(OR(E566="Y", F566="Y"), "Expressed", "N")</f>
        <v>Expressed</v>
      </c>
      <c r="H566" s="29">
        <v>12.212158839151311</v>
      </c>
      <c r="I566" s="29">
        <v>1254</v>
      </c>
      <c r="J566" s="29">
        <v>12.0520671895781</v>
      </c>
      <c r="K566" s="29">
        <v>2772</v>
      </c>
      <c r="L566" s="29">
        <v>16.079349871641909</v>
      </c>
      <c r="M566" s="29">
        <v>2868</v>
      </c>
      <c r="N566" s="29">
        <v>13.79947636392826</v>
      </c>
      <c r="O566" s="29">
        <v>1465</v>
      </c>
      <c r="P566" s="29">
        <v>6.7030786902003259</v>
      </c>
      <c r="Q566" s="29">
        <v>3988</v>
      </c>
      <c r="R566" s="29">
        <v>39.263093642780632</v>
      </c>
      <c r="S566" s="29">
        <v>1575</v>
      </c>
      <c r="T566" s="29">
        <v>26.246628671290651</v>
      </c>
      <c r="U566" s="29">
        <v>1193</v>
      </c>
      <c r="V566" s="29">
        <v>5.1475000405017211</v>
      </c>
      <c r="W566" s="29">
        <v>3793</v>
      </c>
      <c r="X566" s="29">
        <v>2146.2559607855942</v>
      </c>
      <c r="Y566" s="29">
        <v>0.42278994149511462</v>
      </c>
      <c r="Z566" s="29">
        <v>0.1155565047344361</v>
      </c>
      <c r="AA566" s="29">
        <v>3.6587290561162349</v>
      </c>
      <c r="AB566" s="29">
        <v>2.5346913765832222E-4</v>
      </c>
      <c r="AC566" s="29">
        <v>1.24528616782505E-2</v>
      </c>
      <c r="AD566" s="29" t="s">
        <v>1952</v>
      </c>
      <c r="AE566" s="29" t="s">
        <v>1953</v>
      </c>
      <c r="AF566" s="29" t="s">
        <v>1713</v>
      </c>
      <c r="AG566" s="29" t="s">
        <v>1714</v>
      </c>
      <c r="AH566" s="29" t="s">
        <v>43</v>
      </c>
      <c r="AI566" s="29" t="s">
        <v>43</v>
      </c>
      <c r="AJ566" s="29" t="s">
        <v>43</v>
      </c>
      <c r="AK566" s="29" t="s">
        <v>43</v>
      </c>
      <c r="AL566" s="29" t="s">
        <v>43</v>
      </c>
      <c r="AM566" s="29" t="s">
        <v>1715</v>
      </c>
      <c r="AN566" s="29" t="s">
        <v>43</v>
      </c>
    </row>
    <row r="567" spans="1:40" s="29" customFormat="1" x14ac:dyDescent="0.3">
      <c r="A567" s="29" t="s">
        <v>148</v>
      </c>
      <c r="B567" s="29">
        <v>5962</v>
      </c>
      <c r="C567" s="29" t="str">
        <f>IF(Y567&lt;0, "Down", "Up")</f>
        <v>Up</v>
      </c>
      <c r="D567" s="30" t="str">
        <f>IF(AC567&lt;0.05, "Sig", "N")</f>
        <v>Sig</v>
      </c>
      <c r="E567" s="31" t="str">
        <f>IF(AND(H567&gt;2,J567&gt;2,L567&gt;2,N567&gt;2),"Y","N")</f>
        <v>Y</v>
      </c>
      <c r="F567" s="31" t="str">
        <f>IF(AND(P567&gt;2,R567&gt;2,T567&gt;2,V567&gt;2),"Y","N")</f>
        <v>Y</v>
      </c>
      <c r="G567" s="31" t="str">
        <f>IF(OR(E567="Y", F567="Y"), "Expressed", "N")</f>
        <v>Expressed</v>
      </c>
      <c r="H567" s="29">
        <v>11.84526882531307</v>
      </c>
      <c r="I567" s="29">
        <v>3142</v>
      </c>
      <c r="J567" s="29">
        <v>11.7615632206198</v>
      </c>
      <c r="K567" s="29">
        <v>6988</v>
      </c>
      <c r="L567" s="29">
        <v>10.92779768153787</v>
      </c>
      <c r="M567" s="29">
        <v>5035</v>
      </c>
      <c r="N567" s="29">
        <v>13.38971976062952</v>
      </c>
      <c r="O567" s="29">
        <v>3672</v>
      </c>
      <c r="P567" s="29">
        <v>6.5040399235613036</v>
      </c>
      <c r="Q567" s="29">
        <v>9343</v>
      </c>
      <c r="R567" s="29">
        <v>35.608981155626587</v>
      </c>
      <c r="S567" s="29">
        <v>5058</v>
      </c>
      <c r="T567" s="29">
        <v>32.62989127619344</v>
      </c>
      <c r="U567" s="29">
        <v>2872</v>
      </c>
      <c r="V567" s="29">
        <v>4.7971597750363557</v>
      </c>
      <c r="W567" s="29">
        <v>8351</v>
      </c>
      <c r="X567" s="29">
        <v>5238.6921735743736</v>
      </c>
      <c r="Y567" s="29">
        <v>0.55103037612623174</v>
      </c>
      <c r="Z567" s="29">
        <v>0.17184839623085141</v>
      </c>
      <c r="AA567" s="29">
        <v>3.206491234203948</v>
      </c>
      <c r="AB567" s="29">
        <v>1.34364398574029E-3</v>
      </c>
      <c r="AC567" s="29">
        <v>3.6999377481573573E-2</v>
      </c>
      <c r="AD567" s="29" t="s">
        <v>149</v>
      </c>
      <c r="AE567" s="29" t="s">
        <v>150</v>
      </c>
      <c r="AF567" s="29" t="s">
        <v>151</v>
      </c>
      <c r="AG567" s="29" t="s">
        <v>152</v>
      </c>
      <c r="AH567" s="29" t="s">
        <v>43</v>
      </c>
      <c r="AI567" s="29" t="s">
        <v>43</v>
      </c>
      <c r="AJ567" s="29" t="s">
        <v>43</v>
      </c>
      <c r="AK567" s="29" t="s">
        <v>43</v>
      </c>
      <c r="AL567" s="29" t="s">
        <v>43</v>
      </c>
      <c r="AM567" s="29" t="s">
        <v>153</v>
      </c>
      <c r="AN567" s="29" t="s">
        <v>43</v>
      </c>
    </row>
    <row r="568" spans="1:40" s="29" customFormat="1" x14ac:dyDescent="0.3">
      <c r="A568" s="29" t="s">
        <v>2006</v>
      </c>
      <c r="B568" s="29">
        <v>1796</v>
      </c>
      <c r="C568" s="29" t="str">
        <f>IF(Y568&lt;0, "Down", "Up")</f>
        <v>Up</v>
      </c>
      <c r="D568" s="30" t="str">
        <f>IF(AC568&lt;0.05, "Sig", "N")</f>
        <v>Sig</v>
      </c>
      <c r="E568" s="31" t="str">
        <f>IF(AND(H568&gt;2,J568&gt;2,L568&gt;2,N568&gt;2),"Y","N")</f>
        <v>Y</v>
      </c>
      <c r="F568" s="31" t="str">
        <f>IF(AND(P568&gt;2,R568&gt;2,T568&gt;2,V568&gt;2),"Y","N")</f>
        <v>Y</v>
      </c>
      <c r="G568" s="31" t="str">
        <f>IF(OR(E568="Y", F568="Y"), "Expressed", "N")</f>
        <v>Expressed</v>
      </c>
      <c r="H568" s="29">
        <v>10.612561800210599</v>
      </c>
      <c r="I568" s="29">
        <v>848</v>
      </c>
      <c r="J568" s="29">
        <v>10.88954238180839</v>
      </c>
      <c r="K568" s="29">
        <v>1949</v>
      </c>
      <c r="L568" s="29">
        <v>14.171739811520441</v>
      </c>
      <c r="M568" s="29">
        <v>1967</v>
      </c>
      <c r="N568" s="29">
        <v>11.233172565387729</v>
      </c>
      <c r="O568" s="29">
        <v>928</v>
      </c>
      <c r="P568" s="29">
        <v>5.4564997729347828</v>
      </c>
      <c r="Q568" s="29">
        <v>2354</v>
      </c>
      <c r="R568" s="29">
        <v>29.78278434694726</v>
      </c>
      <c r="S568" s="29">
        <v>1168</v>
      </c>
      <c r="T568" s="29">
        <v>25.012971245045339</v>
      </c>
      <c r="U568" s="29">
        <v>726</v>
      </c>
      <c r="V568" s="29">
        <v>4.0255201779613667</v>
      </c>
      <c r="W568" s="29">
        <v>2399</v>
      </c>
      <c r="X568" s="29">
        <v>1404.973836716423</v>
      </c>
      <c r="Y568" s="29">
        <v>0.34758495672023337</v>
      </c>
      <c r="Z568" s="29">
        <v>0.1128426994735907</v>
      </c>
      <c r="AA568" s="29">
        <v>3.0802609148993381</v>
      </c>
      <c r="AB568" s="29">
        <v>2.0681932791425462E-3</v>
      </c>
      <c r="AC568" s="29">
        <v>4.738006347431014E-2</v>
      </c>
      <c r="AD568" s="29" t="s">
        <v>2007</v>
      </c>
      <c r="AE568" s="29" t="s">
        <v>2008</v>
      </c>
      <c r="AF568" s="29" t="s">
        <v>43</v>
      </c>
      <c r="AG568" s="29" t="s">
        <v>2009</v>
      </c>
      <c r="AH568" s="29" t="s">
        <v>43</v>
      </c>
      <c r="AI568" s="29" t="s">
        <v>43</v>
      </c>
      <c r="AJ568" s="29" t="s">
        <v>43</v>
      </c>
      <c r="AK568" s="29" t="s">
        <v>43</v>
      </c>
      <c r="AL568" s="29" t="s">
        <v>43</v>
      </c>
      <c r="AM568" s="29" t="s">
        <v>2010</v>
      </c>
      <c r="AN568" s="29" t="s">
        <v>43</v>
      </c>
    </row>
    <row r="569" spans="1:40" s="29" customFormat="1" x14ac:dyDescent="0.3">
      <c r="A569" s="29" t="s">
        <v>2045</v>
      </c>
      <c r="B569" s="29">
        <v>2939</v>
      </c>
      <c r="C569" s="29" t="str">
        <f>IF(Y569&lt;0, "Down", "Up")</f>
        <v>Up</v>
      </c>
      <c r="D569" s="30" t="str">
        <f>IF(AC569&lt;0.05, "Sig", "N")</f>
        <v>Sig</v>
      </c>
      <c r="E569" s="31" t="str">
        <f>IF(AND(H569&gt;2,J569&gt;2,L569&gt;2,N569&gt;2),"Y","N")</f>
        <v>Y</v>
      </c>
      <c r="F569" s="31" t="str">
        <f>IF(AND(P569&gt;2,R569&gt;2,T569&gt;2,V569&gt;2),"Y","N")</f>
        <v>Y</v>
      </c>
      <c r="G569" s="31" t="str">
        <f>IF(OR(E569="Y", F569="Y"), "Expressed", "N")</f>
        <v>Expressed</v>
      </c>
      <c r="H569" s="29">
        <v>10.102618282430029</v>
      </c>
      <c r="I569" s="29">
        <v>1321</v>
      </c>
      <c r="J569" s="29">
        <v>10.61171424748896</v>
      </c>
      <c r="K569" s="29">
        <v>3108</v>
      </c>
      <c r="L569" s="29">
        <v>13.40642100546032</v>
      </c>
      <c r="M569" s="29">
        <v>3045</v>
      </c>
      <c r="N569" s="29">
        <v>10.20059410672714</v>
      </c>
      <c r="O569" s="29">
        <v>1379</v>
      </c>
      <c r="P569" s="29">
        <v>4.9549260552319607</v>
      </c>
      <c r="Q569" s="29">
        <v>3778</v>
      </c>
      <c r="R569" s="29">
        <v>29.209729703045632</v>
      </c>
      <c r="S569" s="29">
        <v>1556</v>
      </c>
      <c r="T569" s="29">
        <v>20.362860215388071</v>
      </c>
      <c r="U569" s="29">
        <v>1151</v>
      </c>
      <c r="V569" s="29">
        <v>3.9000255937773409</v>
      </c>
      <c r="W569" s="29">
        <v>3961</v>
      </c>
      <c r="X569" s="29">
        <v>2164.5660014133568</v>
      </c>
      <c r="Y569" s="29">
        <v>0.33974065798383529</v>
      </c>
      <c r="Z569" s="29">
        <v>0.1023114726144618</v>
      </c>
      <c r="AA569" s="29">
        <v>3.32065064945427</v>
      </c>
      <c r="AB569" s="29">
        <v>8.9807875584454794E-4</v>
      </c>
      <c r="AC569" s="29">
        <v>2.8837732771027139E-2</v>
      </c>
      <c r="AD569" s="29" t="s">
        <v>2046</v>
      </c>
      <c r="AE569" s="29" t="s">
        <v>2047</v>
      </c>
      <c r="AF569" s="29" t="s">
        <v>43</v>
      </c>
      <c r="AG569" s="29" t="s">
        <v>2048</v>
      </c>
      <c r="AH569" s="29" t="s">
        <v>43</v>
      </c>
      <c r="AI569" s="29" t="s">
        <v>43</v>
      </c>
      <c r="AJ569" s="29" t="s">
        <v>43</v>
      </c>
      <c r="AK569" s="29" t="s">
        <v>43</v>
      </c>
      <c r="AL569" s="29" t="s">
        <v>43</v>
      </c>
      <c r="AM569" s="29" t="s">
        <v>2049</v>
      </c>
      <c r="AN569" s="29" t="s">
        <v>43</v>
      </c>
    </row>
    <row r="570" spans="1:40" s="29" customFormat="1" x14ac:dyDescent="0.3">
      <c r="A570" s="29" t="s">
        <v>495</v>
      </c>
      <c r="B570" s="29">
        <v>3031</v>
      </c>
      <c r="C570" s="29" t="str">
        <f>IF(Y570&lt;0, "Down", "Up")</f>
        <v>Up</v>
      </c>
      <c r="D570" s="30" t="str">
        <f>IF(AC570&lt;0.05, "Sig", "N")</f>
        <v>Sig</v>
      </c>
      <c r="E570" s="31" t="str">
        <f>IF(AND(H570&gt;2,J570&gt;2,L570&gt;2,N570&gt;2),"Y","N")</f>
        <v>Y</v>
      </c>
      <c r="F570" s="31" t="str">
        <f>IF(AND(P570&gt;2,R570&gt;2,T570&gt;2,V570&gt;2),"Y","N")</f>
        <v>Y</v>
      </c>
      <c r="G570" s="31" t="str">
        <f>IF(OR(E570="Y", F570="Y"), "Expressed", "N")</f>
        <v>Expressed</v>
      </c>
      <c r="H570" s="29">
        <v>8.4982478610110075</v>
      </c>
      <c r="I570" s="29">
        <v>1146</v>
      </c>
      <c r="J570" s="29">
        <v>10.551160996231809</v>
      </c>
      <c r="K570" s="29">
        <v>3187</v>
      </c>
      <c r="L570" s="29">
        <v>11.14242484848411</v>
      </c>
      <c r="M570" s="29">
        <v>2610</v>
      </c>
      <c r="N570" s="29">
        <v>16.7264353571932</v>
      </c>
      <c r="O570" s="29">
        <v>2332</v>
      </c>
      <c r="P570" s="29">
        <v>8.124845425214275</v>
      </c>
      <c r="Q570" s="29">
        <v>8608</v>
      </c>
      <c r="R570" s="29">
        <v>64.532946154352572</v>
      </c>
      <c r="S570" s="29">
        <v>7525</v>
      </c>
      <c r="T570" s="29">
        <v>95.488119647112057</v>
      </c>
      <c r="U570" s="29">
        <v>1828</v>
      </c>
      <c r="V570" s="29">
        <v>6.0059536261309123</v>
      </c>
      <c r="W570" s="29">
        <v>13886</v>
      </c>
      <c r="X570" s="29">
        <v>4673.7299603829442</v>
      </c>
      <c r="Y570" s="29">
        <v>1.774300395461466</v>
      </c>
      <c r="Z570" s="29">
        <v>0.29554809101005652</v>
      </c>
      <c r="AA570" s="29">
        <v>6.0034236370726299</v>
      </c>
      <c r="AB570" s="29">
        <v>1.9319965268011259E-9</v>
      </c>
      <c r="AC570" s="29">
        <v>1.9031775786096759E-6</v>
      </c>
      <c r="AD570" s="29" t="s">
        <v>496</v>
      </c>
      <c r="AE570" s="29" t="s">
        <v>497</v>
      </c>
      <c r="AF570" s="29" t="s">
        <v>498</v>
      </c>
      <c r="AG570" s="29" t="s">
        <v>499</v>
      </c>
      <c r="AH570" s="29" t="s">
        <v>43</v>
      </c>
      <c r="AI570" s="29" t="s">
        <v>43</v>
      </c>
      <c r="AJ570" s="29" t="s">
        <v>43</v>
      </c>
      <c r="AK570" s="29" t="s">
        <v>43</v>
      </c>
      <c r="AL570" s="29" t="s">
        <v>43</v>
      </c>
      <c r="AM570" s="29" t="s">
        <v>500</v>
      </c>
      <c r="AN570" s="29" t="s">
        <v>43</v>
      </c>
    </row>
    <row r="571" spans="1:40" s="29" customFormat="1" x14ac:dyDescent="0.3">
      <c r="A571" s="29" t="s">
        <v>2065</v>
      </c>
      <c r="B571" s="29">
        <v>3231</v>
      </c>
      <c r="C571" s="29" t="str">
        <f>IF(Y571&lt;0, "Down", "Up")</f>
        <v>Up</v>
      </c>
      <c r="D571" s="30" t="str">
        <f>IF(AC571&lt;0.05, "Sig", "N")</f>
        <v>Sig</v>
      </c>
      <c r="E571" s="31" t="str">
        <f>IF(AND(H571&gt;2,J571&gt;2,L571&gt;2,N571&gt;2),"Y","N")</f>
        <v>Y</v>
      </c>
      <c r="F571" s="31" t="str">
        <f>IF(AND(P571&gt;2,R571&gt;2,T571&gt;2,V571&gt;2),"Y","N")</f>
        <v>Y</v>
      </c>
      <c r="G571" s="31" t="str">
        <f>IF(OR(E571="Y", F571="Y"), "Expressed", "N")</f>
        <v>Expressed</v>
      </c>
      <c r="H571" s="29">
        <v>10.09395041005385</v>
      </c>
      <c r="I571" s="29">
        <v>1451</v>
      </c>
      <c r="J571" s="29">
        <v>10.332846209998509</v>
      </c>
      <c r="K571" s="29">
        <v>3327</v>
      </c>
      <c r="L571" s="29">
        <v>12.615333568676681</v>
      </c>
      <c r="M571" s="29">
        <v>3150</v>
      </c>
      <c r="N571" s="29">
        <v>13.43698689456745</v>
      </c>
      <c r="O571" s="29">
        <v>1997</v>
      </c>
      <c r="P571" s="29">
        <v>6.5269998758008247</v>
      </c>
      <c r="Q571" s="29">
        <v>5821</v>
      </c>
      <c r="R571" s="29">
        <v>40.937923672161403</v>
      </c>
      <c r="S571" s="29">
        <v>2778</v>
      </c>
      <c r="T571" s="29">
        <v>33.069228025710309</v>
      </c>
      <c r="U571" s="29">
        <v>1786</v>
      </c>
      <c r="V571" s="29">
        <v>5.5047324566500864</v>
      </c>
      <c r="W571" s="29">
        <v>3686</v>
      </c>
      <c r="X571" s="29">
        <v>2865.3583232870769</v>
      </c>
      <c r="Y571" s="29">
        <v>0.66571332479611578</v>
      </c>
      <c r="Z571" s="29">
        <v>0.2068164402234963</v>
      </c>
      <c r="AA571" s="29">
        <v>3.218860764051021</v>
      </c>
      <c r="AB571" s="29">
        <v>1.287009618789424E-3</v>
      </c>
      <c r="AC571" s="29">
        <v>3.6142581787927917E-2</v>
      </c>
      <c r="AD571" s="29" t="s">
        <v>2066</v>
      </c>
      <c r="AE571" s="29" t="s">
        <v>2067</v>
      </c>
      <c r="AF571" s="29" t="s">
        <v>2068</v>
      </c>
      <c r="AG571" s="29" t="s">
        <v>2069</v>
      </c>
      <c r="AH571" s="29" t="s">
        <v>43</v>
      </c>
      <c r="AI571" s="29" t="s">
        <v>43</v>
      </c>
      <c r="AJ571" s="29" t="s">
        <v>43</v>
      </c>
      <c r="AK571" s="29" t="s">
        <v>43</v>
      </c>
      <c r="AL571" s="29" t="s">
        <v>43</v>
      </c>
      <c r="AM571" s="29" t="s">
        <v>2070</v>
      </c>
      <c r="AN571" s="29" t="s">
        <v>43</v>
      </c>
    </row>
    <row r="572" spans="1:40" s="29" customFormat="1" x14ac:dyDescent="0.3">
      <c r="A572" s="29" t="s">
        <v>384</v>
      </c>
      <c r="B572" s="29">
        <v>2176</v>
      </c>
      <c r="C572" s="29" t="str">
        <f>IF(Y572&lt;0, "Down", "Up")</f>
        <v>Up</v>
      </c>
      <c r="D572" s="30" t="str">
        <f>IF(AC572&lt;0.05, "Sig", "N")</f>
        <v>Sig</v>
      </c>
      <c r="E572" s="31" t="str">
        <f>IF(AND(H572&gt;2,J572&gt;2,L572&gt;2,N572&gt;2),"Y","N")</f>
        <v>Y</v>
      </c>
      <c r="F572" s="31" t="str">
        <f>IF(AND(P572&gt;2,R572&gt;2,T572&gt;2,V572&gt;2),"Y","N")</f>
        <v>Y</v>
      </c>
      <c r="G572" s="31" t="str">
        <f>IF(OR(E572="Y", F572="Y"), "Expressed", "N")</f>
        <v>Expressed</v>
      </c>
      <c r="H572" s="29">
        <v>9.8954905960958914</v>
      </c>
      <c r="I572" s="29">
        <v>958</v>
      </c>
      <c r="J572" s="29">
        <v>10.214543499581049</v>
      </c>
      <c r="K572" s="29">
        <v>2215</v>
      </c>
      <c r="L572" s="29">
        <v>13.688995190596961</v>
      </c>
      <c r="M572" s="29">
        <v>2302</v>
      </c>
      <c r="N572" s="29">
        <v>11.559398999094689</v>
      </c>
      <c r="O572" s="29">
        <v>1157</v>
      </c>
      <c r="P572" s="29">
        <v>5.6149638623169862</v>
      </c>
      <c r="Q572" s="29">
        <v>3406</v>
      </c>
      <c r="R572" s="29">
        <v>35.567302061791231</v>
      </c>
      <c r="S572" s="29">
        <v>1574</v>
      </c>
      <c r="T572" s="29">
        <v>27.821120058366979</v>
      </c>
      <c r="U572" s="29">
        <v>832</v>
      </c>
      <c r="V572" s="29">
        <v>3.8076424045957711</v>
      </c>
      <c r="W572" s="29">
        <v>3384</v>
      </c>
      <c r="X572" s="29">
        <v>1772.089273182914</v>
      </c>
      <c r="Y572" s="29">
        <v>0.53653714338174152</v>
      </c>
      <c r="Z572" s="29">
        <v>0.1149099622484817</v>
      </c>
      <c r="AA572" s="29">
        <v>4.6691960634495002</v>
      </c>
      <c r="AB572" s="29">
        <v>3.023806945584179E-6</v>
      </c>
      <c r="AC572" s="29">
        <v>4.9102797382457046E-4</v>
      </c>
      <c r="AD572" s="29" t="s">
        <v>385</v>
      </c>
      <c r="AE572" s="29" t="s">
        <v>386</v>
      </c>
      <c r="AF572" s="29" t="s">
        <v>387</v>
      </c>
      <c r="AG572" s="29" t="s">
        <v>388</v>
      </c>
      <c r="AH572" s="29" t="s">
        <v>43</v>
      </c>
      <c r="AI572" s="29" t="s">
        <v>43</v>
      </c>
      <c r="AJ572" s="29" t="s">
        <v>43</v>
      </c>
      <c r="AK572" s="29" t="s">
        <v>43</v>
      </c>
      <c r="AL572" s="29" t="s">
        <v>43</v>
      </c>
      <c r="AM572" s="29" t="s">
        <v>389</v>
      </c>
      <c r="AN572" s="29" t="s">
        <v>43</v>
      </c>
    </row>
    <row r="573" spans="1:40" s="29" customFormat="1" x14ac:dyDescent="0.3">
      <c r="A573" s="29" t="s">
        <v>2112</v>
      </c>
      <c r="B573" s="29">
        <v>849</v>
      </c>
      <c r="C573" s="29" t="str">
        <f>IF(Y573&lt;0, "Down", "Up")</f>
        <v>Up</v>
      </c>
      <c r="D573" s="30" t="str">
        <f>IF(AC573&lt;0.05, "Sig", "N")</f>
        <v>Sig</v>
      </c>
      <c r="E573" s="31" t="str">
        <f>IF(AND(H573&gt;2,J573&gt;2,L573&gt;2,N573&gt;2),"Y","N")</f>
        <v>Y</v>
      </c>
      <c r="F573" s="31" t="str">
        <f>IF(AND(P573&gt;2,R573&gt;2,T573&gt;2,V573&gt;2),"Y","N")</f>
        <v>Y</v>
      </c>
      <c r="G573" s="31" t="str">
        <f>IF(OR(E573="Y", F573="Y"), "Expressed", "N")</f>
        <v>Expressed</v>
      </c>
      <c r="H573" s="29">
        <v>11.172116945464721</v>
      </c>
      <c r="I573" s="29">
        <v>422</v>
      </c>
      <c r="J573" s="29">
        <v>10.07015203127583</v>
      </c>
      <c r="K573" s="29">
        <v>852</v>
      </c>
      <c r="L573" s="29">
        <v>20.63650356070595</v>
      </c>
      <c r="M573" s="29">
        <v>1354</v>
      </c>
      <c r="N573" s="29">
        <v>16.43948183133066</v>
      </c>
      <c r="O573" s="29">
        <v>642</v>
      </c>
      <c r="P573" s="29">
        <v>7.9854581025681064</v>
      </c>
      <c r="Q573" s="29">
        <v>2647</v>
      </c>
      <c r="R573" s="29">
        <v>70.845361667331872</v>
      </c>
      <c r="S573" s="29">
        <v>1243</v>
      </c>
      <c r="T573" s="29">
        <v>56.310866703206507</v>
      </c>
      <c r="U573" s="29">
        <v>492</v>
      </c>
      <c r="V573" s="29">
        <v>5.7709741908197927</v>
      </c>
      <c r="W573" s="29">
        <v>2344</v>
      </c>
      <c r="X573" s="29">
        <v>1111.4556998299649</v>
      </c>
      <c r="Y573" s="29">
        <v>1.0698368053937291</v>
      </c>
      <c r="Z573" s="29">
        <v>0.21430217583963729</v>
      </c>
      <c r="AA573" s="29">
        <v>4.9921882556819677</v>
      </c>
      <c r="AB573" s="29">
        <v>5.9699023305834553E-7</v>
      </c>
      <c r="AC573" s="29">
        <v>1.641167801158768E-4</v>
      </c>
      <c r="AD573" s="29" t="s">
        <v>2113</v>
      </c>
      <c r="AE573" s="29" t="s">
        <v>2114</v>
      </c>
      <c r="AF573" s="29" t="s">
        <v>2115</v>
      </c>
      <c r="AG573" s="29" t="s">
        <v>2116</v>
      </c>
      <c r="AH573" s="29" t="s">
        <v>43</v>
      </c>
      <c r="AI573" s="29" t="s">
        <v>43</v>
      </c>
      <c r="AJ573" s="29" t="s">
        <v>43</v>
      </c>
      <c r="AK573" s="29" t="s">
        <v>43</v>
      </c>
      <c r="AL573" s="29" t="s">
        <v>43</v>
      </c>
      <c r="AM573" s="29" t="s">
        <v>2117</v>
      </c>
      <c r="AN573" s="29" t="s">
        <v>43</v>
      </c>
    </row>
    <row r="574" spans="1:40" s="29" customFormat="1" x14ac:dyDescent="0.3">
      <c r="A574" s="29" t="s">
        <v>2122</v>
      </c>
      <c r="B574" s="29">
        <v>3501</v>
      </c>
      <c r="C574" s="29" t="str">
        <f>IF(Y574&lt;0, "Down", "Up")</f>
        <v>Up</v>
      </c>
      <c r="D574" s="30" t="str">
        <f>IF(AC574&lt;0.05, "Sig", "N")</f>
        <v>Sig</v>
      </c>
      <c r="E574" s="31" t="str">
        <f>IF(AND(H574&gt;2,J574&gt;2,L574&gt;2,N574&gt;2),"Y","N")</f>
        <v>Y</v>
      </c>
      <c r="F574" s="31" t="str">
        <f>IF(AND(P574&gt;2,R574&gt;2,T574&gt;2,V574&gt;2),"Y","N")</f>
        <v>Y</v>
      </c>
      <c r="G574" s="31" t="str">
        <f>IF(OR(E574="Y", F574="Y"), "Expressed", "N")</f>
        <v>Expressed</v>
      </c>
      <c r="H574" s="29">
        <v>12.20452042274708</v>
      </c>
      <c r="I574" s="29">
        <v>1901</v>
      </c>
      <c r="J574" s="29">
        <v>9.9716365479650033</v>
      </c>
      <c r="K574" s="29">
        <v>3479</v>
      </c>
      <c r="L574" s="29">
        <v>15.382789875796149</v>
      </c>
      <c r="M574" s="29">
        <v>4162</v>
      </c>
      <c r="N574" s="29">
        <v>13.946923793024061</v>
      </c>
      <c r="O574" s="29">
        <v>2246</v>
      </c>
      <c r="P574" s="29">
        <v>6.7747010977346047</v>
      </c>
      <c r="Q574" s="29">
        <v>6135</v>
      </c>
      <c r="R574" s="29">
        <v>39.818750415946766</v>
      </c>
      <c r="S574" s="29">
        <v>2931</v>
      </c>
      <c r="T574" s="29">
        <v>32.19974860894277</v>
      </c>
      <c r="U574" s="29">
        <v>1686</v>
      </c>
      <c r="V574" s="29">
        <v>4.7957571067837312</v>
      </c>
      <c r="W574" s="29">
        <v>5412</v>
      </c>
      <c r="X574" s="29">
        <v>3230.7404670592059</v>
      </c>
      <c r="Y574" s="29">
        <v>0.53226574132623583</v>
      </c>
      <c r="Z574" s="29">
        <v>0.1423672071599785</v>
      </c>
      <c r="AA574" s="29">
        <v>3.7386821863276918</v>
      </c>
      <c r="AB574" s="29">
        <v>1.8498740948553471E-4</v>
      </c>
      <c r="AC574" s="29">
        <v>1.021839330620797E-2</v>
      </c>
      <c r="AD574" s="29" t="s">
        <v>2123</v>
      </c>
      <c r="AE574" s="29" t="s">
        <v>2124</v>
      </c>
      <c r="AF574" s="29" t="s">
        <v>2125</v>
      </c>
      <c r="AG574" s="29" t="s">
        <v>2126</v>
      </c>
      <c r="AH574" s="29" t="s">
        <v>43</v>
      </c>
      <c r="AI574" s="29" t="s">
        <v>43</v>
      </c>
      <c r="AJ574" s="29" t="s">
        <v>43</v>
      </c>
      <c r="AK574" s="29" t="s">
        <v>43</v>
      </c>
      <c r="AL574" s="29" t="s">
        <v>43</v>
      </c>
      <c r="AM574" s="29" t="s">
        <v>2127</v>
      </c>
      <c r="AN574" s="29" t="s">
        <v>43</v>
      </c>
    </row>
    <row r="575" spans="1:40" s="29" customFormat="1" x14ac:dyDescent="0.3">
      <c r="A575" s="29" t="s">
        <v>462</v>
      </c>
      <c r="B575" s="29">
        <v>1092</v>
      </c>
      <c r="C575" s="29" t="str">
        <f>IF(Y575&lt;0, "Down", "Up")</f>
        <v>Up</v>
      </c>
      <c r="D575" s="30" t="str">
        <f>IF(AC575&lt;0.05, "Sig", "N")</f>
        <v>Sig</v>
      </c>
      <c r="E575" s="31" t="str">
        <f>IF(AND(H575&gt;2,J575&gt;2,L575&gt;2,N575&gt;2),"Y","N")</f>
        <v>Y</v>
      </c>
      <c r="F575" s="31" t="str">
        <f>IF(AND(P575&gt;2,R575&gt;2,T575&gt;2,V575&gt;2),"Y","N")</f>
        <v>Y</v>
      </c>
      <c r="G575" s="31" t="str">
        <f>IF(OR(E575="Y", F575="Y"), "Expressed", "N")</f>
        <v>Expressed</v>
      </c>
      <c r="H575" s="29">
        <v>15.560726500236219</v>
      </c>
      <c r="I575" s="29">
        <v>756</v>
      </c>
      <c r="J575" s="29">
        <v>9.648743989880348</v>
      </c>
      <c r="K575" s="29">
        <v>1050</v>
      </c>
      <c r="L575" s="29">
        <v>5.6166950603020309</v>
      </c>
      <c r="M575" s="29">
        <v>474</v>
      </c>
      <c r="N575" s="29">
        <v>15.429073605219759</v>
      </c>
      <c r="O575" s="29">
        <v>775</v>
      </c>
      <c r="P575" s="29">
        <v>7.4946535480886904</v>
      </c>
      <c r="Q575" s="29">
        <v>1583</v>
      </c>
      <c r="R575" s="29">
        <v>32.939988799248518</v>
      </c>
      <c r="S575" s="29">
        <v>1137</v>
      </c>
      <c r="T575" s="29">
        <v>40.046687582235158</v>
      </c>
      <c r="U575" s="29">
        <v>1080</v>
      </c>
      <c r="V575" s="29">
        <v>9.8490158563508512</v>
      </c>
      <c r="W575" s="29">
        <v>2721</v>
      </c>
      <c r="X575" s="29">
        <v>1230.4503891578699</v>
      </c>
      <c r="Y575" s="29">
        <v>1.1490441159317679</v>
      </c>
      <c r="Z575" s="29">
        <v>0.34644026088811042</v>
      </c>
      <c r="AA575" s="29">
        <v>3.3167164606854822</v>
      </c>
      <c r="AB575" s="29">
        <v>9.108200065597869E-4</v>
      </c>
      <c r="AC575" s="29">
        <v>2.8977644817359541E-2</v>
      </c>
    </row>
    <row r="576" spans="1:40" s="29" customFormat="1" x14ac:dyDescent="0.3">
      <c r="A576" s="29" t="s">
        <v>2154</v>
      </c>
      <c r="B576" s="29">
        <v>4816</v>
      </c>
      <c r="C576" s="29" t="str">
        <f>IF(Y576&lt;0, "Down", "Up")</f>
        <v>Up</v>
      </c>
      <c r="D576" s="30" t="str">
        <f>IF(AC576&lt;0.05, "Sig", "N")</f>
        <v>Sig</v>
      </c>
      <c r="E576" s="31" t="str">
        <f>IF(AND(H576&gt;2,J576&gt;2,L576&gt;2,N576&gt;2),"Y","N")</f>
        <v>Y</v>
      </c>
      <c r="F576" s="31" t="str">
        <f>IF(AND(P576&gt;2,R576&gt;2,T576&gt;2,V576&gt;2),"Y","N")</f>
        <v>Y</v>
      </c>
      <c r="G576" s="31" t="str">
        <f>IF(OR(E576="Y", F576="Y"), "Expressed", "N")</f>
        <v>Expressed</v>
      </c>
      <c r="H576" s="29">
        <v>8.8627642836685965</v>
      </c>
      <c r="I576" s="29">
        <v>1899</v>
      </c>
      <c r="J576" s="29">
        <v>9.6221378187454611</v>
      </c>
      <c r="K576" s="29">
        <v>4618</v>
      </c>
      <c r="L576" s="29">
        <v>11.98590655843743</v>
      </c>
      <c r="M576" s="29">
        <v>4461</v>
      </c>
      <c r="N576" s="29">
        <v>11.04156824828458</v>
      </c>
      <c r="O576" s="29">
        <v>2446</v>
      </c>
      <c r="P576" s="29">
        <v>5.3634282113006186</v>
      </c>
      <c r="Q576" s="29">
        <v>6295</v>
      </c>
      <c r="R576" s="29">
        <v>29.70122945158408</v>
      </c>
      <c r="S576" s="29">
        <v>3194</v>
      </c>
      <c r="T576" s="29">
        <v>25.50804690724625</v>
      </c>
      <c r="U576" s="29">
        <v>1940</v>
      </c>
      <c r="V576" s="29">
        <v>4.0115016133263648</v>
      </c>
      <c r="W576" s="29">
        <v>5736</v>
      </c>
      <c r="X576" s="29">
        <v>3537.9614626015732</v>
      </c>
      <c r="Y576" s="29">
        <v>0.49201654314071308</v>
      </c>
      <c r="Z576" s="29">
        <v>0.14085046495765299</v>
      </c>
      <c r="AA576" s="29">
        <v>3.493183663175262</v>
      </c>
      <c r="AB576" s="29">
        <v>4.7729811239302232E-4</v>
      </c>
      <c r="AC576" s="29">
        <v>1.8713568778102541E-2</v>
      </c>
      <c r="AD576" s="29" t="s">
        <v>2155</v>
      </c>
      <c r="AE576" s="29" t="s">
        <v>2156</v>
      </c>
      <c r="AF576" s="29" t="s">
        <v>43</v>
      </c>
      <c r="AG576" s="29" t="s">
        <v>2157</v>
      </c>
      <c r="AH576" s="29" t="s">
        <v>43</v>
      </c>
      <c r="AI576" s="29" t="s">
        <v>43</v>
      </c>
      <c r="AJ576" s="29" t="s">
        <v>43</v>
      </c>
      <c r="AK576" s="29" t="s">
        <v>43</v>
      </c>
      <c r="AL576" s="29" t="s">
        <v>43</v>
      </c>
      <c r="AM576" s="29" t="s">
        <v>2158</v>
      </c>
      <c r="AN576" s="29" t="s">
        <v>43</v>
      </c>
    </row>
    <row r="577" spans="1:40" s="29" customFormat="1" x14ac:dyDescent="0.3">
      <c r="A577" s="29" t="s">
        <v>2159</v>
      </c>
      <c r="B577" s="29">
        <v>4595</v>
      </c>
      <c r="C577" s="29" t="str">
        <f>IF(Y577&lt;0, "Down", "Up")</f>
        <v>Up</v>
      </c>
      <c r="D577" s="30" t="str">
        <f>IF(AC577&lt;0.05, "Sig", "N")</f>
        <v>Sig</v>
      </c>
      <c r="E577" s="31" t="str">
        <f>IF(AND(H577&gt;2,J577&gt;2,L577&gt;2,N577&gt;2),"Y","N")</f>
        <v>Y</v>
      </c>
      <c r="F577" s="31" t="str">
        <f>IF(AND(P577&gt;2,R577&gt;2,T577&gt;2,V577&gt;2),"Y","N")</f>
        <v>Y</v>
      </c>
      <c r="G577" s="31" t="str">
        <f>IF(OR(E577="Y", F577="Y"), "Expressed", "N")</f>
        <v>Expressed</v>
      </c>
      <c r="H577" s="29">
        <v>9.680348462618241</v>
      </c>
      <c r="I577" s="29">
        <v>1979</v>
      </c>
      <c r="J577" s="29">
        <v>9.6022956292587693</v>
      </c>
      <c r="K577" s="29">
        <v>4397</v>
      </c>
      <c r="L577" s="29">
        <v>10.94033574272464</v>
      </c>
      <c r="M577" s="29">
        <v>3885</v>
      </c>
      <c r="N577" s="29">
        <v>10.389810027918809</v>
      </c>
      <c r="O577" s="29">
        <v>2196</v>
      </c>
      <c r="P577" s="29">
        <v>5.0468374564864238</v>
      </c>
      <c r="Q577" s="29">
        <v>6298</v>
      </c>
      <c r="R577" s="29">
        <v>31.144568000150201</v>
      </c>
      <c r="S577" s="29">
        <v>2309</v>
      </c>
      <c r="T577" s="29">
        <v>19.327122111258181</v>
      </c>
      <c r="U577" s="29">
        <v>2635</v>
      </c>
      <c r="V577" s="29">
        <v>5.7106668289568114</v>
      </c>
      <c r="W577" s="29">
        <v>6031</v>
      </c>
      <c r="X577" s="29">
        <v>3506.5119408529958</v>
      </c>
      <c r="Y577" s="29">
        <v>0.62915262262089056</v>
      </c>
      <c r="Z577" s="29">
        <v>0.1906441451646384</v>
      </c>
      <c r="AA577" s="29">
        <v>3.3001413291636128</v>
      </c>
      <c r="AB577" s="29">
        <v>9.6636149983805137E-4</v>
      </c>
      <c r="AC577" s="29">
        <v>3.0081943152169478E-2</v>
      </c>
      <c r="AD577" s="29" t="s">
        <v>2160</v>
      </c>
      <c r="AE577" s="29" t="s">
        <v>2161</v>
      </c>
      <c r="AF577" s="29" t="s">
        <v>2162</v>
      </c>
      <c r="AG577" s="29" t="s">
        <v>2163</v>
      </c>
      <c r="AH577" s="29" t="s">
        <v>43</v>
      </c>
      <c r="AI577" s="29" t="s">
        <v>43</v>
      </c>
      <c r="AJ577" s="29" t="s">
        <v>43</v>
      </c>
      <c r="AK577" s="29" t="s">
        <v>43</v>
      </c>
      <c r="AL577" s="29" t="s">
        <v>43</v>
      </c>
      <c r="AM577" s="29" t="s">
        <v>597</v>
      </c>
      <c r="AN577" s="29" t="s">
        <v>43</v>
      </c>
    </row>
    <row r="578" spans="1:40" s="29" customFormat="1" x14ac:dyDescent="0.3">
      <c r="A578" s="29" t="s">
        <v>2164</v>
      </c>
      <c r="B578" s="29">
        <v>1586</v>
      </c>
      <c r="C578" s="29" t="str">
        <f>IF(Y578&lt;0, "Down", "Up")</f>
        <v>Up</v>
      </c>
      <c r="D578" s="30" t="str">
        <f>IF(AC578&lt;0.05, "Sig", "N")</f>
        <v>Sig</v>
      </c>
      <c r="E578" s="31" t="str">
        <f>IF(AND(H578&gt;2,J578&gt;2,L578&gt;2,N578&gt;2),"Y","N")</f>
        <v>Y</v>
      </c>
      <c r="F578" s="31" t="str">
        <f>IF(AND(P578&gt;2,R578&gt;2,T578&gt;2,V578&gt;2),"Y","N")</f>
        <v>Y</v>
      </c>
      <c r="G578" s="31" t="str">
        <f>IF(OR(E578="Y", F578="Y"), "Expressed", "N")</f>
        <v>Expressed</v>
      </c>
      <c r="H578" s="29">
        <v>10.92652106710576</v>
      </c>
      <c r="I578" s="29">
        <v>771</v>
      </c>
      <c r="J578" s="29">
        <v>9.5411842208128288</v>
      </c>
      <c r="K578" s="29">
        <v>1508</v>
      </c>
      <c r="L578" s="29">
        <v>18.27552989116743</v>
      </c>
      <c r="M578" s="29">
        <v>2240</v>
      </c>
      <c r="N578" s="29">
        <v>14.242071157791219</v>
      </c>
      <c r="O578" s="29">
        <v>1039</v>
      </c>
      <c r="P578" s="29">
        <v>6.9180685675620142</v>
      </c>
      <c r="Q578" s="29">
        <v>2600</v>
      </c>
      <c r="R578" s="29">
        <v>37.250776973353538</v>
      </c>
      <c r="S578" s="29">
        <v>1108</v>
      </c>
      <c r="T578" s="29">
        <v>26.869856731503599</v>
      </c>
      <c r="U578" s="29">
        <v>935</v>
      </c>
      <c r="V578" s="29">
        <v>5.8708386866863682</v>
      </c>
      <c r="W578" s="29">
        <v>2967</v>
      </c>
      <c r="X578" s="29">
        <v>1508.991963958375</v>
      </c>
      <c r="Y578" s="29">
        <v>0.5578491223360641</v>
      </c>
      <c r="Z578" s="29">
        <v>0.17752265446112009</v>
      </c>
      <c r="AA578" s="29">
        <v>3.142410888511364</v>
      </c>
      <c r="AB578" s="29">
        <v>1.675627095151165E-3</v>
      </c>
      <c r="AC578" s="29">
        <v>4.1965228584283747E-2</v>
      </c>
      <c r="AD578" s="29" t="s">
        <v>2165</v>
      </c>
      <c r="AE578" s="29" t="s">
        <v>2166</v>
      </c>
      <c r="AF578" s="29" t="s">
        <v>2167</v>
      </c>
      <c r="AG578" s="29" t="s">
        <v>2168</v>
      </c>
      <c r="AH578" s="29" t="s">
        <v>43</v>
      </c>
      <c r="AI578" s="29" t="s">
        <v>43</v>
      </c>
      <c r="AJ578" s="29" t="s">
        <v>43</v>
      </c>
      <c r="AK578" s="29" t="s">
        <v>43</v>
      </c>
      <c r="AL578" s="29" t="s">
        <v>43</v>
      </c>
      <c r="AM578" s="29" t="s">
        <v>2169</v>
      </c>
      <c r="AN578" s="29" t="s">
        <v>43</v>
      </c>
    </row>
    <row r="579" spans="1:40" s="29" customFormat="1" x14ac:dyDescent="0.3">
      <c r="A579" s="29" t="s">
        <v>227</v>
      </c>
      <c r="B579" s="29">
        <v>4886</v>
      </c>
      <c r="C579" s="29" t="str">
        <f>IF(Y579&lt;0, "Down", "Up")</f>
        <v>Up</v>
      </c>
      <c r="D579" s="30" t="str">
        <f>IF(AC579&lt;0.05, "Sig", "N")</f>
        <v>Sig</v>
      </c>
      <c r="E579" s="31" t="str">
        <f>IF(AND(H579&gt;2,J579&gt;2,L579&gt;2,N579&gt;2),"Y","N")</f>
        <v>Y</v>
      </c>
      <c r="F579" s="31" t="str">
        <f>IF(AND(P579&gt;2,R579&gt;2,T579&gt;2,V579&gt;2),"Y","N")</f>
        <v>Y</v>
      </c>
      <c r="G579" s="31" t="str">
        <f>IF(OR(E579="Y", F579="Y"), "Expressed", "N")</f>
        <v>Expressed</v>
      </c>
      <c r="H579" s="29">
        <v>11.42691090520826</v>
      </c>
      <c r="I579" s="29">
        <v>2484</v>
      </c>
      <c r="J579" s="29">
        <v>9.5212526038822567</v>
      </c>
      <c r="K579" s="29">
        <v>4636</v>
      </c>
      <c r="L579" s="29">
        <v>14.08115698607728</v>
      </c>
      <c r="M579" s="29">
        <v>5317</v>
      </c>
      <c r="N579" s="29">
        <v>11.844462989531049</v>
      </c>
      <c r="O579" s="29">
        <v>2662</v>
      </c>
      <c r="P579" s="29">
        <v>5.7534333454513096</v>
      </c>
      <c r="Q579" s="29">
        <v>7191</v>
      </c>
      <c r="R579" s="29">
        <v>33.442674109984658</v>
      </c>
      <c r="S579" s="29">
        <v>3450</v>
      </c>
      <c r="T579" s="29">
        <v>27.157788752836929</v>
      </c>
      <c r="U579" s="29">
        <v>1848</v>
      </c>
      <c r="V579" s="29">
        <v>3.7665195309292079</v>
      </c>
      <c r="W579" s="29">
        <v>6762</v>
      </c>
      <c r="X579" s="29">
        <v>3912.1576751599941</v>
      </c>
      <c r="Y579" s="29">
        <v>0.41518751493285938</v>
      </c>
      <c r="Z579" s="29">
        <v>0.12004988390502019</v>
      </c>
      <c r="AA579" s="29">
        <v>3.4584582794044452</v>
      </c>
      <c r="AB579" s="29">
        <v>5.432764075079474E-4</v>
      </c>
      <c r="AC579" s="29">
        <v>2.0323007636555208E-2</v>
      </c>
      <c r="AD579" s="29" t="s">
        <v>228</v>
      </c>
      <c r="AE579" s="29" t="s">
        <v>229</v>
      </c>
      <c r="AF579" s="29" t="s">
        <v>230</v>
      </c>
      <c r="AG579" s="29" t="s">
        <v>231</v>
      </c>
      <c r="AH579" s="29" t="s">
        <v>43</v>
      </c>
      <c r="AI579" s="29" t="s">
        <v>43</v>
      </c>
      <c r="AJ579" s="29" t="s">
        <v>43</v>
      </c>
      <c r="AK579" s="29" t="s">
        <v>43</v>
      </c>
      <c r="AL579" s="29" t="s">
        <v>43</v>
      </c>
      <c r="AM579" s="29" t="s">
        <v>130</v>
      </c>
      <c r="AN579" s="29" t="s">
        <v>43</v>
      </c>
    </row>
    <row r="580" spans="1:40" s="29" customFormat="1" x14ac:dyDescent="0.3">
      <c r="A580" s="29" t="s">
        <v>2176</v>
      </c>
      <c r="B580" s="29">
        <v>5357</v>
      </c>
      <c r="C580" s="29" t="str">
        <f>IF(Y580&lt;0, "Down", "Up")</f>
        <v>Up</v>
      </c>
      <c r="D580" s="30" t="str">
        <f>IF(AC580&lt;0.05, "Sig", "N")</f>
        <v>Sig</v>
      </c>
      <c r="E580" s="31" t="str">
        <f>IF(AND(H580&gt;2,J580&gt;2,L580&gt;2,N580&gt;2),"Y","N")</f>
        <v>Y</v>
      </c>
      <c r="F580" s="31" t="str">
        <f>IF(AND(P580&gt;2,R580&gt;2,T580&gt;2,V580&gt;2),"Y","N")</f>
        <v>Y</v>
      </c>
      <c r="G580" s="31" t="str">
        <f>IF(OR(E580="Y", F580="Y"), "Expressed", "N")</f>
        <v>Expressed</v>
      </c>
      <c r="H580" s="29">
        <v>9.4865790144036541</v>
      </c>
      <c r="I580" s="29">
        <v>2261</v>
      </c>
      <c r="J580" s="29">
        <v>9.5008338057382957</v>
      </c>
      <c r="K580" s="29">
        <v>5072</v>
      </c>
      <c r="L580" s="29">
        <v>13.567752733266079</v>
      </c>
      <c r="M580" s="29">
        <v>5617</v>
      </c>
      <c r="N580" s="29">
        <v>10.904526363149881</v>
      </c>
      <c r="O580" s="29">
        <v>2687</v>
      </c>
      <c r="P580" s="29">
        <v>5.2968602839615393</v>
      </c>
      <c r="Q580" s="29">
        <v>7079</v>
      </c>
      <c r="R580" s="29">
        <v>30.027241481905079</v>
      </c>
      <c r="S580" s="29">
        <v>3192</v>
      </c>
      <c r="T580" s="29">
        <v>22.917646155055699</v>
      </c>
      <c r="U580" s="29">
        <v>1983</v>
      </c>
      <c r="V580" s="29">
        <v>3.686317919080083</v>
      </c>
      <c r="W580" s="29">
        <v>6736</v>
      </c>
      <c r="X580" s="29">
        <v>3918.8940231824631</v>
      </c>
      <c r="Y580" s="29">
        <v>0.38009150572352918</v>
      </c>
      <c r="Z580" s="29">
        <v>0.1115264404249986</v>
      </c>
      <c r="AA580" s="29">
        <v>3.4080842558508841</v>
      </c>
      <c r="AB580" s="29">
        <v>6.5420691089535942E-4</v>
      </c>
      <c r="AC580" s="29">
        <v>2.3343597110286891E-2</v>
      </c>
      <c r="AD580" s="29" t="s">
        <v>2177</v>
      </c>
      <c r="AE580" s="29" t="s">
        <v>2178</v>
      </c>
      <c r="AF580" s="29" t="s">
        <v>2179</v>
      </c>
      <c r="AG580" s="29" t="s">
        <v>2180</v>
      </c>
      <c r="AH580" s="29" t="s">
        <v>43</v>
      </c>
      <c r="AI580" s="29" t="s">
        <v>43</v>
      </c>
      <c r="AJ580" s="29" t="s">
        <v>43</v>
      </c>
      <c r="AK580" s="29" t="s">
        <v>43</v>
      </c>
      <c r="AL580" s="29" t="s">
        <v>43</v>
      </c>
      <c r="AM580" s="29" t="s">
        <v>2181</v>
      </c>
      <c r="AN580" s="29" t="s">
        <v>43</v>
      </c>
    </row>
    <row r="581" spans="1:40" s="29" customFormat="1" x14ac:dyDescent="0.3">
      <c r="A581" s="29" t="s">
        <v>2182</v>
      </c>
      <c r="B581" s="29">
        <v>3025</v>
      </c>
      <c r="C581" s="29" t="str">
        <f>IF(Y581&lt;0, "Down", "Up")</f>
        <v>Up</v>
      </c>
      <c r="D581" s="30" t="str">
        <f>IF(AC581&lt;0.05, "Sig", "N")</f>
        <v>Sig</v>
      </c>
      <c r="E581" s="31" t="str">
        <f>IF(AND(H581&gt;2,J581&gt;2,L581&gt;2,N581&gt;2),"Y","N")</f>
        <v>Y</v>
      </c>
      <c r="F581" s="31" t="str">
        <f>IF(AND(P581&gt;2,R581&gt;2,T581&gt;2,V581&gt;2),"Y","N")</f>
        <v>Y</v>
      </c>
      <c r="G581" s="31" t="str">
        <f>IF(OR(E581="Y", F581="Y"), "Expressed", "N")</f>
        <v>Expressed</v>
      </c>
      <c r="H581" s="29">
        <v>7.9801235407272051</v>
      </c>
      <c r="I581" s="29">
        <v>1074</v>
      </c>
      <c r="J581" s="29">
        <v>9.4906640718180437</v>
      </c>
      <c r="K581" s="29">
        <v>2861</v>
      </c>
      <c r="L581" s="29">
        <v>9.7700292341325685</v>
      </c>
      <c r="M581" s="29">
        <v>2284</v>
      </c>
      <c r="N581" s="29">
        <v>9.2206611858438521</v>
      </c>
      <c r="O581" s="29">
        <v>1283</v>
      </c>
      <c r="P581" s="29">
        <v>4.478924842825907</v>
      </c>
      <c r="Q581" s="29">
        <v>4061</v>
      </c>
      <c r="R581" s="29">
        <v>30.505123049970621</v>
      </c>
      <c r="S581" s="29">
        <v>1657</v>
      </c>
      <c r="T581" s="29">
        <v>21.068125795896091</v>
      </c>
      <c r="U581" s="29">
        <v>1011</v>
      </c>
      <c r="V581" s="29">
        <v>3.328261920294342</v>
      </c>
      <c r="W581" s="29">
        <v>3450</v>
      </c>
      <c r="X581" s="29">
        <v>1986.8213044736569</v>
      </c>
      <c r="Y581" s="29">
        <v>0.52466090289819867</v>
      </c>
      <c r="Z581" s="29">
        <v>0.1306220036867384</v>
      </c>
      <c r="AA581" s="29">
        <v>4.0166349320169372</v>
      </c>
      <c r="AB581" s="29">
        <v>5.903506845611436E-5</v>
      </c>
      <c r="AC581" s="29">
        <v>4.6215466504617754E-3</v>
      </c>
      <c r="AD581" s="29" t="s">
        <v>2183</v>
      </c>
      <c r="AE581" s="29" t="s">
        <v>2184</v>
      </c>
      <c r="AF581" s="29" t="s">
        <v>2185</v>
      </c>
      <c r="AG581" s="29" t="s">
        <v>2186</v>
      </c>
      <c r="AH581" s="29" t="s">
        <v>43</v>
      </c>
      <c r="AI581" s="29" t="s">
        <v>43</v>
      </c>
      <c r="AJ581" s="29" t="s">
        <v>43</v>
      </c>
      <c r="AK581" s="29" t="s">
        <v>43</v>
      </c>
      <c r="AL581" s="29" t="s">
        <v>43</v>
      </c>
      <c r="AM581" s="29" t="s">
        <v>2187</v>
      </c>
      <c r="AN581" s="29" t="s">
        <v>43</v>
      </c>
    </row>
    <row r="582" spans="1:40" s="29" customFormat="1" x14ac:dyDescent="0.3">
      <c r="A582" s="29" t="s">
        <v>2205</v>
      </c>
      <c r="B582" s="29">
        <v>2419</v>
      </c>
      <c r="C582" s="29" t="str">
        <f>IF(Y582&lt;0, "Down", "Up")</f>
        <v>Up</v>
      </c>
      <c r="D582" s="30" t="str">
        <f>IF(AC582&lt;0.05, "Sig", "N")</f>
        <v>Sig</v>
      </c>
      <c r="E582" s="31" t="str">
        <f>IF(AND(H582&gt;2,J582&gt;2,L582&gt;2,N582&gt;2),"Y","N")</f>
        <v>Y</v>
      </c>
      <c r="F582" s="31" t="str">
        <f>IF(AND(P582&gt;2,R582&gt;2,T582&gt;2,V582&gt;2),"Y","N")</f>
        <v>Y</v>
      </c>
      <c r="G582" s="31" t="str">
        <f>IF(OR(E582="Y", F582="Y"), "Expressed", "N")</f>
        <v>Expressed</v>
      </c>
      <c r="H582" s="29">
        <v>9.9235279375903609</v>
      </c>
      <c r="I582" s="29">
        <v>1068</v>
      </c>
      <c r="J582" s="29">
        <v>9.3170409926920676</v>
      </c>
      <c r="K582" s="29">
        <v>2246</v>
      </c>
      <c r="L582" s="29">
        <v>5.3224593721126254</v>
      </c>
      <c r="M582" s="29">
        <v>995</v>
      </c>
      <c r="N582" s="29">
        <v>11.54856561059167</v>
      </c>
      <c r="O582" s="29">
        <v>1285</v>
      </c>
      <c r="P582" s="29">
        <v>5.6097015571611886</v>
      </c>
      <c r="Q582" s="29">
        <v>3391</v>
      </c>
      <c r="R582" s="29">
        <v>31.853495112505801</v>
      </c>
      <c r="S582" s="29">
        <v>2398</v>
      </c>
      <c r="T582" s="29">
        <v>38.127829576190223</v>
      </c>
      <c r="U582" s="29">
        <v>1052</v>
      </c>
      <c r="V582" s="29">
        <v>4.3308345319929256</v>
      </c>
      <c r="W582" s="29">
        <v>2971</v>
      </c>
      <c r="X582" s="29">
        <v>1891.1885053441999</v>
      </c>
      <c r="Y582" s="29">
        <v>0.89989129802088885</v>
      </c>
      <c r="Z582" s="29">
        <v>0.28636649286702798</v>
      </c>
      <c r="AA582" s="29">
        <v>3.1424462024568851</v>
      </c>
      <c r="AB582" s="29">
        <v>1.6754249849117451E-3</v>
      </c>
      <c r="AC582" s="29">
        <v>4.1965228584283747E-2</v>
      </c>
      <c r="AD582" s="29" t="s">
        <v>2206</v>
      </c>
      <c r="AE582" s="29" t="s">
        <v>2207</v>
      </c>
      <c r="AF582" s="29" t="s">
        <v>2208</v>
      </c>
      <c r="AG582" s="29" t="s">
        <v>2209</v>
      </c>
      <c r="AH582" s="29" t="s">
        <v>43</v>
      </c>
      <c r="AI582" s="29" t="s">
        <v>43</v>
      </c>
      <c r="AJ582" s="29" t="s">
        <v>43</v>
      </c>
      <c r="AK582" s="29" t="s">
        <v>43</v>
      </c>
      <c r="AL582" s="29" t="s">
        <v>43</v>
      </c>
      <c r="AM582" s="29" t="s">
        <v>2210</v>
      </c>
      <c r="AN582" s="29" t="s">
        <v>43</v>
      </c>
    </row>
    <row r="583" spans="1:40" s="29" customFormat="1" x14ac:dyDescent="0.3">
      <c r="A583" s="29" t="s">
        <v>2226</v>
      </c>
      <c r="B583" s="29">
        <v>4976</v>
      </c>
      <c r="C583" s="29" t="str">
        <f>IF(Y583&lt;0, "Down", "Up")</f>
        <v>Up</v>
      </c>
      <c r="D583" s="30" t="str">
        <f>IF(AC583&lt;0.05, "Sig", "N")</f>
        <v>Sig</v>
      </c>
      <c r="E583" s="31" t="str">
        <f>IF(AND(H583&gt;2,J583&gt;2,L583&gt;2,N583&gt;2),"Y","N")</f>
        <v>Y</v>
      </c>
      <c r="F583" s="31" t="str">
        <f>IF(AND(P583&gt;2,R583&gt;2,T583&gt;2,V583&gt;2),"Y","N")</f>
        <v>Y</v>
      </c>
      <c r="G583" s="31" t="str">
        <f>IF(OR(E583="Y", F583="Y"), "Expressed", "N")</f>
        <v>Expressed</v>
      </c>
      <c r="H583" s="29">
        <v>10.199391874060691</v>
      </c>
      <c r="I583" s="29">
        <v>2258</v>
      </c>
      <c r="J583" s="29">
        <v>9.0586503863834853</v>
      </c>
      <c r="K583" s="29">
        <v>4492</v>
      </c>
      <c r="L583" s="29">
        <v>14.95245884195041</v>
      </c>
      <c r="M583" s="29">
        <v>5750</v>
      </c>
      <c r="N583" s="29">
        <v>11.24576380099071</v>
      </c>
      <c r="O583" s="29">
        <v>2574</v>
      </c>
      <c r="P583" s="29">
        <v>5.4626159501597531</v>
      </c>
      <c r="Q583" s="29">
        <v>7178</v>
      </c>
      <c r="R583" s="29">
        <v>32.778437909965099</v>
      </c>
      <c r="S583" s="29">
        <v>3271</v>
      </c>
      <c r="T583" s="29">
        <v>25.283019861913861</v>
      </c>
      <c r="U583" s="29">
        <v>1913</v>
      </c>
      <c r="V583" s="29">
        <v>3.8284794286377402</v>
      </c>
      <c r="W583" s="29">
        <v>6419</v>
      </c>
      <c r="X583" s="29">
        <v>3842.0545034541269</v>
      </c>
      <c r="Y583" s="29">
        <v>0.41387189400590407</v>
      </c>
      <c r="Z583" s="29">
        <v>0.13152564205801379</v>
      </c>
      <c r="AA583" s="29">
        <v>3.1467011871597781</v>
      </c>
      <c r="AB583" s="29">
        <v>1.651236179561168E-3</v>
      </c>
      <c r="AC583" s="29">
        <v>4.1618897395719757E-2</v>
      </c>
      <c r="AD583" s="29" t="s">
        <v>2227</v>
      </c>
      <c r="AE583" s="29" t="s">
        <v>2228</v>
      </c>
      <c r="AF583" s="29" t="s">
        <v>43</v>
      </c>
      <c r="AG583" s="29" t="s">
        <v>2229</v>
      </c>
      <c r="AH583" s="29" t="s">
        <v>43</v>
      </c>
      <c r="AI583" s="29" t="s">
        <v>43</v>
      </c>
      <c r="AJ583" s="29" t="s">
        <v>43</v>
      </c>
      <c r="AK583" s="29" t="s">
        <v>43</v>
      </c>
      <c r="AL583" s="29" t="s">
        <v>43</v>
      </c>
      <c r="AM583" s="29" t="s">
        <v>2230</v>
      </c>
      <c r="AN583" s="29" t="s">
        <v>43</v>
      </c>
    </row>
    <row r="584" spans="1:40" s="29" customFormat="1" x14ac:dyDescent="0.3">
      <c r="A584" s="29" t="s">
        <v>2259</v>
      </c>
      <c r="B584" s="29">
        <v>3301</v>
      </c>
      <c r="C584" s="29" t="str">
        <f>IF(Y584&lt;0, "Down", "Up")</f>
        <v>Up</v>
      </c>
      <c r="D584" s="30" t="str">
        <f>IF(AC584&lt;0.05, "Sig", "N")</f>
        <v>Sig</v>
      </c>
      <c r="E584" s="31" t="str">
        <f>IF(AND(H584&gt;2,J584&gt;2,L584&gt;2,N584&gt;2),"Y","N")</f>
        <v>Y</v>
      </c>
      <c r="F584" s="31" t="str">
        <f>IF(AND(P584&gt;2,R584&gt;2,T584&gt;2,V584&gt;2),"Y","N")</f>
        <v>Y</v>
      </c>
      <c r="G584" s="31" t="str">
        <f>IF(OR(E584="Y", F584="Y"), "Expressed", "N")</f>
        <v>Expressed</v>
      </c>
      <c r="H584" s="29">
        <v>7.2584249836841899</v>
      </c>
      <c r="I584" s="29">
        <v>1066</v>
      </c>
      <c r="J584" s="29">
        <v>8.7548979092667736</v>
      </c>
      <c r="K584" s="29">
        <v>2880</v>
      </c>
      <c r="L584" s="29">
        <v>12.32821694065197</v>
      </c>
      <c r="M584" s="29">
        <v>3145</v>
      </c>
      <c r="N584" s="29">
        <v>10.14887494456338</v>
      </c>
      <c r="O584" s="29">
        <v>1541</v>
      </c>
      <c r="P584" s="29">
        <v>4.9298035357513559</v>
      </c>
      <c r="Q584" s="29">
        <v>3866</v>
      </c>
      <c r="R584" s="29">
        <v>26.612243957946291</v>
      </c>
      <c r="S584" s="29">
        <v>1689</v>
      </c>
      <c r="T584" s="29">
        <v>19.679447372074701</v>
      </c>
      <c r="U584" s="29">
        <v>1104</v>
      </c>
      <c r="V584" s="29">
        <v>3.3305447136976398</v>
      </c>
      <c r="W584" s="29">
        <v>4421</v>
      </c>
      <c r="X584" s="29">
        <v>2190.52900397754</v>
      </c>
      <c r="Y584" s="29">
        <v>0.44206262874654317</v>
      </c>
      <c r="Z584" s="29">
        <v>0.13921010143457321</v>
      </c>
      <c r="AA584" s="29">
        <v>3.175506836005765</v>
      </c>
      <c r="AB584" s="29">
        <v>1.495749973418282E-3</v>
      </c>
      <c r="AC584" s="29">
        <v>3.9379199188814058E-2</v>
      </c>
      <c r="AD584" s="29" t="s">
        <v>2260</v>
      </c>
      <c r="AE584" s="29" t="s">
        <v>2261</v>
      </c>
      <c r="AF584" s="29" t="s">
        <v>2262</v>
      </c>
      <c r="AG584" s="29" t="s">
        <v>2263</v>
      </c>
      <c r="AH584" s="29" t="s">
        <v>43</v>
      </c>
      <c r="AI584" s="29" t="s">
        <v>43</v>
      </c>
      <c r="AJ584" s="29" t="s">
        <v>43</v>
      </c>
      <c r="AK584" s="29" t="s">
        <v>43</v>
      </c>
      <c r="AL584" s="29" t="s">
        <v>43</v>
      </c>
      <c r="AM584" s="29" t="s">
        <v>2264</v>
      </c>
      <c r="AN584" s="29" t="s">
        <v>43</v>
      </c>
    </row>
    <row r="585" spans="1:40" s="29" customFormat="1" x14ac:dyDescent="0.3">
      <c r="A585" s="29" t="s">
        <v>2285</v>
      </c>
      <c r="B585" s="29">
        <v>2336</v>
      </c>
      <c r="C585" s="29" t="str">
        <f>IF(Y585&lt;0, "Down", "Up")</f>
        <v>Up</v>
      </c>
      <c r="D585" s="30" t="str">
        <f>IF(AC585&lt;0.05, "Sig", "N")</f>
        <v>Sig</v>
      </c>
      <c r="E585" s="31" t="str">
        <f>IF(AND(H585&gt;2,J585&gt;2,L585&gt;2,N585&gt;2),"Y","N")</f>
        <v>Y</v>
      </c>
      <c r="F585" s="31" t="str">
        <f>IF(AND(P585&gt;2,R585&gt;2,T585&gt;2,V585&gt;2),"Y","N")</f>
        <v>Y</v>
      </c>
      <c r="G585" s="31" t="str">
        <f>IF(OR(E585="Y", F585="Y"), "Expressed", "N")</f>
        <v>Expressed</v>
      </c>
      <c r="H585" s="29">
        <v>9.7276744859496151</v>
      </c>
      <c r="I585" s="29">
        <v>1011</v>
      </c>
      <c r="J585" s="29">
        <v>8.7202175990733686</v>
      </c>
      <c r="K585" s="29">
        <v>2030</v>
      </c>
      <c r="L585" s="29">
        <v>13.23884828187412</v>
      </c>
      <c r="M585" s="29">
        <v>2390</v>
      </c>
      <c r="N585" s="29">
        <v>9.6787949138179314</v>
      </c>
      <c r="O585" s="29">
        <v>1040</v>
      </c>
      <c r="P585" s="29">
        <v>4.7014627383414513</v>
      </c>
      <c r="Q585" s="29">
        <v>2888</v>
      </c>
      <c r="R585" s="29">
        <v>28.092443826377341</v>
      </c>
      <c r="S585" s="29">
        <v>1280</v>
      </c>
      <c r="T585" s="29">
        <v>21.074918538234861</v>
      </c>
      <c r="U585" s="29">
        <v>805</v>
      </c>
      <c r="V585" s="29">
        <v>3.4317430391789459</v>
      </c>
      <c r="W585" s="29">
        <v>3114</v>
      </c>
      <c r="X585" s="29">
        <v>1631.183255041901</v>
      </c>
      <c r="Y585" s="29">
        <v>0.39352377351752149</v>
      </c>
      <c r="Z585" s="29">
        <v>0.1028051566971174</v>
      </c>
      <c r="AA585" s="29">
        <v>3.827860256824605</v>
      </c>
      <c r="AB585" s="29">
        <v>1.292621067473414E-4</v>
      </c>
      <c r="AC585" s="29">
        <v>8.0633633976798028E-3</v>
      </c>
      <c r="AD585" s="29" t="s">
        <v>2286</v>
      </c>
      <c r="AE585" s="29" t="s">
        <v>2287</v>
      </c>
      <c r="AF585" s="29" t="s">
        <v>2288</v>
      </c>
      <c r="AG585" s="29" t="s">
        <v>2289</v>
      </c>
      <c r="AH585" s="29" t="s">
        <v>43</v>
      </c>
      <c r="AI585" s="29" t="s">
        <v>43</v>
      </c>
      <c r="AJ585" s="29" t="s">
        <v>43</v>
      </c>
      <c r="AK585" s="29" t="s">
        <v>43</v>
      </c>
      <c r="AL585" s="29" t="s">
        <v>43</v>
      </c>
      <c r="AM585" s="29" t="s">
        <v>2290</v>
      </c>
      <c r="AN585" s="29" t="s">
        <v>43</v>
      </c>
    </row>
    <row r="586" spans="1:40" s="29" customFormat="1" x14ac:dyDescent="0.3">
      <c r="A586" s="29" t="s">
        <v>2291</v>
      </c>
      <c r="B586" s="29">
        <v>5808</v>
      </c>
      <c r="C586" s="29" t="str">
        <f>IF(Y586&lt;0, "Down", "Up")</f>
        <v>Up</v>
      </c>
      <c r="D586" s="30" t="str">
        <f>IF(AC586&lt;0.05, "Sig", "N")</f>
        <v>Sig</v>
      </c>
      <c r="E586" s="31" t="str">
        <f>IF(AND(H586&gt;2,J586&gt;2,L586&gt;2,N586&gt;2),"Y","N")</f>
        <v>Y</v>
      </c>
      <c r="F586" s="31" t="str">
        <f>IF(AND(P586&gt;2,R586&gt;2,T586&gt;2,V586&gt;2),"Y","N")</f>
        <v>Y</v>
      </c>
      <c r="G586" s="31" t="str">
        <f>IF(OR(E586="Y", F586="Y"), "Expressed", "N")</f>
        <v>Expressed</v>
      </c>
      <c r="H586" s="29">
        <v>7.7630973690151563</v>
      </c>
      <c r="I586" s="29">
        <v>2006</v>
      </c>
      <c r="J586" s="29">
        <v>8.6559600008389399</v>
      </c>
      <c r="K586" s="29">
        <v>5010</v>
      </c>
      <c r="L586" s="29">
        <v>10.584822153058379</v>
      </c>
      <c r="M586" s="29">
        <v>4751</v>
      </c>
      <c r="N586" s="29">
        <v>7.6996054410564438</v>
      </c>
      <c r="O586" s="29">
        <v>2057</v>
      </c>
      <c r="P586" s="29">
        <v>3.740073883513936</v>
      </c>
      <c r="Q586" s="29">
        <v>5847</v>
      </c>
      <c r="R586" s="29">
        <v>22.875555906947461</v>
      </c>
      <c r="S586" s="29">
        <v>2720</v>
      </c>
      <c r="T586" s="29">
        <v>18.012378723105691</v>
      </c>
      <c r="U586" s="29">
        <v>1723</v>
      </c>
      <c r="V586" s="29">
        <v>2.954271394178182</v>
      </c>
      <c r="W586" s="29">
        <v>6265</v>
      </c>
      <c r="X586" s="29">
        <v>3399.521162031207</v>
      </c>
      <c r="Y586" s="29">
        <v>0.37920154554035279</v>
      </c>
      <c r="Z586" s="29">
        <v>0.1020685199701763</v>
      </c>
      <c r="AA586" s="29">
        <v>3.7151664945386962</v>
      </c>
      <c r="AB586" s="29">
        <v>2.030699401261886E-4</v>
      </c>
      <c r="AC586" s="29">
        <v>1.093617203750194E-2</v>
      </c>
      <c r="AD586" s="29" t="s">
        <v>2292</v>
      </c>
      <c r="AE586" s="29" t="s">
        <v>2293</v>
      </c>
      <c r="AF586" s="29" t="s">
        <v>43</v>
      </c>
      <c r="AG586" s="29" t="s">
        <v>2294</v>
      </c>
      <c r="AH586" s="29" t="s">
        <v>43</v>
      </c>
      <c r="AI586" s="29" t="s">
        <v>43</v>
      </c>
      <c r="AJ586" s="29" t="s">
        <v>43</v>
      </c>
      <c r="AK586" s="29" t="s">
        <v>43</v>
      </c>
      <c r="AL586" s="29" t="s">
        <v>43</v>
      </c>
      <c r="AM586" s="29" t="s">
        <v>1312</v>
      </c>
      <c r="AN586" s="29" t="s">
        <v>43</v>
      </c>
    </row>
    <row r="587" spans="1:40" s="29" customFormat="1" x14ac:dyDescent="0.3">
      <c r="A587" s="29" t="s">
        <v>2295</v>
      </c>
      <c r="B587" s="29">
        <v>1492</v>
      </c>
      <c r="C587" s="29" t="str">
        <f>IF(Y587&lt;0, "Down", "Up")</f>
        <v>Up</v>
      </c>
      <c r="D587" s="30" t="str">
        <f>IF(AC587&lt;0.05, "Sig", "N")</f>
        <v>Sig</v>
      </c>
      <c r="E587" s="31" t="str">
        <f>IF(AND(H587&gt;2,J587&gt;2,L587&gt;2,N587&gt;2),"Y","N")</f>
        <v>Y</v>
      </c>
      <c r="F587" s="31" t="str">
        <f>IF(AND(P587&gt;2,R587&gt;2,T587&gt;2,V587&gt;2),"Y","N")</f>
        <v>Y</v>
      </c>
      <c r="G587" s="31" t="str">
        <f>IF(OR(E587="Y", F587="Y"), "Expressed", "N")</f>
        <v>Expressed</v>
      </c>
      <c r="H587" s="29">
        <v>10.30428805779718</v>
      </c>
      <c r="I587" s="29">
        <v>684</v>
      </c>
      <c r="J587" s="29">
        <v>8.6492065427785345</v>
      </c>
      <c r="K587" s="29">
        <v>1286</v>
      </c>
      <c r="L587" s="29">
        <v>11.15314345075687</v>
      </c>
      <c r="M587" s="29">
        <v>1286</v>
      </c>
      <c r="N587" s="29">
        <v>8.0286691651577371</v>
      </c>
      <c r="O587" s="29">
        <v>551</v>
      </c>
      <c r="P587" s="29">
        <v>3.8999161832193892</v>
      </c>
      <c r="Q587" s="29">
        <v>1537</v>
      </c>
      <c r="R587" s="29">
        <v>23.40831834243102</v>
      </c>
      <c r="S587" s="29">
        <v>971</v>
      </c>
      <c r="T587" s="29">
        <v>25.031056480323421</v>
      </c>
      <c r="U587" s="29">
        <v>617</v>
      </c>
      <c r="V587" s="29">
        <v>4.1182059374927862</v>
      </c>
      <c r="W587" s="29">
        <v>1900</v>
      </c>
      <c r="X587" s="29">
        <v>1035.7306944800589</v>
      </c>
      <c r="Y587" s="29">
        <v>0.56461425043134694</v>
      </c>
      <c r="Z587" s="29">
        <v>0.16183869765892059</v>
      </c>
      <c r="AA587" s="29">
        <v>3.4887468732681399</v>
      </c>
      <c r="AB587" s="29">
        <v>4.8529046348652399E-4</v>
      </c>
      <c r="AC587" s="29">
        <v>1.8901543884264248E-2</v>
      </c>
      <c r="AD587" s="29" t="s">
        <v>2296</v>
      </c>
      <c r="AE587" s="29" t="s">
        <v>2297</v>
      </c>
      <c r="AF587" s="29" t="s">
        <v>2298</v>
      </c>
      <c r="AG587" s="29" t="s">
        <v>2299</v>
      </c>
      <c r="AH587" s="29" t="s">
        <v>43</v>
      </c>
      <c r="AI587" s="29" t="s">
        <v>43</v>
      </c>
      <c r="AJ587" s="29" t="s">
        <v>43</v>
      </c>
      <c r="AK587" s="29" t="s">
        <v>43</v>
      </c>
      <c r="AL587" s="29" t="s">
        <v>43</v>
      </c>
      <c r="AM587" s="29" t="s">
        <v>2300</v>
      </c>
      <c r="AN587" s="29" t="s">
        <v>43</v>
      </c>
    </row>
    <row r="588" spans="1:40" s="29" customFormat="1" x14ac:dyDescent="0.3">
      <c r="A588" s="29" t="s">
        <v>2318</v>
      </c>
      <c r="B588" s="29">
        <v>805</v>
      </c>
      <c r="C588" s="29" t="str">
        <f>IF(Y588&lt;0, "Down", "Up")</f>
        <v>Up</v>
      </c>
      <c r="D588" s="30" t="str">
        <f>IF(AC588&lt;0.05, "Sig", "N")</f>
        <v>Sig</v>
      </c>
      <c r="E588" s="31" t="str">
        <f>IF(AND(H588&gt;2,J588&gt;2,L588&gt;2,N588&gt;2),"Y","N")</f>
        <v>Y</v>
      </c>
      <c r="F588" s="31" t="str">
        <f>IF(AND(P588&gt;2,R588&gt;2,T588&gt;2,V588&gt;2),"Y","N")</f>
        <v>N</v>
      </c>
      <c r="G588" s="31" t="str">
        <f>IF(OR(E588="Y", F588="Y"), "Expressed", "N")</f>
        <v>Expressed</v>
      </c>
      <c r="H588" s="29">
        <v>7.11991833654701</v>
      </c>
      <c r="I588" s="29">
        <v>255</v>
      </c>
      <c r="J588" s="29">
        <v>8.4266496579446954</v>
      </c>
      <c r="K588" s="29">
        <v>676</v>
      </c>
      <c r="L588" s="29">
        <v>2.475426199389029</v>
      </c>
      <c r="M588" s="29">
        <v>154</v>
      </c>
      <c r="N588" s="29">
        <v>2.484578562492163</v>
      </c>
      <c r="O588" s="29">
        <v>92</v>
      </c>
      <c r="P588" s="29">
        <v>1.206880984259959</v>
      </c>
      <c r="Q588" s="29">
        <v>759</v>
      </c>
      <c r="R588" s="29">
        <v>21.424518299245911</v>
      </c>
      <c r="S588" s="29">
        <v>3038</v>
      </c>
      <c r="T588" s="29">
        <v>145.15121068007761</v>
      </c>
      <c r="U588" s="29">
        <v>237</v>
      </c>
      <c r="V588" s="29">
        <v>2.93186645926734</v>
      </c>
      <c r="W588" s="29">
        <v>809</v>
      </c>
      <c r="X588" s="29">
        <v>869.26542744625635</v>
      </c>
      <c r="Y588" s="29">
        <v>2.5675558974091039</v>
      </c>
      <c r="Z588" s="29">
        <v>0.929214343501648</v>
      </c>
      <c r="AA588" s="29">
        <v>2.7631470772755571</v>
      </c>
      <c r="AD588" s="29" t="s">
        <v>2319</v>
      </c>
      <c r="AE588" s="29" t="s">
        <v>2320</v>
      </c>
      <c r="AF588" s="29" t="s">
        <v>43</v>
      </c>
      <c r="AG588" s="29" t="s">
        <v>43</v>
      </c>
      <c r="AH588" s="29" t="s">
        <v>43</v>
      </c>
      <c r="AI588" s="29" t="s">
        <v>43</v>
      </c>
      <c r="AJ588" s="29" t="s">
        <v>43</v>
      </c>
      <c r="AK588" s="29" t="s">
        <v>43</v>
      </c>
      <c r="AL588" s="29" t="s">
        <v>43</v>
      </c>
      <c r="AM588" s="29" t="s">
        <v>43</v>
      </c>
      <c r="AN588" s="29" t="s">
        <v>43</v>
      </c>
    </row>
    <row r="589" spans="1:40" s="29" customFormat="1" x14ac:dyDescent="0.3">
      <c r="A589" s="29" t="s">
        <v>2351</v>
      </c>
      <c r="B589" s="29">
        <v>2150</v>
      </c>
      <c r="C589" s="29" t="str">
        <f>IF(Y589&lt;0, "Down", "Up")</f>
        <v>Up</v>
      </c>
      <c r="D589" s="30" t="str">
        <f>IF(AC589&lt;0.05, "Sig", "N")</f>
        <v>Sig</v>
      </c>
      <c r="E589" s="31" t="str">
        <f>IF(AND(H589&gt;2,J589&gt;2,L589&gt;2,N589&gt;2),"Y","N")</f>
        <v>Y</v>
      </c>
      <c r="F589" s="31" t="str">
        <f>IF(AND(P589&gt;2,R589&gt;2,T589&gt;2,V589&gt;2),"Y","N")</f>
        <v>Y</v>
      </c>
      <c r="G589" s="31" t="str">
        <f>IF(OR(E589="Y", F589="Y"), "Expressed", "N")</f>
        <v>Expressed</v>
      </c>
      <c r="H589" s="29">
        <v>11.133760123812429</v>
      </c>
      <c r="I589" s="29">
        <v>1065</v>
      </c>
      <c r="J589" s="29">
        <v>8.2657872699168458</v>
      </c>
      <c r="K589" s="29">
        <v>1771</v>
      </c>
      <c r="L589" s="29">
        <v>10.929556183518081</v>
      </c>
      <c r="M589" s="29">
        <v>1816</v>
      </c>
      <c r="N589" s="29">
        <v>8.948816392231949</v>
      </c>
      <c r="O589" s="29">
        <v>885</v>
      </c>
      <c r="P589" s="29">
        <v>4.3468765683083994</v>
      </c>
      <c r="Q589" s="29">
        <v>2376</v>
      </c>
      <c r="R589" s="29">
        <v>25.11152842516265</v>
      </c>
      <c r="S589" s="29">
        <v>1806</v>
      </c>
      <c r="T589" s="29">
        <v>32.307850119114043</v>
      </c>
      <c r="U589" s="29">
        <v>1701</v>
      </c>
      <c r="V589" s="29">
        <v>7.8787545913199208</v>
      </c>
      <c r="W589" s="29">
        <v>2388</v>
      </c>
      <c r="X589" s="29">
        <v>1808.1327903589529</v>
      </c>
      <c r="Y589" s="29">
        <v>0.93510253421210354</v>
      </c>
      <c r="Z589" s="29">
        <v>0.28604562844899772</v>
      </c>
      <c r="AA589" s="29">
        <v>3.2690677332928848</v>
      </c>
      <c r="AB589" s="29">
        <v>1.079024682075504E-3</v>
      </c>
      <c r="AC589" s="29">
        <v>3.2291520928644388E-2</v>
      </c>
      <c r="AD589" s="29" t="s">
        <v>2352</v>
      </c>
      <c r="AE589" s="29" t="s">
        <v>2353</v>
      </c>
      <c r="AF589" s="29" t="s">
        <v>43</v>
      </c>
      <c r="AG589" s="29" t="s">
        <v>2354</v>
      </c>
      <c r="AH589" s="29" t="s">
        <v>43</v>
      </c>
      <c r="AI589" s="29" t="s">
        <v>43</v>
      </c>
      <c r="AJ589" s="29" t="s">
        <v>43</v>
      </c>
      <c r="AK589" s="29" t="s">
        <v>43</v>
      </c>
      <c r="AL589" s="29" t="s">
        <v>43</v>
      </c>
      <c r="AM589" s="29" t="s">
        <v>2355</v>
      </c>
      <c r="AN589" s="29" t="s">
        <v>43</v>
      </c>
    </row>
    <row r="590" spans="1:40" s="29" customFormat="1" x14ac:dyDescent="0.3">
      <c r="A590" s="29" t="s">
        <v>2356</v>
      </c>
      <c r="B590" s="29">
        <v>2845</v>
      </c>
      <c r="C590" s="29" t="str">
        <f>IF(Y590&lt;0, "Down", "Up")</f>
        <v>Up</v>
      </c>
      <c r="D590" s="30" t="str">
        <f>IF(AC590&lt;0.05, "Sig", "N")</f>
        <v>Sig</v>
      </c>
      <c r="E590" s="31" t="str">
        <f>IF(AND(H590&gt;2,J590&gt;2,L590&gt;2,N590&gt;2),"Y","N")</f>
        <v>Y</v>
      </c>
      <c r="F590" s="31" t="str">
        <f>IF(AND(P590&gt;2,R590&gt;2,T590&gt;2,V590&gt;2),"Y","N")</f>
        <v>Y</v>
      </c>
      <c r="G590" s="31" t="str">
        <f>IF(OR(E590="Y", F590="Y"), "Expressed", "N")</f>
        <v>Expressed</v>
      </c>
      <c r="H590" s="29">
        <v>8.1611011978782368</v>
      </c>
      <c r="I590" s="29">
        <v>1033</v>
      </c>
      <c r="J590" s="29">
        <v>8.211165922242218</v>
      </c>
      <c r="K590" s="29">
        <v>2328</v>
      </c>
      <c r="L590" s="29">
        <v>11.097692787163471</v>
      </c>
      <c r="M590" s="29">
        <v>2440</v>
      </c>
      <c r="N590" s="29">
        <v>8.2604595704649384</v>
      </c>
      <c r="O590" s="29">
        <v>1081</v>
      </c>
      <c r="P590" s="29">
        <v>4.0125080878273778</v>
      </c>
      <c r="Q590" s="29">
        <v>3284</v>
      </c>
      <c r="R590" s="29">
        <v>26.229260620070558</v>
      </c>
      <c r="S590" s="29">
        <v>1121</v>
      </c>
      <c r="T590" s="29">
        <v>15.154866509133329</v>
      </c>
      <c r="U590" s="29">
        <v>846</v>
      </c>
      <c r="V590" s="29">
        <v>2.9612823070377918</v>
      </c>
      <c r="W590" s="29">
        <v>3710</v>
      </c>
      <c r="X590" s="29">
        <v>1728.101571487379</v>
      </c>
      <c r="Y590" s="29">
        <v>0.40667402735994829</v>
      </c>
      <c r="Z590" s="29">
        <v>0.1268083451269823</v>
      </c>
      <c r="AA590" s="29">
        <v>3.2069973545724961</v>
      </c>
      <c r="AB590" s="29">
        <v>1.341282292621224E-3</v>
      </c>
      <c r="AC590" s="29">
        <v>3.6999377481573573E-2</v>
      </c>
      <c r="AD590" s="29" t="s">
        <v>2357</v>
      </c>
      <c r="AE590" s="29" t="s">
        <v>2358</v>
      </c>
      <c r="AF590" s="29" t="s">
        <v>2359</v>
      </c>
      <c r="AG590" s="29" t="s">
        <v>2360</v>
      </c>
      <c r="AH590" s="29" t="s">
        <v>43</v>
      </c>
      <c r="AI590" s="29" t="s">
        <v>43</v>
      </c>
      <c r="AJ590" s="29" t="s">
        <v>43</v>
      </c>
      <c r="AK590" s="29" t="s">
        <v>43</v>
      </c>
      <c r="AL590" s="29" t="s">
        <v>43</v>
      </c>
      <c r="AM590" s="29" t="s">
        <v>2361</v>
      </c>
      <c r="AN590" s="29" t="s">
        <v>43</v>
      </c>
    </row>
    <row r="591" spans="1:40" s="29" customFormat="1" x14ac:dyDescent="0.3">
      <c r="A591" s="29" t="s">
        <v>2366</v>
      </c>
      <c r="B591" s="29">
        <v>3846</v>
      </c>
      <c r="C591" s="29" t="str">
        <f>IF(Y591&lt;0, "Down", "Up")</f>
        <v>Up</v>
      </c>
      <c r="D591" s="30" t="str">
        <f>IF(AC591&lt;0.05, "Sig", "N")</f>
        <v>Sig</v>
      </c>
      <c r="E591" s="31" t="str">
        <f>IF(AND(H591&gt;2,J591&gt;2,L591&gt;2,N591&gt;2),"Y","N")</f>
        <v>Y</v>
      </c>
      <c r="F591" s="31" t="str">
        <f>IF(AND(P591&gt;2,R591&gt;2,T591&gt;2,V591&gt;2),"Y","N")</f>
        <v>Y</v>
      </c>
      <c r="G591" s="31" t="str">
        <f>IF(OR(E591="Y", F591="Y"), "Expressed", "N")</f>
        <v>Expressed</v>
      </c>
      <c r="H591" s="29">
        <v>7.5447990077270628</v>
      </c>
      <c r="I591" s="29">
        <v>1291</v>
      </c>
      <c r="J591" s="29">
        <v>8.1300326893826966</v>
      </c>
      <c r="K591" s="29">
        <v>3116</v>
      </c>
      <c r="L591" s="29">
        <v>9.6997491995985889</v>
      </c>
      <c r="M591" s="29">
        <v>2883</v>
      </c>
      <c r="N591" s="29">
        <v>10.92090499192148</v>
      </c>
      <c r="O591" s="29">
        <v>1932</v>
      </c>
      <c r="P591" s="29">
        <v>5.3048161827651086</v>
      </c>
      <c r="Q591" s="29">
        <v>5283</v>
      </c>
      <c r="R591" s="29">
        <v>31.213071086229409</v>
      </c>
      <c r="S591" s="29">
        <v>1946</v>
      </c>
      <c r="T591" s="29">
        <v>19.460873490019289</v>
      </c>
      <c r="U591" s="29">
        <v>1452</v>
      </c>
      <c r="V591" s="29">
        <v>3.7596641911693269</v>
      </c>
      <c r="W591" s="29">
        <v>4305</v>
      </c>
      <c r="X591" s="29">
        <v>2543.4736568516601</v>
      </c>
      <c r="Y591" s="29">
        <v>0.55344647367008704</v>
      </c>
      <c r="Z591" s="29">
        <v>0.16363954812485021</v>
      </c>
      <c r="AA591" s="29">
        <v>3.3821070762663701</v>
      </c>
      <c r="AB591" s="29">
        <v>7.1932100550987639E-4</v>
      </c>
      <c r="AC591" s="29">
        <v>2.4826550674838681E-2</v>
      </c>
      <c r="AD591" s="29" t="s">
        <v>2367</v>
      </c>
      <c r="AE591" s="29" t="s">
        <v>2368</v>
      </c>
      <c r="AF591" s="29" t="s">
        <v>2369</v>
      </c>
      <c r="AG591" s="29" t="s">
        <v>2370</v>
      </c>
      <c r="AH591" s="29" t="s">
        <v>43</v>
      </c>
      <c r="AI591" s="29" t="s">
        <v>43</v>
      </c>
      <c r="AJ591" s="29" t="s">
        <v>43</v>
      </c>
      <c r="AK591" s="29" t="s">
        <v>43</v>
      </c>
      <c r="AL591" s="29" t="s">
        <v>43</v>
      </c>
      <c r="AM591" s="29" t="s">
        <v>1312</v>
      </c>
      <c r="AN591" s="29" t="s">
        <v>43</v>
      </c>
    </row>
    <row r="592" spans="1:40" s="29" customFormat="1" x14ac:dyDescent="0.3">
      <c r="A592" s="29" t="s">
        <v>2388</v>
      </c>
      <c r="B592" s="29">
        <v>1280</v>
      </c>
      <c r="C592" s="29" t="str">
        <f>IF(Y592&lt;0, "Down", "Up")</f>
        <v>Up</v>
      </c>
      <c r="D592" s="30" t="str">
        <f>IF(AC592&lt;0.05, "Sig", "N")</f>
        <v>Sig</v>
      </c>
      <c r="E592" s="31" t="str">
        <f>IF(AND(H592&gt;2,J592&gt;2,L592&gt;2,N592&gt;2),"Y","N")</f>
        <v>Y</v>
      </c>
      <c r="F592" s="31" t="str">
        <f>IF(AND(P592&gt;2,R592&gt;2,T592&gt;2,V592&gt;2),"Y","N")</f>
        <v>Y</v>
      </c>
      <c r="G592" s="31" t="str">
        <f>IF(OR(E592="Y", F592="Y"), "Expressed", "N")</f>
        <v>Expressed</v>
      </c>
      <c r="H592" s="29">
        <v>7.7614526449962984</v>
      </c>
      <c r="I592" s="29">
        <v>442</v>
      </c>
      <c r="J592" s="29">
        <v>8.0747926265311154</v>
      </c>
      <c r="K592" s="29">
        <v>1030</v>
      </c>
      <c r="L592" s="29">
        <v>8.9971545279640335</v>
      </c>
      <c r="M592" s="29">
        <v>890</v>
      </c>
      <c r="N592" s="29">
        <v>10.071763293852509</v>
      </c>
      <c r="O592" s="29">
        <v>593</v>
      </c>
      <c r="P592" s="29">
        <v>4.892346646155362</v>
      </c>
      <c r="Q592" s="29">
        <v>1584</v>
      </c>
      <c r="R592" s="29">
        <v>28.119680267760248</v>
      </c>
      <c r="S592" s="29">
        <v>793</v>
      </c>
      <c r="T592" s="29">
        <v>23.828241391794489</v>
      </c>
      <c r="U592" s="29">
        <v>444</v>
      </c>
      <c r="V592" s="29">
        <v>3.45433712378472</v>
      </c>
      <c r="W592" s="29">
        <v>1308</v>
      </c>
      <c r="X592" s="29">
        <v>826.07642192464982</v>
      </c>
      <c r="Y592" s="29">
        <v>0.58393030298515247</v>
      </c>
      <c r="Z592" s="29">
        <v>0.17059246108654449</v>
      </c>
      <c r="AA592" s="29">
        <v>3.422954914103236</v>
      </c>
      <c r="AB592" s="29">
        <v>6.1944350749967879E-4</v>
      </c>
      <c r="AC592" s="29">
        <v>2.2392788079980741E-2</v>
      </c>
      <c r="AD592" s="29" t="s">
        <v>2389</v>
      </c>
      <c r="AE592" s="29" t="s">
        <v>2390</v>
      </c>
      <c r="AF592" s="29" t="s">
        <v>2391</v>
      </c>
      <c r="AG592" s="29" t="s">
        <v>43</v>
      </c>
      <c r="AH592" s="29" t="s">
        <v>43</v>
      </c>
      <c r="AI592" s="29" t="s">
        <v>43</v>
      </c>
      <c r="AJ592" s="29" t="s">
        <v>43</v>
      </c>
      <c r="AK592" s="29" t="s">
        <v>43</v>
      </c>
      <c r="AL592" s="29" t="s">
        <v>43</v>
      </c>
      <c r="AM592" s="29" t="s">
        <v>43</v>
      </c>
      <c r="AN592" s="29" t="s">
        <v>43</v>
      </c>
    </row>
    <row r="593" spans="1:40" s="29" customFormat="1" x14ac:dyDescent="0.3">
      <c r="A593" s="29" t="s">
        <v>2406</v>
      </c>
      <c r="B593" s="29">
        <v>2439</v>
      </c>
      <c r="C593" s="29" t="str">
        <f>IF(Y593&lt;0, "Down", "Up")</f>
        <v>Up</v>
      </c>
      <c r="D593" s="30" t="str">
        <f>IF(AC593&lt;0.05, "Sig", "N")</f>
        <v>Sig</v>
      </c>
      <c r="E593" s="31" t="str">
        <f>IF(AND(H593&gt;2,J593&gt;2,L593&gt;2,N593&gt;2),"Y","N")</f>
        <v>Y</v>
      </c>
      <c r="F593" s="31" t="str">
        <f>IF(AND(P593&gt;2,R593&gt;2,T593&gt;2,V593&gt;2),"Y","N")</f>
        <v>Y</v>
      </c>
      <c r="G593" s="31" t="str">
        <f>IF(OR(E593="Y", F593="Y"), "Expressed", "N")</f>
        <v>Expressed</v>
      </c>
      <c r="H593" s="29">
        <v>8.2755191637628212</v>
      </c>
      <c r="I593" s="29">
        <v>898</v>
      </c>
      <c r="J593" s="29">
        <v>7.870590054426712</v>
      </c>
      <c r="K593" s="29">
        <v>1913</v>
      </c>
      <c r="L593" s="29">
        <v>9.5336986327246613</v>
      </c>
      <c r="M593" s="29">
        <v>1797</v>
      </c>
      <c r="N593" s="29">
        <v>8.548060624236312</v>
      </c>
      <c r="O593" s="29">
        <v>959</v>
      </c>
      <c r="P593" s="29">
        <v>4.1522099463597311</v>
      </c>
      <c r="Q593" s="29">
        <v>2287</v>
      </c>
      <c r="R593" s="29">
        <v>21.30686405584925</v>
      </c>
      <c r="S593" s="29">
        <v>1242</v>
      </c>
      <c r="T593" s="29">
        <v>19.58567613968432</v>
      </c>
      <c r="U593" s="29">
        <v>754</v>
      </c>
      <c r="V593" s="29">
        <v>3.0785858228220011</v>
      </c>
      <c r="W593" s="29">
        <v>2475</v>
      </c>
      <c r="X593" s="29">
        <v>1424.0720079064099</v>
      </c>
      <c r="Y593" s="29">
        <v>0.39563858414299119</v>
      </c>
      <c r="Z593" s="29">
        <v>0.12365140463932039</v>
      </c>
      <c r="AA593" s="29">
        <v>3.1996287086024791</v>
      </c>
      <c r="AB593" s="29">
        <v>1.376047310812599E-3</v>
      </c>
      <c r="AC593" s="29">
        <v>3.7621834524608593E-2</v>
      </c>
      <c r="AD593" s="29" t="s">
        <v>2407</v>
      </c>
      <c r="AE593" s="29" t="s">
        <v>2408</v>
      </c>
      <c r="AF593" s="29" t="s">
        <v>43</v>
      </c>
      <c r="AG593" s="29" t="s">
        <v>2409</v>
      </c>
      <c r="AH593" s="29" t="s">
        <v>43</v>
      </c>
      <c r="AI593" s="29" t="s">
        <v>43</v>
      </c>
      <c r="AJ593" s="29" t="s">
        <v>43</v>
      </c>
      <c r="AK593" s="29" t="s">
        <v>43</v>
      </c>
      <c r="AL593" s="29" t="s">
        <v>43</v>
      </c>
      <c r="AM593" s="29" t="s">
        <v>2410</v>
      </c>
      <c r="AN593" s="29" t="s">
        <v>43</v>
      </c>
    </row>
    <row r="594" spans="1:40" s="29" customFormat="1" x14ac:dyDescent="0.3">
      <c r="A594" s="29" t="s">
        <v>2417</v>
      </c>
      <c r="B594" s="29">
        <v>1933</v>
      </c>
      <c r="C594" s="29" t="str">
        <f>IF(Y594&lt;0, "Down", "Up")</f>
        <v>Up</v>
      </c>
      <c r="D594" s="30" t="str">
        <f>IF(AC594&lt;0.05, "Sig", "N")</f>
        <v>Sig</v>
      </c>
      <c r="E594" s="31" t="str">
        <f>IF(AND(H594&gt;2,J594&gt;2,L594&gt;2,N594&gt;2),"Y","N")</f>
        <v>Y</v>
      </c>
      <c r="F594" s="31" t="str">
        <f>IF(AND(P594&gt;2,R594&gt;2,T594&gt;2,V594&gt;2),"Y","N")</f>
        <v>Y</v>
      </c>
      <c r="G594" s="31" t="str">
        <f>IF(OR(E594="Y", F594="Y"), "Expressed", "N")</f>
        <v>Expressed</v>
      </c>
      <c r="H594" s="29">
        <v>8.0348339456010809</v>
      </c>
      <c r="I594" s="29">
        <v>691</v>
      </c>
      <c r="J594" s="29">
        <v>7.8180283428402459</v>
      </c>
      <c r="K594" s="29">
        <v>1506</v>
      </c>
      <c r="L594" s="29">
        <v>9.7934929435217803</v>
      </c>
      <c r="M594" s="29">
        <v>1463</v>
      </c>
      <c r="N594" s="29">
        <v>8.738762804833728</v>
      </c>
      <c r="O594" s="29">
        <v>777</v>
      </c>
      <c r="P594" s="29">
        <v>4.244843296294567</v>
      </c>
      <c r="Q594" s="29">
        <v>1719</v>
      </c>
      <c r="R594" s="29">
        <v>20.20734207267915</v>
      </c>
      <c r="S594" s="29">
        <v>1228</v>
      </c>
      <c r="T594" s="29">
        <v>24.43404031869537</v>
      </c>
      <c r="U594" s="29">
        <v>681</v>
      </c>
      <c r="V594" s="29">
        <v>3.5083828340168921</v>
      </c>
      <c r="W594" s="29">
        <v>2073</v>
      </c>
      <c r="X594" s="29">
        <v>1199.979482323909</v>
      </c>
      <c r="Y594" s="29">
        <v>0.53884094401982063</v>
      </c>
      <c r="Z594" s="29">
        <v>0.17354922958620481</v>
      </c>
      <c r="AA594" s="29">
        <v>3.1048305158402871</v>
      </c>
      <c r="AB594" s="29">
        <v>1.9038808357659601E-3</v>
      </c>
      <c r="AC594" s="29">
        <v>4.4989433166515852E-2</v>
      </c>
      <c r="AD594" s="29" t="s">
        <v>2418</v>
      </c>
      <c r="AE594" s="29" t="s">
        <v>2419</v>
      </c>
      <c r="AF594" s="29" t="s">
        <v>43</v>
      </c>
      <c r="AG594" s="29" t="s">
        <v>2420</v>
      </c>
      <c r="AH594" s="29" t="s">
        <v>43</v>
      </c>
      <c r="AI594" s="29" t="s">
        <v>43</v>
      </c>
      <c r="AJ594" s="29" t="s">
        <v>43</v>
      </c>
      <c r="AK594" s="29" t="s">
        <v>43</v>
      </c>
      <c r="AL594" s="29" t="s">
        <v>43</v>
      </c>
      <c r="AM594" s="29" t="s">
        <v>2421</v>
      </c>
      <c r="AN594" s="29" t="s">
        <v>43</v>
      </c>
    </row>
    <row r="595" spans="1:40" s="29" customFormat="1" x14ac:dyDescent="0.3">
      <c r="A595" s="29" t="s">
        <v>2507</v>
      </c>
      <c r="B595" s="29">
        <v>3047</v>
      </c>
      <c r="C595" s="29" t="str">
        <f>IF(Y595&lt;0, "Down", "Up")</f>
        <v>Up</v>
      </c>
      <c r="D595" s="30" t="str">
        <f>IF(AC595&lt;0.05, "Sig", "N")</f>
        <v>Sig</v>
      </c>
      <c r="E595" s="31" t="str">
        <f>IF(AND(H595&gt;2,J595&gt;2,L595&gt;2,N595&gt;2),"Y","N")</f>
        <v>Y</v>
      </c>
      <c r="F595" s="31" t="str">
        <f>IF(AND(P595&gt;2,R595&gt;2,T595&gt;2,V595&gt;2),"Y","N")</f>
        <v>Y</v>
      </c>
      <c r="G595" s="31" t="str">
        <f>IF(OR(E595="Y", F595="Y"), "Expressed", "N")</f>
        <v>Expressed</v>
      </c>
      <c r="H595" s="29">
        <v>8.5790257797130689</v>
      </c>
      <c r="I595" s="29">
        <v>1163</v>
      </c>
      <c r="J595" s="29">
        <v>7.2518528507860802</v>
      </c>
      <c r="K595" s="29">
        <v>2202</v>
      </c>
      <c r="L595" s="29">
        <v>10.19635267243939</v>
      </c>
      <c r="M595" s="29">
        <v>2401</v>
      </c>
      <c r="N595" s="29">
        <v>9.0185227768832714</v>
      </c>
      <c r="O595" s="29">
        <v>1264</v>
      </c>
      <c r="P595" s="29">
        <v>4.3807363590138344</v>
      </c>
      <c r="Q595" s="29">
        <v>3145</v>
      </c>
      <c r="R595" s="29">
        <v>23.453808035618671</v>
      </c>
      <c r="S595" s="29">
        <v>1604</v>
      </c>
      <c r="T595" s="29">
        <v>20.247000012134858</v>
      </c>
      <c r="U595" s="29">
        <v>938</v>
      </c>
      <c r="V595" s="29">
        <v>3.0656467033745249</v>
      </c>
      <c r="W595" s="29">
        <v>3149</v>
      </c>
      <c r="X595" s="29">
        <v>1830.2903742788949</v>
      </c>
      <c r="Y595" s="29">
        <v>0.41765050571954832</v>
      </c>
      <c r="Z595" s="29">
        <v>0.123281215270668</v>
      </c>
      <c r="AA595" s="29">
        <v>3.3877870590631569</v>
      </c>
      <c r="AB595" s="29">
        <v>7.0458943473053037E-4</v>
      </c>
      <c r="AC595" s="29">
        <v>2.4605470333676809E-2</v>
      </c>
      <c r="AD595" s="29" t="s">
        <v>2508</v>
      </c>
      <c r="AE595" s="29" t="s">
        <v>2509</v>
      </c>
      <c r="AF595" s="29" t="s">
        <v>43</v>
      </c>
      <c r="AG595" s="29" t="s">
        <v>2510</v>
      </c>
      <c r="AH595" s="29" t="s">
        <v>43</v>
      </c>
      <c r="AI595" s="29" t="s">
        <v>43</v>
      </c>
      <c r="AJ595" s="29" t="s">
        <v>43</v>
      </c>
      <c r="AK595" s="29" t="s">
        <v>43</v>
      </c>
      <c r="AL595" s="29" t="s">
        <v>43</v>
      </c>
      <c r="AM595" s="29" t="s">
        <v>2210</v>
      </c>
      <c r="AN595" s="29" t="s">
        <v>43</v>
      </c>
    </row>
    <row r="596" spans="1:40" s="29" customFormat="1" x14ac:dyDescent="0.3">
      <c r="A596" s="29" t="s">
        <v>2522</v>
      </c>
      <c r="B596" s="29">
        <v>3495</v>
      </c>
      <c r="C596" s="29" t="str">
        <f>IF(Y596&lt;0, "Down", "Up")</f>
        <v>Up</v>
      </c>
      <c r="D596" s="30" t="str">
        <f>IF(AC596&lt;0.05, "Sig", "N")</f>
        <v>Sig</v>
      </c>
      <c r="E596" s="31" t="str">
        <f>IF(AND(H596&gt;2,J596&gt;2,L596&gt;2,N596&gt;2),"Y","N")</f>
        <v>Y</v>
      </c>
      <c r="F596" s="31" t="str">
        <f>IF(AND(P596&gt;2,R596&gt;2,T596&gt;2,V596&gt;2),"Y","N")</f>
        <v>Y</v>
      </c>
      <c r="G596" s="31" t="str">
        <f>IF(OR(E596="Y", F596="Y"), "Expressed", "N")</f>
        <v>Expressed</v>
      </c>
      <c r="H596" s="29">
        <v>7.0806128881856969</v>
      </c>
      <c r="I596" s="29">
        <v>1101</v>
      </c>
      <c r="J596" s="29">
        <v>7.1118559134337529</v>
      </c>
      <c r="K596" s="29">
        <v>2477</v>
      </c>
      <c r="L596" s="29">
        <v>8.9115665121846828</v>
      </c>
      <c r="M596" s="29">
        <v>2407</v>
      </c>
      <c r="N596" s="29">
        <v>8.042890046179032</v>
      </c>
      <c r="O596" s="29">
        <v>1293</v>
      </c>
      <c r="P596" s="29">
        <v>3.906823958704182</v>
      </c>
      <c r="Q596" s="29">
        <v>3334</v>
      </c>
      <c r="R596" s="29">
        <v>21.67622179164178</v>
      </c>
      <c r="S596" s="29">
        <v>1684</v>
      </c>
      <c r="T596" s="29">
        <v>18.532059268542831</v>
      </c>
      <c r="U596" s="29">
        <v>1031</v>
      </c>
      <c r="V596" s="29">
        <v>2.9376713293870389</v>
      </c>
      <c r="W596" s="29">
        <v>3108</v>
      </c>
      <c r="X596" s="29">
        <v>1900.5059498491189</v>
      </c>
      <c r="Y596" s="29">
        <v>0.45740086621542159</v>
      </c>
      <c r="Z596" s="29">
        <v>0.13097109614551261</v>
      </c>
      <c r="AA596" s="29">
        <v>3.4923802249256291</v>
      </c>
      <c r="AB596" s="29">
        <v>4.7873624637115661E-4</v>
      </c>
      <c r="AC596" s="29">
        <v>1.8738878040905439E-2</v>
      </c>
      <c r="AD596" s="29" t="s">
        <v>2523</v>
      </c>
      <c r="AE596" s="29" t="s">
        <v>2524</v>
      </c>
      <c r="AF596" s="29" t="s">
        <v>43</v>
      </c>
      <c r="AG596" s="29" t="s">
        <v>2525</v>
      </c>
      <c r="AH596" s="29" t="s">
        <v>43</v>
      </c>
      <c r="AI596" s="29" t="s">
        <v>43</v>
      </c>
      <c r="AJ596" s="29" t="s">
        <v>43</v>
      </c>
      <c r="AK596" s="29" t="s">
        <v>43</v>
      </c>
      <c r="AL596" s="29" t="s">
        <v>43</v>
      </c>
      <c r="AM596" s="29" t="s">
        <v>2526</v>
      </c>
      <c r="AN596" s="29" t="s">
        <v>43</v>
      </c>
    </row>
    <row r="597" spans="1:40" s="29" customFormat="1" x14ac:dyDescent="0.3">
      <c r="A597" s="29" t="s">
        <v>2537</v>
      </c>
      <c r="B597" s="29">
        <v>2265</v>
      </c>
      <c r="C597" s="29" t="str">
        <f>IF(Y597&lt;0, "Down", "Up")</f>
        <v>Up</v>
      </c>
      <c r="D597" s="30" t="str">
        <f>IF(AC597&lt;0.05, "Sig", "N")</f>
        <v>Sig</v>
      </c>
      <c r="E597" s="31" t="str">
        <f>IF(AND(H597&gt;2,J597&gt;2,L597&gt;2,N597&gt;2),"Y","N")</f>
        <v>Y</v>
      </c>
      <c r="F597" s="31" t="str">
        <f>IF(AND(P597&gt;2,R597&gt;2,T597&gt;2,V597&gt;2),"Y","N")</f>
        <v>Y</v>
      </c>
      <c r="G597" s="31" t="str">
        <f>IF(OR(E597="Y", F597="Y"), "Expressed", "N")</f>
        <v>Expressed</v>
      </c>
      <c r="H597" s="29">
        <v>7.2242686091849713</v>
      </c>
      <c r="I597" s="29">
        <v>728</v>
      </c>
      <c r="J597" s="29">
        <v>6.973336848421428</v>
      </c>
      <c r="K597" s="29">
        <v>1574</v>
      </c>
      <c r="L597" s="29">
        <v>9.5462628056510699</v>
      </c>
      <c r="M597" s="29">
        <v>1671</v>
      </c>
      <c r="N597" s="29">
        <v>6.3252543646668604</v>
      </c>
      <c r="O597" s="29">
        <v>659</v>
      </c>
      <c r="P597" s="29">
        <v>3.0724845366397311</v>
      </c>
      <c r="Q597" s="29">
        <v>1991</v>
      </c>
      <c r="R597" s="29">
        <v>19.974146199517708</v>
      </c>
      <c r="S597" s="29">
        <v>908</v>
      </c>
      <c r="T597" s="29">
        <v>15.41865232216732</v>
      </c>
      <c r="U597" s="29">
        <v>539</v>
      </c>
      <c r="V597" s="29">
        <v>2.3698031824290058</v>
      </c>
      <c r="W597" s="29">
        <v>2183</v>
      </c>
      <c r="X597" s="29">
        <v>1138.5250184659931</v>
      </c>
      <c r="Y597" s="29">
        <v>0.36543150190280832</v>
      </c>
      <c r="Z597" s="29">
        <v>0.1083215714407494</v>
      </c>
      <c r="AA597" s="29">
        <v>3.3735801377539558</v>
      </c>
      <c r="AB597" s="29">
        <v>7.4197445498365737E-4</v>
      </c>
      <c r="AC597" s="29">
        <v>2.5386049297718712E-2</v>
      </c>
      <c r="AD597" s="29" t="s">
        <v>2538</v>
      </c>
      <c r="AE597" s="29" t="s">
        <v>2539</v>
      </c>
      <c r="AF597" s="29" t="s">
        <v>2540</v>
      </c>
      <c r="AG597" s="29" t="s">
        <v>2541</v>
      </c>
      <c r="AH597" s="29" t="s">
        <v>43</v>
      </c>
      <c r="AI597" s="29" t="s">
        <v>43</v>
      </c>
      <c r="AJ597" s="29" t="s">
        <v>43</v>
      </c>
      <c r="AK597" s="29" t="s">
        <v>43</v>
      </c>
      <c r="AL597" s="29" t="s">
        <v>43</v>
      </c>
      <c r="AM597" s="29" t="s">
        <v>2542</v>
      </c>
      <c r="AN597" s="29" t="s">
        <v>43</v>
      </c>
    </row>
    <row r="598" spans="1:40" s="29" customFormat="1" x14ac:dyDescent="0.3">
      <c r="A598" s="29" t="s">
        <v>2549</v>
      </c>
      <c r="B598" s="29">
        <v>6653</v>
      </c>
      <c r="C598" s="29" t="str">
        <f>IF(Y598&lt;0, "Down", "Up")</f>
        <v>Up</v>
      </c>
      <c r="D598" s="30" t="str">
        <f>IF(AC598&lt;0.05, "Sig", "N")</f>
        <v>Sig</v>
      </c>
      <c r="E598" s="31" t="str">
        <f>IF(AND(H598&gt;2,J598&gt;2,L598&gt;2,N598&gt;2),"Y","N")</f>
        <v>Y</v>
      </c>
      <c r="F598" s="31" t="str">
        <f>IF(AND(P598&gt;2,R598&gt;2,T598&gt;2,V598&gt;2),"Y","N")</f>
        <v>Y</v>
      </c>
      <c r="G598" s="31" t="str">
        <f>IF(OR(E598="Y", F598="Y"), "Expressed", "N")</f>
        <v>Expressed</v>
      </c>
      <c r="H598" s="29">
        <v>6.8311581539691266</v>
      </c>
      <c r="I598" s="29">
        <v>2022</v>
      </c>
      <c r="J598" s="29">
        <v>6.8838632605751489</v>
      </c>
      <c r="K598" s="29">
        <v>4564</v>
      </c>
      <c r="L598" s="29">
        <v>8.3904984202539623</v>
      </c>
      <c r="M598" s="29">
        <v>4314</v>
      </c>
      <c r="N598" s="29">
        <v>7.5614766938313656</v>
      </c>
      <c r="O598" s="29">
        <v>2314</v>
      </c>
      <c r="P598" s="29">
        <v>3.672978014249741</v>
      </c>
      <c r="Q598" s="29">
        <v>6293</v>
      </c>
      <c r="R598" s="29">
        <v>21.493412759795799</v>
      </c>
      <c r="S598" s="29">
        <v>2637</v>
      </c>
      <c r="T598" s="29">
        <v>15.24478766544698</v>
      </c>
      <c r="U598" s="29">
        <v>2240</v>
      </c>
      <c r="V598" s="29">
        <v>3.3529124574687401</v>
      </c>
      <c r="W598" s="29">
        <v>5950</v>
      </c>
      <c r="X598" s="29">
        <v>3521.1127712123748</v>
      </c>
      <c r="Y598" s="29">
        <v>0.509827168496233</v>
      </c>
      <c r="Z598" s="29">
        <v>0.14279711876915921</v>
      </c>
      <c r="AA598" s="29">
        <v>3.570290303408723</v>
      </c>
      <c r="AB598" s="29">
        <v>3.5658581813502422E-4</v>
      </c>
      <c r="AC598" s="29">
        <v>1.533936559634623E-2</v>
      </c>
      <c r="AD598" s="29" t="s">
        <v>2550</v>
      </c>
      <c r="AE598" s="29" t="s">
        <v>2551</v>
      </c>
      <c r="AF598" s="29" t="s">
        <v>43</v>
      </c>
      <c r="AG598" s="29" t="s">
        <v>2552</v>
      </c>
      <c r="AH598" s="29" t="s">
        <v>43</v>
      </c>
      <c r="AI598" s="29" t="s">
        <v>43</v>
      </c>
      <c r="AJ598" s="29" t="s">
        <v>43</v>
      </c>
      <c r="AK598" s="29" t="s">
        <v>43</v>
      </c>
      <c r="AL598" s="29" t="s">
        <v>43</v>
      </c>
      <c r="AM598" s="29" t="s">
        <v>2553</v>
      </c>
      <c r="AN598" s="29" t="s">
        <v>43</v>
      </c>
    </row>
    <row r="599" spans="1:40" s="29" customFormat="1" x14ac:dyDescent="0.3">
      <c r="A599" s="29" t="s">
        <v>2597</v>
      </c>
      <c r="B599" s="29">
        <v>1272</v>
      </c>
      <c r="C599" s="29" t="str">
        <f>IF(Y599&lt;0, "Down", "Up")</f>
        <v>Up</v>
      </c>
      <c r="D599" s="30" t="str">
        <f>IF(AC599&lt;0.05, "Sig", "N")</f>
        <v>Sig</v>
      </c>
      <c r="E599" s="31" t="str">
        <f>IF(AND(H599&gt;2,J599&gt;2,L599&gt;2,N599&gt;2),"Y","N")</f>
        <v>Y</v>
      </c>
      <c r="F599" s="31" t="str">
        <f>IF(AND(P599&gt;2,R599&gt;2,T599&gt;2,V599&gt;2),"Y","N")</f>
        <v>Y</v>
      </c>
      <c r="G599" s="31" t="str">
        <f>IF(OR(E599="Y", F599="Y"), "Expressed", "N")</f>
        <v>Expressed</v>
      </c>
      <c r="H599" s="29">
        <v>7.3508393530116614</v>
      </c>
      <c r="I599" s="29">
        <v>416</v>
      </c>
      <c r="J599" s="29">
        <v>6.6030178209992494</v>
      </c>
      <c r="K599" s="29">
        <v>837</v>
      </c>
      <c r="L599" s="29">
        <v>10.50844251559533</v>
      </c>
      <c r="M599" s="29">
        <v>1033</v>
      </c>
      <c r="N599" s="29">
        <v>7.5543298666968894</v>
      </c>
      <c r="O599" s="29">
        <v>442</v>
      </c>
      <c r="P599" s="29">
        <v>3.6695064517495219</v>
      </c>
      <c r="Q599" s="29">
        <v>1150</v>
      </c>
      <c r="R599" s="29">
        <v>20.543569219188289</v>
      </c>
      <c r="S599" s="29">
        <v>591</v>
      </c>
      <c r="T599" s="29">
        <v>17.870188885516249</v>
      </c>
      <c r="U599" s="29">
        <v>345</v>
      </c>
      <c r="V599" s="29">
        <v>2.700994521402297</v>
      </c>
      <c r="W599" s="29">
        <v>1269</v>
      </c>
      <c r="X599" s="29">
        <v>689.55089732811575</v>
      </c>
      <c r="Y599" s="29">
        <v>0.40203933391387892</v>
      </c>
      <c r="Z599" s="29">
        <v>0.13177584076086021</v>
      </c>
      <c r="AA599" s="29">
        <v>3.05093355195114</v>
      </c>
      <c r="AB599" s="29">
        <v>2.2813105586484061E-3</v>
      </c>
      <c r="AC599" s="29">
        <v>4.9984958097019569E-2</v>
      </c>
      <c r="AD599" s="29" t="s">
        <v>2598</v>
      </c>
      <c r="AE599" s="29" t="s">
        <v>2599</v>
      </c>
      <c r="AF599" s="29" t="s">
        <v>2600</v>
      </c>
      <c r="AG599" s="29" t="s">
        <v>2601</v>
      </c>
      <c r="AH599" s="29" t="s">
        <v>43</v>
      </c>
      <c r="AI599" s="29" t="s">
        <v>43</v>
      </c>
      <c r="AJ599" s="29" t="s">
        <v>43</v>
      </c>
      <c r="AK599" s="29" t="s">
        <v>43</v>
      </c>
      <c r="AL599" s="29" t="s">
        <v>43</v>
      </c>
      <c r="AM599" s="29" t="s">
        <v>2602</v>
      </c>
      <c r="AN599" s="29" t="s">
        <v>43</v>
      </c>
    </row>
    <row r="600" spans="1:40" s="29" customFormat="1" x14ac:dyDescent="0.3">
      <c r="A600" s="29" t="s">
        <v>2619</v>
      </c>
      <c r="B600" s="29">
        <v>2930</v>
      </c>
      <c r="C600" s="29" t="str">
        <f>IF(Y600&lt;0, "Down", "Up")</f>
        <v>Up</v>
      </c>
      <c r="D600" s="30" t="str">
        <f>IF(AC600&lt;0.05, "Sig", "N")</f>
        <v>Sig</v>
      </c>
      <c r="E600" s="31" t="str">
        <f>IF(AND(H600&gt;2,J600&gt;2,L600&gt;2,N600&gt;2),"Y","N")</f>
        <v>Y</v>
      </c>
      <c r="F600" s="31" t="str">
        <f>IF(AND(P600&gt;2,R600&gt;2,T600&gt;2,V600&gt;2),"Y","N")</f>
        <v>Y</v>
      </c>
      <c r="G600" s="31" t="str">
        <f>IF(OR(E600="Y", F600="Y"), "Expressed", "N")</f>
        <v>Expressed</v>
      </c>
      <c r="H600" s="29">
        <v>7.6251690495279671</v>
      </c>
      <c r="I600" s="29">
        <v>994</v>
      </c>
      <c r="J600" s="29">
        <v>6.4865904305483664</v>
      </c>
      <c r="K600" s="29">
        <v>1894</v>
      </c>
      <c r="L600" s="29">
        <v>8.9650674254943983</v>
      </c>
      <c r="M600" s="29">
        <v>2030</v>
      </c>
      <c r="N600" s="29">
        <v>7.8130668021031298</v>
      </c>
      <c r="O600" s="29">
        <v>1053</v>
      </c>
      <c r="P600" s="29">
        <v>3.795187600247508</v>
      </c>
      <c r="Q600" s="29">
        <v>2778</v>
      </c>
      <c r="R600" s="29">
        <v>21.544171209387521</v>
      </c>
      <c r="S600" s="29">
        <v>1142</v>
      </c>
      <c r="T600" s="29">
        <v>14.990884461249889</v>
      </c>
      <c r="U600" s="29">
        <v>843</v>
      </c>
      <c r="V600" s="29">
        <v>2.8651784352986081</v>
      </c>
      <c r="W600" s="29">
        <v>2692</v>
      </c>
      <c r="X600" s="29">
        <v>1536.10828188599</v>
      </c>
      <c r="Y600" s="29">
        <v>0.39195737809452991</v>
      </c>
      <c r="Z600" s="29">
        <v>0.1159557049490811</v>
      </c>
      <c r="AA600" s="29">
        <v>3.3802336699746478</v>
      </c>
      <c r="AB600" s="29">
        <v>7.2424227845692857E-4</v>
      </c>
      <c r="AC600" s="29">
        <v>2.4923633111031591E-2</v>
      </c>
      <c r="AD600" s="29" t="s">
        <v>2620</v>
      </c>
      <c r="AE600" s="29" t="s">
        <v>2621</v>
      </c>
      <c r="AF600" s="29" t="s">
        <v>2622</v>
      </c>
      <c r="AG600" s="29" t="s">
        <v>2623</v>
      </c>
      <c r="AH600" s="29" t="s">
        <v>43</v>
      </c>
      <c r="AI600" s="29" t="s">
        <v>43</v>
      </c>
      <c r="AJ600" s="29" t="s">
        <v>43</v>
      </c>
      <c r="AK600" s="29" t="s">
        <v>43</v>
      </c>
      <c r="AL600" s="29" t="s">
        <v>43</v>
      </c>
      <c r="AM600" s="29" t="s">
        <v>2624</v>
      </c>
      <c r="AN600" s="29" t="s">
        <v>43</v>
      </c>
    </row>
    <row r="601" spans="1:40" s="29" customFormat="1" x14ac:dyDescent="0.3">
      <c r="A601" s="29" t="s">
        <v>2644</v>
      </c>
      <c r="B601" s="29">
        <v>1883</v>
      </c>
      <c r="C601" s="29" t="str">
        <f>IF(Y601&lt;0, "Down", "Up")</f>
        <v>Up</v>
      </c>
      <c r="D601" s="30" t="str">
        <f>IF(AC601&lt;0.05, "Sig", "N")</f>
        <v>Sig</v>
      </c>
      <c r="E601" s="31" t="str">
        <f>IF(AND(H601&gt;2,J601&gt;2,L601&gt;2,N601&gt;2),"Y","N")</f>
        <v>Y</v>
      </c>
      <c r="F601" s="31" t="str">
        <f>IF(AND(P601&gt;2,R601&gt;2,T601&gt;2,V601&gt;2),"Y","N")</f>
        <v>Y</v>
      </c>
      <c r="G601" s="31" t="str">
        <f>IF(OR(E601="Y", F601="Y"), "Expressed", "N")</f>
        <v>Expressed</v>
      </c>
      <c r="H601" s="29">
        <v>8.5466007118781366</v>
      </c>
      <c r="I601" s="29">
        <v>716</v>
      </c>
      <c r="J601" s="29">
        <v>6.3842608135272032</v>
      </c>
      <c r="K601" s="29">
        <v>1198</v>
      </c>
      <c r="L601" s="29">
        <v>7.3047959190921619</v>
      </c>
      <c r="M601" s="29">
        <v>1063</v>
      </c>
      <c r="N601" s="29">
        <v>6.2114464062304089</v>
      </c>
      <c r="O601" s="29">
        <v>538</v>
      </c>
      <c r="P601" s="29">
        <v>3.0172024606498979</v>
      </c>
      <c r="Q601" s="29">
        <v>1473</v>
      </c>
      <c r="R601" s="29">
        <v>17.775326943105341</v>
      </c>
      <c r="S601" s="29">
        <v>1292</v>
      </c>
      <c r="T601" s="29">
        <v>26.390095815881029</v>
      </c>
      <c r="U601" s="29">
        <v>1304</v>
      </c>
      <c r="V601" s="29">
        <v>6.8963451795481054</v>
      </c>
      <c r="W601" s="29">
        <v>1425</v>
      </c>
      <c r="X601" s="29">
        <v>1231.1640979467279</v>
      </c>
      <c r="Y601" s="29">
        <v>1.0787348007169479</v>
      </c>
      <c r="Z601" s="29">
        <v>0.33789546018315569</v>
      </c>
      <c r="AA601" s="29">
        <v>3.1925104886944058</v>
      </c>
      <c r="AB601" s="29">
        <v>1.4104182227093281E-3</v>
      </c>
      <c r="AC601" s="29">
        <v>3.8283705650165263E-2</v>
      </c>
      <c r="AD601" s="29" t="s">
        <v>2645</v>
      </c>
      <c r="AE601" s="29" t="s">
        <v>2646</v>
      </c>
      <c r="AF601" s="29" t="s">
        <v>2647</v>
      </c>
      <c r="AG601" s="29" t="s">
        <v>2648</v>
      </c>
      <c r="AH601" s="29" t="s">
        <v>43</v>
      </c>
      <c r="AI601" s="29" t="s">
        <v>43</v>
      </c>
      <c r="AJ601" s="29" t="s">
        <v>43</v>
      </c>
      <c r="AK601" s="29" t="s">
        <v>43</v>
      </c>
      <c r="AL601" s="29" t="s">
        <v>43</v>
      </c>
      <c r="AM601" s="29" t="s">
        <v>2649</v>
      </c>
      <c r="AN601" s="29" t="s">
        <v>43</v>
      </c>
    </row>
    <row r="602" spans="1:40" s="29" customFormat="1" x14ac:dyDescent="0.3">
      <c r="A602" s="29" t="s">
        <v>2650</v>
      </c>
      <c r="B602" s="29">
        <v>2141</v>
      </c>
      <c r="C602" s="29" t="str">
        <f>IF(Y602&lt;0, "Down", "Up")</f>
        <v>Up</v>
      </c>
      <c r="D602" s="30" t="str">
        <f>IF(AC602&lt;0.05, "Sig", "N")</f>
        <v>Sig</v>
      </c>
      <c r="E602" s="31" t="str">
        <f>IF(AND(H602&gt;2,J602&gt;2,L602&gt;2,N602&gt;2),"Y","N")</f>
        <v>Y</v>
      </c>
      <c r="F602" s="31" t="str">
        <f>IF(AND(P602&gt;2,R602&gt;2,T602&gt;2,V602&gt;2),"Y","N")</f>
        <v>Y</v>
      </c>
      <c r="G602" s="31" t="str">
        <f>IF(OR(E602="Y", F602="Y"), "Expressed", "N")</f>
        <v>Expressed</v>
      </c>
      <c r="H602" s="29">
        <v>6.7608283906781708</v>
      </c>
      <c r="I602" s="29">
        <v>644</v>
      </c>
      <c r="J602" s="29">
        <v>6.3788968673686313</v>
      </c>
      <c r="K602" s="29">
        <v>1361</v>
      </c>
      <c r="L602" s="29">
        <v>9.047535080374896</v>
      </c>
      <c r="M602" s="29">
        <v>1497</v>
      </c>
      <c r="N602" s="29">
        <v>7.5851595651982269</v>
      </c>
      <c r="O602" s="29">
        <v>747</v>
      </c>
      <c r="P602" s="29">
        <v>3.6844819399202051</v>
      </c>
      <c r="Q602" s="29">
        <v>1964</v>
      </c>
      <c r="R602" s="29">
        <v>20.844428232207601</v>
      </c>
      <c r="S602" s="29">
        <v>869</v>
      </c>
      <c r="T602" s="29">
        <v>15.61104165471748</v>
      </c>
      <c r="U602" s="29">
        <v>480</v>
      </c>
      <c r="V602" s="29">
        <v>2.2326276018755791</v>
      </c>
      <c r="W602" s="29">
        <v>1977</v>
      </c>
      <c r="X602" s="29">
        <v>1066.3707773809149</v>
      </c>
      <c r="Y602" s="29">
        <v>0.36397495102330119</v>
      </c>
      <c r="Z602" s="29">
        <v>0.11343286464584799</v>
      </c>
      <c r="AA602" s="29">
        <v>3.2087257265315272</v>
      </c>
      <c r="AB602" s="29">
        <v>1.3332460860502619E-3</v>
      </c>
      <c r="AC602" s="29">
        <v>3.6954919544824848E-2</v>
      </c>
      <c r="AD602" s="29" t="s">
        <v>2651</v>
      </c>
      <c r="AE602" s="29" t="s">
        <v>2652</v>
      </c>
      <c r="AF602" s="29" t="s">
        <v>2653</v>
      </c>
      <c r="AG602" s="29" t="s">
        <v>2654</v>
      </c>
      <c r="AH602" s="29" t="s">
        <v>43</v>
      </c>
      <c r="AI602" s="29" t="s">
        <v>43</v>
      </c>
      <c r="AJ602" s="29" t="s">
        <v>43</v>
      </c>
      <c r="AK602" s="29" t="s">
        <v>43</v>
      </c>
      <c r="AL602" s="29" t="s">
        <v>43</v>
      </c>
      <c r="AM602" s="29" t="s">
        <v>1905</v>
      </c>
      <c r="AN602" s="29" t="s">
        <v>43</v>
      </c>
    </row>
    <row r="603" spans="1:40" s="29" customFormat="1" x14ac:dyDescent="0.3">
      <c r="A603" s="29" t="s">
        <v>2659</v>
      </c>
      <c r="B603" s="29">
        <v>2741</v>
      </c>
      <c r="C603" s="29" t="str">
        <f>IF(Y603&lt;0, "Down", "Up")</f>
        <v>Up</v>
      </c>
      <c r="D603" s="30" t="str">
        <f>IF(AC603&lt;0.05, "Sig", "N")</f>
        <v>Sig</v>
      </c>
      <c r="E603" s="31" t="str">
        <f>IF(AND(H603&gt;2,J603&gt;2,L603&gt;2,N603&gt;2),"Y","N")</f>
        <v>Y</v>
      </c>
      <c r="F603" s="31" t="str">
        <f>IF(AND(P603&gt;2,R603&gt;2,T603&gt;2,V603&gt;2),"Y","N")</f>
        <v>Y</v>
      </c>
      <c r="G603" s="31" t="str">
        <f>IF(OR(E603="Y", F603="Y"), "Expressed", "N")</f>
        <v>Expressed</v>
      </c>
      <c r="H603" s="29">
        <v>4.8216868688558803</v>
      </c>
      <c r="I603" s="29">
        <v>588</v>
      </c>
      <c r="J603" s="29">
        <v>6.3371232690048149</v>
      </c>
      <c r="K603" s="29">
        <v>1731</v>
      </c>
      <c r="L603" s="29">
        <v>6.1181639208805834</v>
      </c>
      <c r="M603" s="29">
        <v>1296</v>
      </c>
      <c r="N603" s="29">
        <v>6.1309989974667536</v>
      </c>
      <c r="O603" s="29">
        <v>773</v>
      </c>
      <c r="P603" s="29">
        <v>2.9781252306779642</v>
      </c>
      <c r="Q603" s="29">
        <v>2050</v>
      </c>
      <c r="R603" s="29">
        <v>16.994562789193211</v>
      </c>
      <c r="S603" s="29">
        <v>1019</v>
      </c>
      <c r="T603" s="29">
        <v>14.29861332819844</v>
      </c>
      <c r="U603" s="29">
        <v>680</v>
      </c>
      <c r="V603" s="29">
        <v>2.4705383322833949</v>
      </c>
      <c r="W603" s="29">
        <v>1878</v>
      </c>
      <c r="X603" s="29">
        <v>1159.227375866808</v>
      </c>
      <c r="Y603" s="29">
        <v>0.52385323658584826</v>
      </c>
      <c r="Z603" s="29">
        <v>0.16677792934608171</v>
      </c>
      <c r="AA603" s="29">
        <v>3.141022548006323</v>
      </c>
      <c r="AB603" s="29">
        <v>1.6835907004354249E-3</v>
      </c>
      <c r="AC603" s="29">
        <v>4.2075529957393581E-2</v>
      </c>
      <c r="AD603" s="29" t="s">
        <v>2660</v>
      </c>
      <c r="AE603" s="29" t="s">
        <v>2661</v>
      </c>
      <c r="AF603" s="29" t="s">
        <v>43</v>
      </c>
      <c r="AG603" s="29" t="s">
        <v>2662</v>
      </c>
      <c r="AH603" s="29" t="s">
        <v>43</v>
      </c>
      <c r="AI603" s="29" t="s">
        <v>43</v>
      </c>
      <c r="AJ603" s="29" t="s">
        <v>43</v>
      </c>
      <c r="AK603" s="29" t="s">
        <v>43</v>
      </c>
      <c r="AL603" s="29" t="s">
        <v>43</v>
      </c>
      <c r="AM603" s="29" t="s">
        <v>2663</v>
      </c>
      <c r="AN603" s="29" t="s">
        <v>980</v>
      </c>
    </row>
    <row r="604" spans="1:40" s="29" customFormat="1" x14ac:dyDescent="0.3">
      <c r="A604" s="29" t="s">
        <v>2664</v>
      </c>
      <c r="B604" s="29">
        <v>651</v>
      </c>
      <c r="C604" s="29" t="str">
        <f>IF(Y604&lt;0, "Down", "Up")</f>
        <v>Up</v>
      </c>
      <c r="D604" s="30" t="str">
        <f>IF(AC604&lt;0.05, "Sig", "N")</f>
        <v>Sig</v>
      </c>
      <c r="E604" s="31" t="str">
        <f>IF(AND(H604&gt;2,J604&gt;2,L604&gt;2,N604&gt;2),"Y","N")</f>
        <v>Y</v>
      </c>
      <c r="F604" s="31" t="str">
        <f>IF(AND(P604&gt;2,R604&gt;2,T604&gt;2,V604&gt;2),"Y","N")</f>
        <v>Y</v>
      </c>
      <c r="G604" s="31" t="str">
        <f>IF(OR(E604="Y", F604="Y"), "Expressed", "N")</f>
        <v>Expressed</v>
      </c>
      <c r="H604" s="29">
        <v>6.214729477820919</v>
      </c>
      <c r="I604" s="29">
        <v>180</v>
      </c>
      <c r="J604" s="29">
        <v>6.2736103779363344</v>
      </c>
      <c r="K604" s="29">
        <v>407</v>
      </c>
      <c r="L604" s="29">
        <v>8.4873483815806647</v>
      </c>
      <c r="M604" s="29">
        <v>427</v>
      </c>
      <c r="N604" s="29">
        <v>6.7791592498106077</v>
      </c>
      <c r="O604" s="29">
        <v>203</v>
      </c>
      <c r="P604" s="29">
        <v>3.292968276945857</v>
      </c>
      <c r="Q604" s="29">
        <v>717</v>
      </c>
      <c r="R604" s="29">
        <v>25.026685598825861</v>
      </c>
      <c r="S604" s="29">
        <v>408</v>
      </c>
      <c r="T604" s="29">
        <v>24.105045074607801</v>
      </c>
      <c r="U604" s="29">
        <v>163</v>
      </c>
      <c r="V604" s="29">
        <v>2.4934366307774738</v>
      </c>
      <c r="W604" s="29">
        <v>489</v>
      </c>
      <c r="X604" s="29">
        <v>346.91630470903323</v>
      </c>
      <c r="Y604" s="29">
        <v>0.69508462722327402</v>
      </c>
      <c r="Z604" s="29">
        <v>0.22078122422970489</v>
      </c>
      <c r="AA604" s="29">
        <v>3.1482959189504949</v>
      </c>
      <c r="AB604" s="29">
        <v>1.6422535122587211E-3</v>
      </c>
      <c r="AC604" s="29">
        <v>4.1502619018144352E-2</v>
      </c>
      <c r="AD604" s="29" t="s">
        <v>2665</v>
      </c>
      <c r="AE604" s="29" t="s">
        <v>2666</v>
      </c>
      <c r="AF604" s="29" t="s">
        <v>43</v>
      </c>
      <c r="AG604" s="29" t="s">
        <v>1714</v>
      </c>
      <c r="AH604" s="29" t="s">
        <v>43</v>
      </c>
      <c r="AI604" s="29" t="s">
        <v>43</v>
      </c>
      <c r="AJ604" s="29" t="s">
        <v>43</v>
      </c>
      <c r="AK604" s="29" t="s">
        <v>43</v>
      </c>
      <c r="AL604" s="29" t="s">
        <v>43</v>
      </c>
      <c r="AM604" s="29" t="s">
        <v>1715</v>
      </c>
      <c r="AN604" s="29" t="s">
        <v>43</v>
      </c>
    </row>
    <row r="605" spans="1:40" s="29" customFormat="1" x14ac:dyDescent="0.3">
      <c r="A605" s="29" t="s">
        <v>2687</v>
      </c>
      <c r="B605" s="29">
        <v>2945</v>
      </c>
      <c r="C605" s="29" t="str">
        <f>IF(Y605&lt;0, "Down", "Up")</f>
        <v>Up</v>
      </c>
      <c r="D605" s="30" t="str">
        <f>IF(AC605&lt;0.05, "Sig", "N")</f>
        <v>Sig</v>
      </c>
      <c r="E605" s="31" t="str">
        <f>IF(AND(H605&gt;2,J605&gt;2,L605&gt;2,N605&gt;2),"Y","N")</f>
        <v>Y</v>
      </c>
      <c r="F605" s="31" t="str">
        <f>IF(AND(P605&gt;2,R605&gt;2,T605&gt;2,V605&gt;2),"Y","N")</f>
        <v>Y</v>
      </c>
      <c r="G605" s="31" t="str">
        <f>IF(OR(E605="Y", F605="Y"), "Expressed", "N")</f>
        <v>Expressed</v>
      </c>
      <c r="H605" s="29">
        <v>6.8307509085172038</v>
      </c>
      <c r="I605" s="29">
        <v>895</v>
      </c>
      <c r="J605" s="29">
        <v>6.1264446049429742</v>
      </c>
      <c r="K605" s="29">
        <v>1798</v>
      </c>
      <c r="L605" s="29">
        <v>9.0907629688474874</v>
      </c>
      <c r="M605" s="29">
        <v>2069</v>
      </c>
      <c r="N605" s="29">
        <v>7.7289797472432369</v>
      </c>
      <c r="O605" s="29">
        <v>1047</v>
      </c>
      <c r="P605" s="29">
        <v>3.754342416655875</v>
      </c>
      <c r="Q605" s="29">
        <v>2757</v>
      </c>
      <c r="R605" s="29">
        <v>21.272407195408071</v>
      </c>
      <c r="S605" s="29">
        <v>1201</v>
      </c>
      <c r="T605" s="29">
        <v>15.685070738562519</v>
      </c>
      <c r="U605" s="29">
        <v>754</v>
      </c>
      <c r="V605" s="29">
        <v>2.5496335558108179</v>
      </c>
      <c r="W605" s="29">
        <v>2616</v>
      </c>
      <c r="X605" s="29">
        <v>1491.4462621700029</v>
      </c>
      <c r="Y605" s="29">
        <v>0.40477707417195918</v>
      </c>
      <c r="Z605" s="29">
        <v>0.11737139080452071</v>
      </c>
      <c r="AA605" s="29">
        <v>3.4486860162209898</v>
      </c>
      <c r="AB605" s="29">
        <v>5.6332131639754378E-4</v>
      </c>
      <c r="AC605" s="29">
        <v>2.0874674862493309E-2</v>
      </c>
      <c r="AD605" s="29" t="s">
        <v>2688</v>
      </c>
      <c r="AE605" s="29" t="s">
        <v>2689</v>
      </c>
      <c r="AF605" s="29" t="s">
        <v>43</v>
      </c>
      <c r="AG605" s="29" t="s">
        <v>2690</v>
      </c>
      <c r="AH605" s="29" t="s">
        <v>43</v>
      </c>
      <c r="AI605" s="29" t="s">
        <v>43</v>
      </c>
      <c r="AJ605" s="29" t="s">
        <v>43</v>
      </c>
      <c r="AK605" s="29" t="s">
        <v>43</v>
      </c>
      <c r="AL605" s="29" t="s">
        <v>43</v>
      </c>
      <c r="AM605" s="29" t="s">
        <v>2691</v>
      </c>
      <c r="AN605" s="29" t="s">
        <v>43</v>
      </c>
    </row>
    <row r="606" spans="1:40" s="29" customFormat="1" x14ac:dyDescent="0.3">
      <c r="A606" s="29" t="s">
        <v>2692</v>
      </c>
      <c r="B606" s="29">
        <v>3608</v>
      </c>
      <c r="C606" s="29" t="str">
        <f>IF(Y606&lt;0, "Down", "Up")</f>
        <v>Up</v>
      </c>
      <c r="D606" s="30" t="str">
        <f>IF(AC606&lt;0.05, "Sig", "N")</f>
        <v>Sig</v>
      </c>
      <c r="E606" s="31" t="str">
        <f>IF(AND(H606&gt;2,J606&gt;2,L606&gt;2,N606&gt;2),"Y","N")</f>
        <v>Y</v>
      </c>
      <c r="F606" s="31" t="str">
        <f>IF(AND(P606&gt;2,R606&gt;2,T606&gt;2,V606&gt;2),"Y","N")</f>
        <v>Y</v>
      </c>
      <c r="G606" s="31" t="str">
        <f>IF(OR(E606="Y", F606="Y"), "Expressed", "N")</f>
        <v>Expressed</v>
      </c>
      <c r="H606" s="29">
        <v>6.1424424821393178</v>
      </c>
      <c r="I606" s="29">
        <v>986</v>
      </c>
      <c r="J606" s="29">
        <v>6.0992470600332336</v>
      </c>
      <c r="K606" s="29">
        <v>2193</v>
      </c>
      <c r="L606" s="29">
        <v>7.0401013830512564</v>
      </c>
      <c r="M606" s="29">
        <v>1963</v>
      </c>
      <c r="N606" s="29">
        <v>7.55599730514004</v>
      </c>
      <c r="O606" s="29">
        <v>1254</v>
      </c>
      <c r="P606" s="29">
        <v>3.6703164079247239</v>
      </c>
      <c r="Q606" s="29">
        <v>3343</v>
      </c>
      <c r="R606" s="29">
        <v>21.05401938120059</v>
      </c>
      <c r="S606" s="29">
        <v>1476</v>
      </c>
      <c r="T606" s="29">
        <v>15.73434259047762</v>
      </c>
      <c r="U606" s="29">
        <v>860</v>
      </c>
      <c r="V606" s="29">
        <v>2.3736880417529491</v>
      </c>
      <c r="W606" s="29">
        <v>2814</v>
      </c>
      <c r="X606" s="29">
        <v>1706.834657359391</v>
      </c>
      <c r="Y606" s="29">
        <v>0.4716673923853037</v>
      </c>
      <c r="Z606" s="29">
        <v>0.14229969462509259</v>
      </c>
      <c r="AA606" s="29">
        <v>3.314605794678434</v>
      </c>
      <c r="AB606" s="29">
        <v>9.1772444851005014E-4</v>
      </c>
      <c r="AC606" s="29">
        <v>2.9099056681424321E-2</v>
      </c>
      <c r="AD606" s="29" t="s">
        <v>2693</v>
      </c>
      <c r="AE606" s="29" t="s">
        <v>2694</v>
      </c>
      <c r="AF606" s="29" t="s">
        <v>2695</v>
      </c>
      <c r="AG606" s="29" t="s">
        <v>2696</v>
      </c>
      <c r="AH606" s="29" t="s">
        <v>43</v>
      </c>
      <c r="AI606" s="29" t="s">
        <v>43</v>
      </c>
      <c r="AJ606" s="29" t="s">
        <v>43</v>
      </c>
      <c r="AK606" s="29" t="s">
        <v>43</v>
      </c>
      <c r="AL606" s="29" t="s">
        <v>43</v>
      </c>
      <c r="AM606" s="29" t="s">
        <v>2697</v>
      </c>
      <c r="AN606" s="29" t="s">
        <v>43</v>
      </c>
    </row>
    <row r="607" spans="1:40" s="29" customFormat="1" x14ac:dyDescent="0.3">
      <c r="A607" s="29" t="s">
        <v>2704</v>
      </c>
      <c r="B607" s="29">
        <v>2233</v>
      </c>
      <c r="C607" s="29" t="str">
        <f>IF(Y607&lt;0, "Down", "Up")</f>
        <v>Up</v>
      </c>
      <c r="D607" s="30" t="str">
        <f>IF(AC607&lt;0.05, "Sig", "N")</f>
        <v>Sig</v>
      </c>
      <c r="E607" s="31" t="str">
        <f>IF(AND(H607&gt;2,J607&gt;2,L607&gt;2,N607&gt;2),"Y","N")</f>
        <v>Y</v>
      </c>
      <c r="F607" s="31" t="str">
        <f>IF(AND(P607&gt;2,R607&gt;2,T607&gt;2,V607&gt;2),"Y","N")</f>
        <v>Y</v>
      </c>
      <c r="G607" s="31" t="str">
        <f>IF(OR(E607="Y", F607="Y"), "Expressed", "N")</f>
        <v>Expressed</v>
      </c>
      <c r="H607" s="29">
        <v>8.2940987346634039</v>
      </c>
      <c r="I607" s="29">
        <v>824</v>
      </c>
      <c r="J607" s="29">
        <v>6.0756408192077744</v>
      </c>
      <c r="K607" s="29">
        <v>1352</v>
      </c>
      <c r="L607" s="29">
        <v>8.9355397943585189</v>
      </c>
      <c r="M607" s="29">
        <v>1542</v>
      </c>
      <c r="N607" s="29">
        <v>8.3533244773443425</v>
      </c>
      <c r="O607" s="29">
        <v>858</v>
      </c>
      <c r="P607" s="29">
        <v>4.0576171022533112</v>
      </c>
      <c r="Q607" s="29">
        <v>2218</v>
      </c>
      <c r="R607" s="29">
        <v>22.570334182448669</v>
      </c>
      <c r="S607" s="29">
        <v>1242</v>
      </c>
      <c r="T607" s="29">
        <v>21.392505196905532</v>
      </c>
      <c r="U607" s="29">
        <v>579</v>
      </c>
      <c r="V607" s="29">
        <v>2.5821505520986721</v>
      </c>
      <c r="W607" s="29">
        <v>2277</v>
      </c>
      <c r="X607" s="29">
        <v>1257.9507773735211</v>
      </c>
      <c r="Y607" s="29">
        <v>0.51104058007057718</v>
      </c>
      <c r="Z607" s="29">
        <v>0.15619299472658579</v>
      </c>
      <c r="AA607" s="29">
        <v>3.2718533949947508</v>
      </c>
      <c r="AB607" s="29">
        <v>1.0684496437341779E-3</v>
      </c>
      <c r="AC607" s="29">
        <v>3.2056201113151571E-2</v>
      </c>
      <c r="AD607" s="29" t="s">
        <v>2705</v>
      </c>
      <c r="AE607" s="29" t="s">
        <v>2706</v>
      </c>
      <c r="AF607" s="29" t="s">
        <v>43</v>
      </c>
      <c r="AG607" s="29" t="s">
        <v>43</v>
      </c>
      <c r="AH607" s="29" t="s">
        <v>43</v>
      </c>
      <c r="AI607" s="29" t="s">
        <v>43</v>
      </c>
      <c r="AJ607" s="29" t="s">
        <v>43</v>
      </c>
      <c r="AK607" s="29" t="s">
        <v>43</v>
      </c>
      <c r="AL607" s="29" t="s">
        <v>43</v>
      </c>
      <c r="AM607" s="29" t="s">
        <v>43</v>
      </c>
      <c r="AN607" s="29" t="s">
        <v>43</v>
      </c>
    </row>
    <row r="608" spans="1:40" s="29" customFormat="1" x14ac:dyDescent="0.3">
      <c r="A608" s="29" t="s">
        <v>2713</v>
      </c>
      <c r="B608" s="29">
        <v>2441</v>
      </c>
      <c r="C608" s="29" t="str">
        <f>IF(Y608&lt;0, "Down", "Up")</f>
        <v>Up</v>
      </c>
      <c r="D608" s="30" t="str">
        <f>IF(AC608&lt;0.05, "Sig", "N")</f>
        <v>Sig</v>
      </c>
      <c r="E608" s="31" t="str">
        <f>IF(AND(H608&gt;2,J608&gt;2,L608&gt;2,N608&gt;2),"Y","N")</f>
        <v>Y</v>
      </c>
      <c r="F608" s="31" t="str">
        <f>IF(AND(P608&gt;2,R608&gt;2,T608&gt;2,V608&gt;2),"Y","N")</f>
        <v>Y</v>
      </c>
      <c r="G608" s="31" t="str">
        <f>IF(OR(E608="Y", F608="Y"), "Expressed", "N")</f>
        <v>Expressed</v>
      </c>
      <c r="H608" s="29">
        <v>6.510020358854347</v>
      </c>
      <c r="I608" s="29">
        <v>707</v>
      </c>
      <c r="J608" s="29">
        <v>6.0347932913683424</v>
      </c>
      <c r="K608" s="29">
        <v>1468</v>
      </c>
      <c r="L608" s="29">
        <v>8.5823102851522552</v>
      </c>
      <c r="M608" s="29">
        <v>1619</v>
      </c>
      <c r="N608" s="29">
        <v>6.8666891139749113</v>
      </c>
      <c r="O608" s="29">
        <v>771</v>
      </c>
      <c r="P608" s="29">
        <v>3.335485800927386</v>
      </c>
      <c r="Q608" s="29">
        <v>2091</v>
      </c>
      <c r="R608" s="29">
        <v>19.464866258616208</v>
      </c>
      <c r="S608" s="29">
        <v>927</v>
      </c>
      <c r="T608" s="29">
        <v>14.6063172101689</v>
      </c>
      <c r="U608" s="29">
        <v>514</v>
      </c>
      <c r="V608" s="29">
        <v>2.0969450938365641</v>
      </c>
      <c r="W608" s="29">
        <v>2364</v>
      </c>
      <c r="X608" s="29">
        <v>1158.872910201251</v>
      </c>
      <c r="Y608" s="29">
        <v>0.401790780556465</v>
      </c>
      <c r="Z608" s="29">
        <v>0.1109478595795952</v>
      </c>
      <c r="AA608" s="29">
        <v>3.621437872518992</v>
      </c>
      <c r="AB608" s="29">
        <v>2.929701661230651E-4</v>
      </c>
      <c r="AC608" s="29">
        <v>1.354640961060594E-2</v>
      </c>
      <c r="AD608" s="29" t="s">
        <v>2714</v>
      </c>
      <c r="AE608" s="29" t="s">
        <v>2715</v>
      </c>
      <c r="AF608" s="29" t="s">
        <v>55</v>
      </c>
      <c r="AG608" s="29" t="s">
        <v>2716</v>
      </c>
      <c r="AH608" s="29" t="s">
        <v>43</v>
      </c>
      <c r="AI608" s="29" t="s">
        <v>43</v>
      </c>
      <c r="AJ608" s="29" t="s">
        <v>43</v>
      </c>
      <c r="AK608" s="29" t="s">
        <v>43</v>
      </c>
      <c r="AL608" s="29" t="s">
        <v>43</v>
      </c>
      <c r="AM608" s="29" t="s">
        <v>2717</v>
      </c>
      <c r="AN608" s="29" t="s">
        <v>43</v>
      </c>
    </row>
    <row r="609" spans="1:40" s="29" customFormat="1" x14ac:dyDescent="0.3">
      <c r="A609" s="29" t="s">
        <v>2723</v>
      </c>
      <c r="B609" s="29">
        <v>2620</v>
      </c>
      <c r="C609" s="29" t="str">
        <f>IF(Y609&lt;0, "Down", "Up")</f>
        <v>Up</v>
      </c>
      <c r="D609" s="30" t="str">
        <f>IF(AC609&lt;0.05, "Sig", "N")</f>
        <v>Sig</v>
      </c>
      <c r="E609" s="31" t="str">
        <f>IF(AND(H609&gt;2,J609&gt;2,L609&gt;2,N609&gt;2),"Y","N")</f>
        <v>Y</v>
      </c>
      <c r="F609" s="31" t="str">
        <f>IF(AND(P609&gt;2,R609&gt;2,T609&gt;2,V609&gt;2),"Y","N")</f>
        <v>N</v>
      </c>
      <c r="G609" s="31" t="str">
        <f>IF(OR(E609="Y", F609="Y"), "Expressed", "N")</f>
        <v>Expressed</v>
      </c>
      <c r="H609" s="29">
        <v>5.6363089498947243</v>
      </c>
      <c r="I609" s="29">
        <v>657</v>
      </c>
      <c r="J609" s="29">
        <v>5.9940059992096391</v>
      </c>
      <c r="K609" s="29">
        <v>1565</v>
      </c>
      <c r="L609" s="29">
        <v>6.7069276467485208</v>
      </c>
      <c r="M609" s="29">
        <v>1358</v>
      </c>
      <c r="N609" s="29">
        <v>5.5262906766881992</v>
      </c>
      <c r="O609" s="29">
        <v>666</v>
      </c>
      <c r="P609" s="29">
        <v>2.6843889067843181</v>
      </c>
      <c r="Q609" s="29">
        <v>1859</v>
      </c>
      <c r="R609" s="29">
        <v>16.122904038172969</v>
      </c>
      <c r="S609" s="29">
        <v>928</v>
      </c>
      <c r="T609" s="29">
        <v>13.62308474670021</v>
      </c>
      <c r="U609" s="29">
        <v>494</v>
      </c>
      <c r="V609" s="29">
        <v>1.8776618269991361</v>
      </c>
      <c r="W609" s="29">
        <v>1954</v>
      </c>
      <c r="X609" s="29">
        <v>1064.661186688819</v>
      </c>
      <c r="Y609" s="29">
        <v>0.39237203726370268</v>
      </c>
      <c r="Z609" s="29">
        <v>0.114627986945345</v>
      </c>
      <c r="AA609" s="29">
        <v>3.42300382061832</v>
      </c>
      <c r="AB609" s="29">
        <v>6.193320681300204E-4</v>
      </c>
      <c r="AC609" s="29">
        <v>2.2392788079980741E-2</v>
      </c>
      <c r="AD609" s="29" t="s">
        <v>2724</v>
      </c>
      <c r="AE609" s="29" t="s">
        <v>2725</v>
      </c>
      <c r="AF609" s="29" t="s">
        <v>55</v>
      </c>
      <c r="AG609" s="29" t="s">
        <v>2726</v>
      </c>
      <c r="AH609" s="29" t="s">
        <v>43</v>
      </c>
      <c r="AI609" s="29" t="s">
        <v>43</v>
      </c>
      <c r="AJ609" s="29" t="s">
        <v>43</v>
      </c>
      <c r="AK609" s="29" t="s">
        <v>43</v>
      </c>
      <c r="AL609" s="29" t="s">
        <v>43</v>
      </c>
      <c r="AM609" s="29" t="s">
        <v>2727</v>
      </c>
      <c r="AN609" s="29" t="s">
        <v>43</v>
      </c>
    </row>
    <row r="610" spans="1:40" s="29" customFormat="1" x14ac:dyDescent="0.3">
      <c r="A610" s="29" t="s">
        <v>2741</v>
      </c>
      <c r="B610" s="29">
        <v>1318</v>
      </c>
      <c r="C610" s="29" t="str">
        <f>IF(Y610&lt;0, "Down", "Up")</f>
        <v>Up</v>
      </c>
      <c r="D610" s="30" t="str">
        <f>IF(AC610&lt;0.05, "Sig", "N")</f>
        <v>Sig</v>
      </c>
      <c r="E610" s="31" t="str">
        <f>IF(AND(H610&gt;2,J610&gt;2,L610&gt;2,N610&gt;2),"Y","N")</f>
        <v>Y</v>
      </c>
      <c r="F610" s="31" t="str">
        <f>IF(AND(P610&gt;2,R610&gt;2,T610&gt;2,V610&gt;2),"Y","N")</f>
        <v>N</v>
      </c>
      <c r="G610" s="31" t="str">
        <f>IF(OR(E610="Y", F610="Y"), "Expressed", "N")</f>
        <v>Expressed</v>
      </c>
      <c r="H610" s="29">
        <v>5.3548209049034119</v>
      </c>
      <c r="I610" s="29">
        <v>314</v>
      </c>
      <c r="J610" s="29">
        <v>5.9614303534441309</v>
      </c>
      <c r="K610" s="29">
        <v>783</v>
      </c>
      <c r="L610" s="29">
        <v>7.0491081971151939</v>
      </c>
      <c r="M610" s="29">
        <v>718</v>
      </c>
      <c r="N610" s="29">
        <v>6.1690313700725383</v>
      </c>
      <c r="O610" s="29">
        <v>374</v>
      </c>
      <c r="P610" s="29">
        <v>2.996599408945916</v>
      </c>
      <c r="Q610" s="29">
        <v>967</v>
      </c>
      <c r="R610" s="29">
        <v>16.671559797626749</v>
      </c>
      <c r="S610" s="29">
        <v>539</v>
      </c>
      <c r="T610" s="29">
        <v>15.72903679294247</v>
      </c>
      <c r="U610" s="29">
        <v>243</v>
      </c>
      <c r="V610" s="29">
        <v>1.836041878532173</v>
      </c>
      <c r="W610" s="29">
        <v>1143</v>
      </c>
      <c r="X610" s="29">
        <v>567.89767486376377</v>
      </c>
      <c r="Y610" s="29">
        <v>0.47456298884265602</v>
      </c>
      <c r="Z610" s="29">
        <v>0.14889945734204529</v>
      </c>
      <c r="AA610" s="29">
        <v>3.187137128058906</v>
      </c>
      <c r="AB610" s="29">
        <v>1.4368863305197759E-3</v>
      </c>
      <c r="AC610" s="29">
        <v>3.858681512895297E-2</v>
      </c>
      <c r="AD610" s="29" t="s">
        <v>2742</v>
      </c>
      <c r="AE610" s="29" t="s">
        <v>2743</v>
      </c>
      <c r="AF610" s="29" t="s">
        <v>2744</v>
      </c>
      <c r="AG610" s="29" t="s">
        <v>2745</v>
      </c>
      <c r="AH610" s="29" t="s">
        <v>43</v>
      </c>
      <c r="AI610" s="29" t="s">
        <v>43</v>
      </c>
      <c r="AJ610" s="29" t="s">
        <v>43</v>
      </c>
      <c r="AK610" s="29" t="s">
        <v>43</v>
      </c>
      <c r="AL610" s="29" t="s">
        <v>43</v>
      </c>
      <c r="AM610" s="29" t="s">
        <v>2746</v>
      </c>
      <c r="AN610" s="29" t="s">
        <v>43</v>
      </c>
    </row>
    <row r="611" spans="1:40" s="29" customFormat="1" x14ac:dyDescent="0.3">
      <c r="A611" s="29" t="s">
        <v>2764</v>
      </c>
      <c r="B611" s="29">
        <v>3961</v>
      </c>
      <c r="C611" s="29" t="str">
        <f>IF(Y611&lt;0, "Down", "Up")</f>
        <v>Up</v>
      </c>
      <c r="D611" s="30" t="str">
        <f>IF(AC611&lt;0.05, "Sig", "N")</f>
        <v>Sig</v>
      </c>
      <c r="E611" s="31" t="str">
        <f>IF(AND(H611&gt;2,J611&gt;2,L611&gt;2,N611&gt;2),"Y","N")</f>
        <v>Y</v>
      </c>
      <c r="F611" s="31" t="str">
        <f>IF(AND(P611&gt;2,R611&gt;2,T611&gt;2,V611&gt;2),"Y","N")</f>
        <v>Y</v>
      </c>
      <c r="G611" s="31" t="str">
        <f>IF(OR(E611="Y", F611="Y"), "Expressed", "N")</f>
        <v>Expressed</v>
      </c>
      <c r="H611" s="29">
        <v>5.339683224701667</v>
      </c>
      <c r="I611" s="29">
        <v>941</v>
      </c>
      <c r="J611" s="29">
        <v>5.8926275337743386</v>
      </c>
      <c r="K611" s="29">
        <v>2326</v>
      </c>
      <c r="L611" s="29">
        <v>7.9186822352216586</v>
      </c>
      <c r="M611" s="29">
        <v>2424</v>
      </c>
      <c r="N611" s="29">
        <v>6.4599983515440984</v>
      </c>
      <c r="O611" s="29">
        <v>1177</v>
      </c>
      <c r="P611" s="29">
        <v>3.1379362627233669</v>
      </c>
      <c r="Q611" s="29">
        <v>3392</v>
      </c>
      <c r="R611" s="29">
        <v>19.458805264101311</v>
      </c>
      <c r="S611" s="29">
        <v>1440</v>
      </c>
      <c r="T611" s="29">
        <v>13.98255135533482</v>
      </c>
      <c r="U611" s="29">
        <v>936</v>
      </c>
      <c r="V611" s="29">
        <v>2.3532210569175578</v>
      </c>
      <c r="W611" s="29">
        <v>2868</v>
      </c>
      <c r="X611" s="29">
        <v>1757.5069720767769</v>
      </c>
      <c r="Y611" s="29">
        <v>0.44848557057776323</v>
      </c>
      <c r="Z611" s="29">
        <v>0.1325544681609869</v>
      </c>
      <c r="AA611" s="29">
        <v>3.383405907019891</v>
      </c>
      <c r="AB611" s="29">
        <v>7.1592734763475398E-4</v>
      </c>
      <c r="AC611" s="29">
        <v>2.4745547299387209E-2</v>
      </c>
      <c r="AD611" s="29" t="s">
        <v>2765</v>
      </c>
      <c r="AE611" s="29" t="s">
        <v>2766</v>
      </c>
      <c r="AF611" s="29" t="s">
        <v>43</v>
      </c>
      <c r="AG611" s="29" t="s">
        <v>2767</v>
      </c>
      <c r="AH611" s="29" t="s">
        <v>43</v>
      </c>
      <c r="AI611" s="29" t="s">
        <v>43</v>
      </c>
      <c r="AJ611" s="29" t="s">
        <v>43</v>
      </c>
      <c r="AK611" s="29" t="s">
        <v>43</v>
      </c>
      <c r="AL611" s="29" t="s">
        <v>43</v>
      </c>
      <c r="AM611" s="29" t="s">
        <v>2768</v>
      </c>
      <c r="AN611" s="29" t="s">
        <v>43</v>
      </c>
    </row>
    <row r="612" spans="1:40" s="29" customFormat="1" x14ac:dyDescent="0.3">
      <c r="A612" s="29" t="s">
        <v>2783</v>
      </c>
      <c r="B612" s="29">
        <v>3820</v>
      </c>
      <c r="C612" s="29" t="str">
        <f>IF(Y612&lt;0, "Down", "Up")</f>
        <v>Up</v>
      </c>
      <c r="D612" s="30" t="str">
        <f>IF(AC612&lt;0.05, "Sig", "N")</f>
        <v>Sig</v>
      </c>
      <c r="E612" s="31" t="str">
        <f>IF(AND(H612&gt;2,J612&gt;2,L612&gt;2,N612&gt;2),"Y","N")</f>
        <v>Y</v>
      </c>
      <c r="F612" s="31" t="str">
        <f>IF(AND(P612&gt;2,R612&gt;2,T612&gt;2,V612&gt;2),"Y","N")</f>
        <v>Y</v>
      </c>
      <c r="G612" s="31" t="str">
        <f>IF(OR(E612="Y", F612="Y"), "Expressed", "N")</f>
        <v>Expressed</v>
      </c>
      <c r="H612" s="29">
        <v>4.70714239681375</v>
      </c>
      <c r="I612" s="29">
        <v>800</v>
      </c>
      <c r="J612" s="29">
        <v>5.7738892307191847</v>
      </c>
      <c r="K612" s="29">
        <v>2198</v>
      </c>
      <c r="L612" s="29">
        <v>5.71448191114313</v>
      </c>
      <c r="M612" s="29">
        <v>1687</v>
      </c>
      <c r="N612" s="29">
        <v>6.2602273989494961</v>
      </c>
      <c r="O612" s="29">
        <v>1100</v>
      </c>
      <c r="P612" s="29">
        <v>3.0408977679324889</v>
      </c>
      <c r="Q612" s="29">
        <v>2852</v>
      </c>
      <c r="R612" s="29">
        <v>16.964900972796499</v>
      </c>
      <c r="S612" s="29">
        <v>1260</v>
      </c>
      <c r="T612" s="29">
        <v>12.68632858080394</v>
      </c>
      <c r="U612" s="29">
        <v>808</v>
      </c>
      <c r="V612" s="29">
        <v>2.1063945255548728</v>
      </c>
      <c r="W612" s="29">
        <v>3077</v>
      </c>
      <c r="X612" s="29">
        <v>1553.401111226869</v>
      </c>
      <c r="Y612" s="29">
        <v>0.5306851620057329</v>
      </c>
      <c r="Z612" s="29">
        <v>0.14001579783666901</v>
      </c>
      <c r="AA612" s="29">
        <v>3.790180609653683</v>
      </c>
      <c r="AB612" s="29">
        <v>1.5053778637479881E-4</v>
      </c>
      <c r="AC612" s="29">
        <v>8.8115422435509037E-3</v>
      </c>
      <c r="AD612" s="29" t="s">
        <v>2784</v>
      </c>
      <c r="AE612" s="29" t="s">
        <v>2785</v>
      </c>
      <c r="AF612" s="29" t="s">
        <v>2786</v>
      </c>
      <c r="AG612" s="29" t="s">
        <v>2787</v>
      </c>
      <c r="AH612" s="29" t="s">
        <v>43</v>
      </c>
      <c r="AI612" s="29" t="s">
        <v>43</v>
      </c>
      <c r="AJ612" s="29" t="s">
        <v>43</v>
      </c>
      <c r="AK612" s="29" t="s">
        <v>43</v>
      </c>
      <c r="AL612" s="29" t="s">
        <v>43</v>
      </c>
      <c r="AM612" s="29" t="s">
        <v>2788</v>
      </c>
      <c r="AN612" s="29" t="s">
        <v>43</v>
      </c>
    </row>
    <row r="613" spans="1:40" s="29" customFormat="1" x14ac:dyDescent="0.3">
      <c r="A613" s="29" t="s">
        <v>2789</v>
      </c>
      <c r="B613" s="29">
        <v>526</v>
      </c>
      <c r="C613" s="29" t="str">
        <f>IF(Y613&lt;0, "Down", "Up")</f>
        <v>Up</v>
      </c>
      <c r="D613" s="30" t="str">
        <f>IF(AC613&lt;0.05, "Sig", "N")</f>
        <v>Sig</v>
      </c>
      <c r="E613" s="31" t="str">
        <f>IF(AND(H613&gt;2,J613&gt;2,L613&gt;2,N613&gt;2),"Y","N")</f>
        <v>Y</v>
      </c>
      <c r="F613" s="31" t="str">
        <f>IF(AND(P613&gt;2,R613&gt;2,T613&gt;2,V613&gt;2),"Y","N")</f>
        <v>Y</v>
      </c>
      <c r="G613" s="31" t="str">
        <f>IF(OR(E613="Y", F613="Y"), "Expressed", "N")</f>
        <v>Expressed</v>
      </c>
      <c r="H613" s="29">
        <v>3.375763860528644</v>
      </c>
      <c r="I613" s="29">
        <v>79</v>
      </c>
      <c r="J613" s="29">
        <v>5.7613640919042197</v>
      </c>
      <c r="K613" s="29">
        <v>302</v>
      </c>
      <c r="L613" s="29">
        <v>6.0516597978496067</v>
      </c>
      <c r="M613" s="29">
        <v>246</v>
      </c>
      <c r="N613" s="29">
        <v>6.6542776614274439</v>
      </c>
      <c r="O613" s="29">
        <v>161</v>
      </c>
      <c r="P613" s="29">
        <v>3.2323071988141021</v>
      </c>
      <c r="Q613" s="29">
        <v>675</v>
      </c>
      <c r="R613" s="29">
        <v>29.159709921631791</v>
      </c>
      <c r="S613" s="29">
        <v>216</v>
      </c>
      <c r="T613" s="29">
        <v>15.79416898816004</v>
      </c>
      <c r="U613" s="29">
        <v>134</v>
      </c>
      <c r="V613" s="29">
        <v>2.5369433745741929</v>
      </c>
      <c r="W613" s="29">
        <v>323</v>
      </c>
      <c r="X613" s="29">
        <v>240.36488679422629</v>
      </c>
      <c r="Y613" s="29">
        <v>0.87132849200253548</v>
      </c>
      <c r="Z613" s="29">
        <v>0.28259923210103038</v>
      </c>
      <c r="AA613" s="29">
        <v>3.0832656038181718</v>
      </c>
      <c r="AB613" s="29">
        <v>2.0474232971508769E-3</v>
      </c>
      <c r="AC613" s="29">
        <v>4.7086752520662488E-2</v>
      </c>
    </row>
    <row r="614" spans="1:40" s="29" customFormat="1" x14ac:dyDescent="0.3">
      <c r="A614" s="29" t="s">
        <v>2805</v>
      </c>
      <c r="B614" s="29">
        <v>2511</v>
      </c>
      <c r="C614" s="29" t="str">
        <f>IF(Y614&lt;0, "Down", "Up")</f>
        <v>Up</v>
      </c>
      <c r="D614" s="30" t="str">
        <f>IF(AC614&lt;0.05, "Sig", "N")</f>
        <v>Sig</v>
      </c>
      <c r="E614" s="31" t="str">
        <f>IF(AND(H614&gt;2,J614&gt;2,L614&gt;2,N614&gt;2),"Y","N")</f>
        <v>Y</v>
      </c>
      <c r="F614" s="31" t="str">
        <f>IF(AND(P614&gt;2,R614&gt;2,T614&gt;2,V614&gt;2),"Y","N")</f>
        <v>Y</v>
      </c>
      <c r="G614" s="31" t="str">
        <f>IF(OR(E614="Y", F614="Y"), "Expressed", "N")</f>
        <v>Expressed</v>
      </c>
      <c r="H614" s="29">
        <v>5.3886563826208551</v>
      </c>
      <c r="I614" s="29">
        <v>602</v>
      </c>
      <c r="J614" s="29">
        <v>5.5628409793986391</v>
      </c>
      <c r="K614" s="29">
        <v>1392</v>
      </c>
      <c r="L614" s="29">
        <v>5.2356684612543756</v>
      </c>
      <c r="M614" s="29">
        <v>1016</v>
      </c>
      <c r="N614" s="29">
        <v>6.2423675850746463</v>
      </c>
      <c r="O614" s="29">
        <v>721</v>
      </c>
      <c r="P614" s="29">
        <v>3.0322223852847539</v>
      </c>
      <c r="Q614" s="29">
        <v>1920</v>
      </c>
      <c r="R614" s="29">
        <v>17.374794898921412</v>
      </c>
      <c r="S614" s="29">
        <v>769</v>
      </c>
      <c r="T614" s="29">
        <v>11.778999422350561</v>
      </c>
      <c r="U614" s="29">
        <v>571</v>
      </c>
      <c r="V614" s="29">
        <v>2.2645458334963791</v>
      </c>
      <c r="W614" s="29">
        <v>1750</v>
      </c>
      <c r="X614" s="29">
        <v>1005.926758523879</v>
      </c>
      <c r="Y614" s="29">
        <v>0.48870420942160903</v>
      </c>
      <c r="Z614" s="29">
        <v>0.15623604813921779</v>
      </c>
      <c r="AA614" s="29">
        <v>3.1279862441613839</v>
      </c>
      <c r="AB614" s="29">
        <v>1.7600841859407731E-3</v>
      </c>
      <c r="AC614" s="29">
        <v>4.3076511722579459E-2</v>
      </c>
      <c r="AD614" s="29" t="s">
        <v>2806</v>
      </c>
      <c r="AE614" s="29" t="s">
        <v>2807</v>
      </c>
      <c r="AF614" s="29" t="s">
        <v>2808</v>
      </c>
      <c r="AG614" s="29" t="s">
        <v>2809</v>
      </c>
      <c r="AH614" s="29" t="s">
        <v>43</v>
      </c>
      <c r="AI614" s="29" t="s">
        <v>43</v>
      </c>
      <c r="AJ614" s="29" t="s">
        <v>43</v>
      </c>
      <c r="AK614" s="29" t="s">
        <v>43</v>
      </c>
      <c r="AL614" s="29" t="s">
        <v>43</v>
      </c>
      <c r="AM614" s="29" t="s">
        <v>2810</v>
      </c>
      <c r="AN614" s="29" t="s">
        <v>43</v>
      </c>
    </row>
    <row r="615" spans="1:40" s="29" customFormat="1" x14ac:dyDescent="0.3">
      <c r="A615" s="29" t="s">
        <v>2816</v>
      </c>
      <c r="B615" s="29">
        <v>2200</v>
      </c>
      <c r="C615" s="29" t="str">
        <f>IF(Y615&lt;0, "Down", "Up")</f>
        <v>Up</v>
      </c>
      <c r="D615" s="30" t="str">
        <f>IF(AC615&lt;0.05, "Sig", "N")</f>
        <v>Sig</v>
      </c>
      <c r="E615" s="31" t="str">
        <f>IF(AND(H615&gt;2,J615&gt;2,L615&gt;2,N615&gt;2),"Y","N")</f>
        <v>Y</v>
      </c>
      <c r="F615" s="31" t="str">
        <f>IF(AND(P615&gt;2,R615&gt;2,T615&gt;2,V615&gt;2),"Y","N")</f>
        <v>N</v>
      </c>
      <c r="G615" s="31" t="str">
        <f>IF(OR(E615="Y", F615="Y"), "Expressed", "N")</f>
        <v>Expressed</v>
      </c>
      <c r="H615" s="29">
        <v>4.7916035086838518</v>
      </c>
      <c r="I615" s="29">
        <v>469</v>
      </c>
      <c r="J615" s="29">
        <v>5.541887684369458</v>
      </c>
      <c r="K615" s="29">
        <v>1215</v>
      </c>
      <c r="L615" s="29">
        <v>6.2345961509405514</v>
      </c>
      <c r="M615" s="29">
        <v>1060</v>
      </c>
      <c r="N615" s="29">
        <v>5.682061769335772</v>
      </c>
      <c r="O615" s="29">
        <v>575</v>
      </c>
      <c r="P615" s="29">
        <v>2.7600545236626912</v>
      </c>
      <c r="Q615" s="29">
        <v>1485</v>
      </c>
      <c r="R615" s="29">
        <v>15.33800741877832</v>
      </c>
      <c r="S615" s="29">
        <v>764</v>
      </c>
      <c r="T615" s="29">
        <v>13.356708599027669</v>
      </c>
      <c r="U615" s="29">
        <v>413</v>
      </c>
      <c r="V615" s="29">
        <v>1.869472540046637</v>
      </c>
      <c r="W615" s="29">
        <v>2205</v>
      </c>
      <c r="X615" s="29">
        <v>900.88955362450258</v>
      </c>
      <c r="Y615" s="29">
        <v>0.58566416445052494</v>
      </c>
      <c r="Z615" s="29">
        <v>0.15443644382326061</v>
      </c>
      <c r="AA615" s="29">
        <v>3.7922665787407528</v>
      </c>
      <c r="AB615" s="29">
        <v>1.492785421522814E-4</v>
      </c>
      <c r="AC615" s="29">
        <v>8.8115422435509037E-3</v>
      </c>
      <c r="AD615" s="29" t="s">
        <v>2817</v>
      </c>
      <c r="AE615" s="29" t="s">
        <v>2818</v>
      </c>
      <c r="AF615" s="29" t="s">
        <v>2819</v>
      </c>
      <c r="AG615" s="29" t="s">
        <v>2820</v>
      </c>
      <c r="AH615" s="29" t="s">
        <v>43</v>
      </c>
      <c r="AI615" s="29" t="s">
        <v>43</v>
      </c>
      <c r="AJ615" s="29" t="s">
        <v>43</v>
      </c>
      <c r="AK615" s="29" t="s">
        <v>43</v>
      </c>
      <c r="AL615" s="29" t="s">
        <v>43</v>
      </c>
      <c r="AM615" s="29" t="s">
        <v>2821</v>
      </c>
      <c r="AN615" s="29" t="s">
        <v>43</v>
      </c>
    </row>
    <row r="616" spans="1:40" s="29" customFormat="1" x14ac:dyDescent="0.3">
      <c r="A616" s="29" t="s">
        <v>2828</v>
      </c>
      <c r="B616" s="29">
        <v>1120</v>
      </c>
      <c r="C616" s="29" t="str">
        <f>IF(Y616&lt;0, "Down", "Up")</f>
        <v>Up</v>
      </c>
      <c r="D616" s="30" t="str">
        <f>IF(AC616&lt;0.05, "Sig", "N")</f>
        <v>Sig</v>
      </c>
      <c r="E616" s="31" t="str">
        <f>IF(AND(H616&gt;2,J616&gt;2,L616&gt;2,N616&gt;2),"Y","N")</f>
        <v>Y</v>
      </c>
      <c r="F616" s="31" t="str">
        <f>IF(AND(P616&gt;2,R616&gt;2,T616&gt;2,V616&gt;2),"Y","N")</f>
        <v>N</v>
      </c>
      <c r="G616" s="31" t="str">
        <f>IF(OR(E616="Y", F616="Y"), "Expressed", "N")</f>
        <v>Expressed</v>
      </c>
      <c r="H616" s="29">
        <v>4.8966889343997329</v>
      </c>
      <c r="I616" s="29">
        <v>244</v>
      </c>
      <c r="J616" s="29">
        <v>5.4384456302961306</v>
      </c>
      <c r="K616" s="29">
        <v>607</v>
      </c>
      <c r="L616" s="29">
        <v>6.1925840474975562</v>
      </c>
      <c r="M616" s="29">
        <v>536</v>
      </c>
      <c r="N616" s="29">
        <v>3.823921693835596</v>
      </c>
      <c r="O616" s="29">
        <v>197</v>
      </c>
      <c r="P616" s="29">
        <v>1.857465264837594</v>
      </c>
      <c r="Q616" s="29">
        <v>797</v>
      </c>
      <c r="R616" s="29">
        <v>16.169830572442219</v>
      </c>
      <c r="S616" s="29">
        <v>321</v>
      </c>
      <c r="T616" s="29">
        <v>11.02340549344771</v>
      </c>
      <c r="U616" s="29">
        <v>277</v>
      </c>
      <c r="V616" s="29">
        <v>2.462937923522182</v>
      </c>
      <c r="W616" s="29">
        <v>800</v>
      </c>
      <c r="X616" s="29">
        <v>428.18469750687598</v>
      </c>
      <c r="Y616" s="29">
        <v>0.6332637489737859</v>
      </c>
      <c r="Z616" s="29">
        <v>0.17290816210338841</v>
      </c>
      <c r="AA616" s="29">
        <v>3.6624283161088318</v>
      </c>
      <c r="AB616" s="29">
        <v>2.4983567666545122E-4</v>
      </c>
      <c r="AC616" s="29">
        <v>1.233113792844384E-2</v>
      </c>
      <c r="AD616" s="29" t="s">
        <v>2829</v>
      </c>
      <c r="AE616" s="29" t="s">
        <v>2830</v>
      </c>
      <c r="AF616" s="29" t="s">
        <v>2831</v>
      </c>
      <c r="AG616" s="29" t="s">
        <v>43</v>
      </c>
      <c r="AH616" s="29" t="s">
        <v>43</v>
      </c>
      <c r="AI616" s="29" t="s">
        <v>43</v>
      </c>
      <c r="AJ616" s="29" t="s">
        <v>43</v>
      </c>
      <c r="AK616" s="29" t="s">
        <v>43</v>
      </c>
      <c r="AL616" s="29" t="s">
        <v>43</v>
      </c>
      <c r="AM616" s="29" t="s">
        <v>43</v>
      </c>
      <c r="AN616" s="29" t="s">
        <v>43</v>
      </c>
    </row>
    <row r="617" spans="1:40" s="29" customFormat="1" x14ac:dyDescent="0.3">
      <c r="A617" s="29" t="s">
        <v>2832</v>
      </c>
      <c r="B617" s="29">
        <v>418</v>
      </c>
      <c r="C617" s="29" t="str">
        <f>IF(Y617&lt;0, "Down", "Up")</f>
        <v>Up</v>
      </c>
      <c r="D617" s="30" t="str">
        <f>IF(AC617&lt;0.05, "Sig", "N")</f>
        <v>Sig</v>
      </c>
      <c r="E617" s="31" t="str">
        <f>IF(AND(H617&gt;2,J617&gt;2,L617&gt;2,N617&gt;2),"Y","N")</f>
        <v>Y</v>
      </c>
      <c r="F617" s="31" t="str">
        <f>IF(AND(P617&gt;2,R617&gt;2,T617&gt;2,V617&gt;2),"Y","N")</f>
        <v>Y</v>
      </c>
      <c r="G617" s="31" t="str">
        <f>IF(OR(E617="Y", F617="Y"), "Expressed", "N")</f>
        <v>Expressed</v>
      </c>
      <c r="H617" s="29">
        <v>8.4959415820003201</v>
      </c>
      <c r="I617" s="29">
        <v>158</v>
      </c>
      <c r="J617" s="29">
        <v>5.4254564291422893</v>
      </c>
      <c r="K617" s="29">
        <v>226</v>
      </c>
      <c r="L617" s="29">
        <v>14.580411058058591</v>
      </c>
      <c r="M617" s="29">
        <v>471</v>
      </c>
      <c r="N617" s="29">
        <v>12.534342209701791</v>
      </c>
      <c r="O617" s="29">
        <v>241</v>
      </c>
      <c r="P617" s="29">
        <v>6.0885413290865769</v>
      </c>
      <c r="Q617" s="29">
        <v>717</v>
      </c>
      <c r="R617" s="29">
        <v>38.976967284295782</v>
      </c>
      <c r="S617" s="29">
        <v>319</v>
      </c>
      <c r="T617" s="29">
        <v>29.352370095686322</v>
      </c>
      <c r="U617" s="29">
        <v>160</v>
      </c>
      <c r="V617" s="29">
        <v>3.8118466472213819</v>
      </c>
      <c r="W617" s="29">
        <v>755</v>
      </c>
      <c r="X617" s="29">
        <v>341.43403460287698</v>
      </c>
      <c r="Y617" s="29">
        <v>0.81379764009850142</v>
      </c>
      <c r="Z617" s="29">
        <v>0.24907768688999071</v>
      </c>
      <c r="AA617" s="29">
        <v>3.2672442492126099</v>
      </c>
      <c r="AB617" s="29">
        <v>1.08599940412173E-3</v>
      </c>
      <c r="AC617" s="29">
        <v>3.2336521300057867E-2</v>
      </c>
    </row>
    <row r="618" spans="1:40" s="29" customFormat="1" x14ac:dyDescent="0.3">
      <c r="A618" s="29" t="s">
        <v>2843</v>
      </c>
      <c r="B618" s="29">
        <v>2193</v>
      </c>
      <c r="C618" s="29" t="str">
        <f>IF(Y618&lt;0, "Down", "Up")</f>
        <v>Up</v>
      </c>
      <c r="D618" s="30" t="str">
        <f>IF(AC618&lt;0.05, "Sig", "N")</f>
        <v>Sig</v>
      </c>
      <c r="E618" s="31" t="str">
        <f>IF(AND(H618&gt;2,J618&gt;2,L618&gt;2,N618&gt;2),"Y","N")</f>
        <v>Y</v>
      </c>
      <c r="F618" s="31" t="str">
        <f>IF(AND(P618&gt;2,R618&gt;2,T618&gt;2,V618&gt;2),"Y","N")</f>
        <v>N</v>
      </c>
      <c r="G618" s="31" t="str">
        <f>IF(OR(E618="Y", F618="Y"), "Expressed", "N")</f>
        <v>Expressed</v>
      </c>
      <c r="H618" s="29">
        <v>4.919639933195219</v>
      </c>
      <c r="I618" s="29">
        <v>480</v>
      </c>
      <c r="J618" s="29">
        <v>5.3445154123973806</v>
      </c>
      <c r="K618" s="29">
        <v>1168</v>
      </c>
      <c r="L618" s="29">
        <v>5.6526490151865314</v>
      </c>
      <c r="M618" s="29">
        <v>958</v>
      </c>
      <c r="N618" s="29">
        <v>4.1735368351940298</v>
      </c>
      <c r="O618" s="29">
        <v>421</v>
      </c>
      <c r="P618" s="29">
        <v>2.027290390226915</v>
      </c>
      <c r="Q618" s="29">
        <v>1476</v>
      </c>
      <c r="R618" s="29">
        <v>15.293711607719381</v>
      </c>
      <c r="S618" s="29">
        <v>688</v>
      </c>
      <c r="T618" s="29">
        <v>12.06642394738153</v>
      </c>
      <c r="U618" s="29">
        <v>381</v>
      </c>
      <c r="V618" s="29">
        <v>1.7301273180095269</v>
      </c>
      <c r="W618" s="29">
        <v>2025</v>
      </c>
      <c r="X618" s="29">
        <v>827.28231729602055</v>
      </c>
      <c r="Y618" s="29">
        <v>0.63527839247889173</v>
      </c>
      <c r="Z618" s="29">
        <v>0.15131088939403439</v>
      </c>
      <c r="AA618" s="29">
        <v>4.1984975108072966</v>
      </c>
      <c r="AB618" s="29">
        <v>2.6869180649052401E-5</v>
      </c>
      <c r="AC618" s="29">
        <v>2.614161188909041E-3</v>
      </c>
      <c r="AD618" s="29" t="s">
        <v>2844</v>
      </c>
      <c r="AE618" s="29" t="s">
        <v>2845</v>
      </c>
      <c r="AF618" s="29" t="s">
        <v>2846</v>
      </c>
      <c r="AG618" s="29" t="s">
        <v>2847</v>
      </c>
      <c r="AH618" s="29" t="s">
        <v>43</v>
      </c>
      <c r="AI618" s="29" t="s">
        <v>43</v>
      </c>
      <c r="AJ618" s="29" t="s">
        <v>43</v>
      </c>
      <c r="AK618" s="29" t="s">
        <v>43</v>
      </c>
      <c r="AL618" s="29" t="s">
        <v>43</v>
      </c>
      <c r="AM618" s="29" t="s">
        <v>2848</v>
      </c>
      <c r="AN618" s="29" t="s">
        <v>2849</v>
      </c>
    </row>
    <row r="619" spans="1:40" s="29" customFormat="1" x14ac:dyDescent="0.3">
      <c r="A619" s="29" t="s">
        <v>2853</v>
      </c>
      <c r="B619" s="29">
        <v>456</v>
      </c>
      <c r="C619" s="29" t="str">
        <f>IF(Y619&lt;0, "Down", "Up")</f>
        <v>Up</v>
      </c>
      <c r="D619" s="30" t="str">
        <f>IF(AC619&lt;0.05, "Sig", "N")</f>
        <v>Sig</v>
      </c>
      <c r="E619" s="31" t="str">
        <f>IF(AND(H619&gt;2,J619&gt;2,L619&gt;2,N619&gt;2),"Y","N")</f>
        <v>Y</v>
      </c>
      <c r="F619" s="31" t="str">
        <f>IF(AND(P619&gt;2,R619&gt;2,T619&gt;2,V619&gt;2),"Y","N")</f>
        <v>Y</v>
      </c>
      <c r="G619" s="31" t="str">
        <f>IF(OR(E619="Y", F619="Y"), "Expressed", "N")</f>
        <v>Expressed</v>
      </c>
      <c r="H619" s="29">
        <v>5.3234064342913401</v>
      </c>
      <c r="I619" s="29">
        <v>108</v>
      </c>
      <c r="J619" s="29">
        <v>5.2594118555365332</v>
      </c>
      <c r="K619" s="29">
        <v>239</v>
      </c>
      <c r="L619" s="29">
        <v>5.1929171018881704</v>
      </c>
      <c r="M619" s="29">
        <v>183</v>
      </c>
      <c r="N619" s="29">
        <v>6.2931759642071254</v>
      </c>
      <c r="O619" s="29">
        <v>132</v>
      </c>
      <c r="P619" s="29">
        <v>3.05690249302687</v>
      </c>
      <c r="Q619" s="29">
        <v>484</v>
      </c>
      <c r="R619" s="29">
        <v>24.118244284238809</v>
      </c>
      <c r="S619" s="29">
        <v>188</v>
      </c>
      <c r="T619" s="29">
        <v>15.857027522956979</v>
      </c>
      <c r="U619" s="29">
        <v>148</v>
      </c>
      <c r="V619" s="29">
        <v>3.2321283029564638</v>
      </c>
      <c r="W619" s="29">
        <v>256</v>
      </c>
      <c r="X619" s="29">
        <v>209.13717297789509</v>
      </c>
      <c r="Y619" s="29">
        <v>0.84127877357518999</v>
      </c>
      <c r="Z619" s="29">
        <v>0.26486375726799538</v>
      </c>
      <c r="AA619" s="29">
        <v>3.1762698764556312</v>
      </c>
      <c r="AB619" s="29">
        <v>1.4918209673451951E-3</v>
      </c>
      <c r="AC619" s="29">
        <v>3.9379199188814058E-2</v>
      </c>
    </row>
    <row r="620" spans="1:40" s="29" customFormat="1" x14ac:dyDescent="0.3">
      <c r="A620" s="29" t="s">
        <v>2863</v>
      </c>
      <c r="B620" s="29">
        <v>2475</v>
      </c>
      <c r="C620" s="29" t="str">
        <f>IF(Y620&lt;0, "Down", "Up")</f>
        <v>Up</v>
      </c>
      <c r="D620" s="30" t="str">
        <f>IF(AC620&lt;0.05, "Sig", "N")</f>
        <v>Sig</v>
      </c>
      <c r="E620" s="31" t="str">
        <f>IF(AND(H620&gt;2,J620&gt;2,L620&gt;2,N620&gt;2),"Y","N")</f>
        <v>Y</v>
      </c>
      <c r="F620" s="31" t="str">
        <f>IF(AND(P620&gt;2,R620&gt;2,T620&gt;2,V620&gt;2),"Y","N")</f>
        <v>Y</v>
      </c>
      <c r="G620" s="31" t="str">
        <f>IF(OR(E620="Y", F620="Y"), "Expressed", "N")</f>
        <v>Expressed</v>
      </c>
      <c r="H620" s="29">
        <v>4.913067989951128</v>
      </c>
      <c r="I620" s="29">
        <v>541</v>
      </c>
      <c r="J620" s="29">
        <v>5.2383128583120913</v>
      </c>
      <c r="K620" s="29">
        <v>1292</v>
      </c>
      <c r="L620" s="29">
        <v>7.6697296045532823</v>
      </c>
      <c r="M620" s="29">
        <v>1467</v>
      </c>
      <c r="N620" s="29">
        <v>5.9905949784533279</v>
      </c>
      <c r="O620" s="29">
        <v>682</v>
      </c>
      <c r="P620" s="29">
        <v>2.9099241509379019</v>
      </c>
      <c r="Q620" s="29">
        <v>1893</v>
      </c>
      <c r="R620" s="29">
        <v>17.379632199773951</v>
      </c>
      <c r="S620" s="29">
        <v>875</v>
      </c>
      <c r="T620" s="29">
        <v>13.597580016462141</v>
      </c>
      <c r="U620" s="29">
        <v>541</v>
      </c>
      <c r="V620" s="29">
        <v>2.176776204821588</v>
      </c>
      <c r="W620" s="29">
        <v>1778</v>
      </c>
      <c r="X620" s="29">
        <v>1028.241895517657</v>
      </c>
      <c r="Y620" s="29">
        <v>0.47164277475620309</v>
      </c>
      <c r="Z620" s="29">
        <v>0.13405018923163611</v>
      </c>
      <c r="AA620" s="29">
        <v>3.518404393605246</v>
      </c>
      <c r="AB620" s="29">
        <v>4.3415022110581102E-4</v>
      </c>
      <c r="AC620" s="29">
        <v>1.7515664722497579E-2</v>
      </c>
    </row>
    <row r="621" spans="1:40" s="29" customFormat="1" x14ac:dyDescent="0.3">
      <c r="A621" s="29" t="s">
        <v>2882</v>
      </c>
      <c r="B621" s="29">
        <v>1872</v>
      </c>
      <c r="C621" s="29" t="str">
        <f>IF(Y621&lt;0, "Down", "Up")</f>
        <v>Up</v>
      </c>
      <c r="D621" s="30" t="str">
        <f>IF(AC621&lt;0.05, "Sig", "N")</f>
        <v>Sig</v>
      </c>
      <c r="E621" s="31" t="str">
        <f>IF(AND(H621&gt;2,J621&gt;2,L621&gt;2,N621&gt;2),"Y","N")</f>
        <v>Y</v>
      </c>
      <c r="F621" s="31" t="str">
        <f>IF(AND(P621&gt;2,R621&gt;2,T621&gt;2,V621&gt;2),"Y","N")</f>
        <v>Y</v>
      </c>
      <c r="G621" s="31" t="str">
        <f>IF(OR(E621="Y", F621="Y"), "Expressed", "N")</f>
        <v>Expressed</v>
      </c>
      <c r="H621" s="29">
        <v>4.8867404981451728</v>
      </c>
      <c r="I621" s="29">
        <v>407</v>
      </c>
      <c r="J621" s="29">
        <v>5.1888801012245427</v>
      </c>
      <c r="K621" s="29">
        <v>968</v>
      </c>
      <c r="L621" s="29">
        <v>7.0366682488945633</v>
      </c>
      <c r="M621" s="29">
        <v>1018</v>
      </c>
      <c r="N621" s="29">
        <v>5.7137343544491257</v>
      </c>
      <c r="O621" s="29">
        <v>492</v>
      </c>
      <c r="P621" s="29">
        <v>2.7754394429696179</v>
      </c>
      <c r="Q621" s="29">
        <v>1301</v>
      </c>
      <c r="R621" s="29">
        <v>15.791981364221741</v>
      </c>
      <c r="S621" s="29">
        <v>551</v>
      </c>
      <c r="T621" s="29">
        <v>11.320732483485861</v>
      </c>
      <c r="U621" s="29">
        <v>407</v>
      </c>
      <c r="V621" s="29">
        <v>2.1651115875573752</v>
      </c>
      <c r="W621" s="29">
        <v>1294</v>
      </c>
      <c r="X621" s="29">
        <v>730.15626479019375</v>
      </c>
      <c r="Y621" s="29">
        <v>0.40990243869398602</v>
      </c>
      <c r="Z621" s="29">
        <v>0.1278860613770951</v>
      </c>
      <c r="AA621" s="29">
        <v>3.2052159107888589</v>
      </c>
      <c r="AB621" s="29">
        <v>1.3496120092145879E-3</v>
      </c>
      <c r="AC621" s="29">
        <v>3.7015692716764838E-2</v>
      </c>
      <c r="AD621" s="29" t="s">
        <v>2883</v>
      </c>
      <c r="AE621" s="29" t="s">
        <v>2884</v>
      </c>
      <c r="AF621" s="29" t="s">
        <v>55</v>
      </c>
      <c r="AG621" s="29" t="s">
        <v>2885</v>
      </c>
      <c r="AH621" s="29" t="s">
        <v>43</v>
      </c>
      <c r="AI621" s="29" t="s">
        <v>43</v>
      </c>
      <c r="AJ621" s="29" t="s">
        <v>43</v>
      </c>
      <c r="AK621" s="29" t="s">
        <v>43</v>
      </c>
      <c r="AL621" s="29" t="s">
        <v>43</v>
      </c>
      <c r="AM621" s="29" t="s">
        <v>2886</v>
      </c>
      <c r="AN621" s="29" t="s">
        <v>43</v>
      </c>
    </row>
    <row r="622" spans="1:40" s="29" customFormat="1" x14ac:dyDescent="0.3">
      <c r="A622" s="29" t="s">
        <v>2893</v>
      </c>
      <c r="B622" s="29">
        <v>2762</v>
      </c>
      <c r="C622" s="29" t="str">
        <f>IF(Y622&lt;0, "Down", "Up")</f>
        <v>Up</v>
      </c>
      <c r="D622" s="30" t="str">
        <f>IF(AC622&lt;0.05, "Sig", "N")</f>
        <v>Sig</v>
      </c>
      <c r="E622" s="31" t="str">
        <f>IF(AND(H622&gt;2,J622&gt;2,L622&gt;2,N622&gt;2),"Y","N")</f>
        <v>Y</v>
      </c>
      <c r="F622" s="31" t="str">
        <f>IF(AND(P622&gt;2,R622&gt;2,T622&gt;2,V622&gt;2),"Y","N")</f>
        <v>Y</v>
      </c>
      <c r="G622" s="31" t="str">
        <f>IF(OR(E622="Y", F622="Y"), "Expressed", "N")</f>
        <v>Expressed</v>
      </c>
      <c r="H622" s="29">
        <v>5.6639091388743008</v>
      </c>
      <c r="I622" s="29">
        <v>696</v>
      </c>
      <c r="J622" s="29">
        <v>5.1336069036962231</v>
      </c>
      <c r="K622" s="29">
        <v>1413</v>
      </c>
      <c r="L622" s="29">
        <v>6.259042875290147</v>
      </c>
      <c r="M622" s="29">
        <v>1336</v>
      </c>
      <c r="N622" s="29">
        <v>4.9430699496359303</v>
      </c>
      <c r="O622" s="29">
        <v>628</v>
      </c>
      <c r="P622" s="29">
        <v>2.4010901551442712</v>
      </c>
      <c r="Q622" s="29">
        <v>1784</v>
      </c>
      <c r="R622" s="29">
        <v>14.67696797012392</v>
      </c>
      <c r="S622" s="29">
        <v>830</v>
      </c>
      <c r="T622" s="29">
        <v>11.558013343878081</v>
      </c>
      <c r="U622" s="29">
        <v>576</v>
      </c>
      <c r="V622" s="29">
        <v>2.0767801718822358</v>
      </c>
      <c r="W622" s="29">
        <v>1875</v>
      </c>
      <c r="X622" s="29">
        <v>1044.9865954092841</v>
      </c>
      <c r="Y622" s="29">
        <v>0.41874600592823491</v>
      </c>
      <c r="Z622" s="29">
        <v>0.1131858211064489</v>
      </c>
      <c r="AA622" s="29">
        <v>3.699633062116614</v>
      </c>
      <c r="AB622" s="29">
        <v>2.159114146076327E-4</v>
      </c>
      <c r="AC622" s="29">
        <v>1.135162834419488E-2</v>
      </c>
      <c r="AD622" s="29" t="s">
        <v>2894</v>
      </c>
      <c r="AE622" s="29" t="s">
        <v>2895</v>
      </c>
      <c r="AF622" s="29" t="s">
        <v>43</v>
      </c>
      <c r="AG622" s="29" t="s">
        <v>2896</v>
      </c>
      <c r="AH622" s="29" t="s">
        <v>43</v>
      </c>
      <c r="AI622" s="29" t="s">
        <v>43</v>
      </c>
      <c r="AJ622" s="29" t="s">
        <v>43</v>
      </c>
      <c r="AK622" s="29" t="s">
        <v>43</v>
      </c>
      <c r="AL622" s="29" t="s">
        <v>43</v>
      </c>
      <c r="AM622" s="29" t="s">
        <v>2897</v>
      </c>
      <c r="AN622" s="29" t="s">
        <v>43</v>
      </c>
    </row>
    <row r="623" spans="1:40" s="29" customFormat="1" x14ac:dyDescent="0.3">
      <c r="A623" s="29" t="s">
        <v>2939</v>
      </c>
      <c r="B623" s="29">
        <v>3168</v>
      </c>
      <c r="C623" s="29" t="str">
        <f>IF(Y623&lt;0, "Down", "Up")</f>
        <v>Up</v>
      </c>
      <c r="D623" s="30" t="str">
        <f>IF(AC623&lt;0.05, "Sig", "N")</f>
        <v>Sig</v>
      </c>
      <c r="E623" s="31" t="str">
        <f>IF(AND(H623&gt;2,J623&gt;2,L623&gt;2,N623&gt;2),"Y","N")</f>
        <v>Y</v>
      </c>
      <c r="F623" s="31" t="str">
        <f>IF(AND(P623&gt;2,R623&gt;2,T623&gt;2,V623&gt;2),"Y","N")</f>
        <v>N</v>
      </c>
      <c r="G623" s="31" t="str">
        <f>IF(OR(E623="Y", F623="Y"), "Expressed", "N")</f>
        <v>Expressed</v>
      </c>
      <c r="H623" s="29">
        <v>4.2214583150718017</v>
      </c>
      <c r="I623" s="29">
        <v>595</v>
      </c>
      <c r="J623" s="29">
        <v>4.9603315693430332</v>
      </c>
      <c r="K623" s="29">
        <v>1566</v>
      </c>
      <c r="L623" s="29">
        <v>5.3711307248996496</v>
      </c>
      <c r="M623" s="29">
        <v>1315</v>
      </c>
      <c r="N623" s="29">
        <v>5.201694228449897</v>
      </c>
      <c r="O623" s="29">
        <v>758</v>
      </c>
      <c r="P623" s="29">
        <v>2.526716580840966</v>
      </c>
      <c r="Q623" s="29">
        <v>2084</v>
      </c>
      <c r="R623" s="29">
        <v>14.947814936744299</v>
      </c>
      <c r="S623" s="29">
        <v>924</v>
      </c>
      <c r="T623" s="29">
        <v>11.218003513581269</v>
      </c>
      <c r="U623" s="29">
        <v>635</v>
      </c>
      <c r="V623" s="29">
        <v>1.9960907030697039</v>
      </c>
      <c r="W623" s="29">
        <v>1954</v>
      </c>
      <c r="X623" s="29">
        <v>1124.1789875003301</v>
      </c>
      <c r="Y623" s="29">
        <v>0.5171153608300918</v>
      </c>
      <c r="Z623" s="29">
        <v>0.13624121681017451</v>
      </c>
      <c r="AA623" s="29">
        <v>3.795586775700857</v>
      </c>
      <c r="AB623" s="29">
        <v>1.472946624584068E-4</v>
      </c>
      <c r="AC623" s="29">
        <v>8.7716383119437087E-3</v>
      </c>
      <c r="AD623" s="29" t="s">
        <v>2940</v>
      </c>
      <c r="AE623" s="29" t="s">
        <v>2941</v>
      </c>
      <c r="AF623" s="29" t="s">
        <v>2942</v>
      </c>
      <c r="AG623" s="29" t="s">
        <v>43</v>
      </c>
      <c r="AH623" s="29" t="s">
        <v>43</v>
      </c>
      <c r="AI623" s="29" t="s">
        <v>43</v>
      </c>
      <c r="AJ623" s="29" t="s">
        <v>43</v>
      </c>
      <c r="AK623" s="29" t="s">
        <v>43</v>
      </c>
      <c r="AL623" s="29" t="s">
        <v>43</v>
      </c>
      <c r="AM623" s="29" t="s">
        <v>43</v>
      </c>
      <c r="AN623" s="29" t="s">
        <v>43</v>
      </c>
    </row>
    <row r="624" spans="1:40" s="29" customFormat="1" x14ac:dyDescent="0.3">
      <c r="A624" s="29" t="s">
        <v>2943</v>
      </c>
      <c r="B624" s="29">
        <v>336</v>
      </c>
      <c r="C624" s="29" t="str">
        <f>IF(Y624&lt;0, "Down", "Up")</f>
        <v>Up</v>
      </c>
      <c r="D624" s="30" t="str">
        <f>IF(AC624&lt;0.05, "Sig", "N")</f>
        <v>Sig</v>
      </c>
      <c r="E624" s="31" t="str">
        <f>IF(AND(H624&gt;2,J624&gt;2,L624&gt;2,N624&gt;2),"Y","N")</f>
        <v>Y</v>
      </c>
      <c r="F624" s="31" t="str">
        <f>IF(AND(P624&gt;2,R624&gt;2,T624&gt;2,V624&gt;2),"Y","N")</f>
        <v>Y</v>
      </c>
      <c r="G624" s="31" t="str">
        <f>IF(OR(E624="Y", F624="Y"), "Expressed", "N")</f>
        <v>Expressed</v>
      </c>
      <c r="H624" s="29">
        <v>2.675786302950673</v>
      </c>
      <c r="I624" s="29">
        <v>40</v>
      </c>
      <c r="J624" s="29">
        <v>4.9576165548004267</v>
      </c>
      <c r="K624" s="29">
        <v>166</v>
      </c>
      <c r="L624" s="29">
        <v>41.091338175869978</v>
      </c>
      <c r="M624" s="29">
        <v>1067</v>
      </c>
      <c r="N624" s="29">
        <v>5.3703130387200408</v>
      </c>
      <c r="O624" s="29">
        <v>83</v>
      </c>
      <c r="P624" s="29">
        <v>2.6086229607702238</v>
      </c>
      <c r="Q624" s="29">
        <v>62</v>
      </c>
      <c r="R624" s="29">
        <v>4.1929297176554492</v>
      </c>
      <c r="S624" s="29">
        <v>35</v>
      </c>
      <c r="T624" s="29">
        <v>4.0064298262790237</v>
      </c>
      <c r="U624" s="29">
        <v>524</v>
      </c>
      <c r="V624" s="29">
        <v>15.53043889200509</v>
      </c>
      <c r="W624" s="29">
        <v>102</v>
      </c>
      <c r="X624" s="29">
        <v>291.59548674088541</v>
      </c>
      <c r="Y624" s="29">
        <v>0.49502529463687273</v>
      </c>
      <c r="Z624" s="29">
        <v>1.316178551081556</v>
      </c>
      <c r="AA624" s="29">
        <v>0.37610800922875592</v>
      </c>
      <c r="AD624" s="29" t="s">
        <v>2944</v>
      </c>
      <c r="AE624" s="29" t="s">
        <v>2945</v>
      </c>
      <c r="AF624" s="29" t="s">
        <v>43</v>
      </c>
      <c r="AG624" s="29" t="s">
        <v>2946</v>
      </c>
      <c r="AH624" s="29" t="s">
        <v>43</v>
      </c>
      <c r="AI624" s="29" t="s">
        <v>43</v>
      </c>
      <c r="AJ624" s="29" t="s">
        <v>43</v>
      </c>
      <c r="AK624" s="29" t="s">
        <v>43</v>
      </c>
      <c r="AL624" s="29" t="s">
        <v>43</v>
      </c>
      <c r="AM624" s="29" t="s">
        <v>2947</v>
      </c>
      <c r="AN624" s="29" t="s">
        <v>43</v>
      </c>
    </row>
    <row r="625" spans="1:40" s="29" customFormat="1" x14ac:dyDescent="0.3">
      <c r="A625" s="29" t="s">
        <v>2948</v>
      </c>
      <c r="B625" s="29">
        <v>1545</v>
      </c>
      <c r="C625" s="29" t="str">
        <f>IF(Y625&lt;0, "Down", "Up")</f>
        <v>Up</v>
      </c>
      <c r="D625" s="30" t="str">
        <f>IF(AC625&lt;0.05, "Sig", "N")</f>
        <v>Sig</v>
      </c>
      <c r="E625" s="31" t="str">
        <f>IF(AND(H625&gt;2,J625&gt;2,L625&gt;2,N625&gt;2),"Y","N")</f>
        <v>Y</v>
      </c>
      <c r="F625" s="31" t="str">
        <f>IF(AND(P625&gt;2,R625&gt;2,T625&gt;2,V625&gt;2),"Y","N")</f>
        <v>N</v>
      </c>
      <c r="G625" s="31" t="str">
        <f>IF(OR(E625="Y", F625="Y"), "Expressed", "N")</f>
        <v>Expressed</v>
      </c>
      <c r="H625" s="29">
        <v>5.1936232785038703</v>
      </c>
      <c r="I625" s="29">
        <v>357</v>
      </c>
      <c r="J625" s="29">
        <v>4.9426549795151473</v>
      </c>
      <c r="K625" s="29">
        <v>761</v>
      </c>
      <c r="L625" s="29">
        <v>6.0301644398179359</v>
      </c>
      <c r="M625" s="29">
        <v>720</v>
      </c>
      <c r="N625" s="29">
        <v>4.8686482834595628</v>
      </c>
      <c r="O625" s="29">
        <v>346</v>
      </c>
      <c r="P625" s="29">
        <v>2.364939922231085</v>
      </c>
      <c r="Q625" s="29">
        <v>923</v>
      </c>
      <c r="R625" s="29">
        <v>13.574954666218281</v>
      </c>
      <c r="S625" s="29">
        <v>450</v>
      </c>
      <c r="T625" s="29">
        <v>11.202444562799601</v>
      </c>
      <c r="U625" s="29">
        <v>282</v>
      </c>
      <c r="V625" s="29">
        <v>1.8176587192065841</v>
      </c>
      <c r="W625" s="29">
        <v>1071</v>
      </c>
      <c r="X625" s="29">
        <v>555.07185737001998</v>
      </c>
      <c r="Y625" s="29">
        <v>0.40216490537856009</v>
      </c>
      <c r="Z625" s="29">
        <v>0.1140894753967506</v>
      </c>
      <c r="AA625" s="29">
        <v>3.52499565783799</v>
      </c>
      <c r="AB625" s="29">
        <v>4.2348973304105259E-4</v>
      </c>
      <c r="AC625" s="29">
        <v>1.723645541355338E-2</v>
      </c>
      <c r="AD625" s="29" t="s">
        <v>2949</v>
      </c>
      <c r="AE625" s="29" t="s">
        <v>2950</v>
      </c>
      <c r="AF625" s="29" t="s">
        <v>2951</v>
      </c>
      <c r="AG625" s="29" t="s">
        <v>2952</v>
      </c>
      <c r="AH625" s="29" t="s">
        <v>43</v>
      </c>
      <c r="AI625" s="29" t="s">
        <v>43</v>
      </c>
      <c r="AJ625" s="29" t="s">
        <v>43</v>
      </c>
      <c r="AK625" s="29" t="s">
        <v>43</v>
      </c>
      <c r="AL625" s="29" t="s">
        <v>43</v>
      </c>
      <c r="AM625" s="29" t="s">
        <v>2953</v>
      </c>
      <c r="AN625" s="29" t="s">
        <v>43</v>
      </c>
    </row>
    <row r="626" spans="1:40" s="29" customFormat="1" x14ac:dyDescent="0.3">
      <c r="A626" s="29" t="s">
        <v>2960</v>
      </c>
      <c r="B626" s="29">
        <v>2702</v>
      </c>
      <c r="C626" s="29" t="str">
        <f>IF(Y626&lt;0, "Down", "Up")</f>
        <v>Up</v>
      </c>
      <c r="D626" s="30" t="str">
        <f>IF(AC626&lt;0.05, "Sig", "N")</f>
        <v>Sig</v>
      </c>
      <c r="E626" s="31" t="str">
        <f>IF(AND(H626&gt;2,J626&gt;2,L626&gt;2,N626&gt;2),"Y","N")</f>
        <v>Y</v>
      </c>
      <c r="F626" s="31" t="str">
        <f>IF(AND(P626&gt;2,R626&gt;2,T626&gt;2,V626&gt;2),"Y","N")</f>
        <v>Y</v>
      </c>
      <c r="G626" s="31" t="str">
        <f>IF(OR(E626="Y", F626="Y"), "Expressed", "N")</f>
        <v>Expressed</v>
      </c>
      <c r="H626" s="29">
        <v>5.6149919828757664</v>
      </c>
      <c r="I626" s="29">
        <v>675</v>
      </c>
      <c r="J626" s="29">
        <v>4.8687947837018726</v>
      </c>
      <c r="K626" s="29">
        <v>1311</v>
      </c>
      <c r="L626" s="29">
        <v>8.1459944820921368</v>
      </c>
      <c r="M626" s="29">
        <v>1701</v>
      </c>
      <c r="N626" s="29">
        <v>7.3217826809192639</v>
      </c>
      <c r="O626" s="29">
        <v>910</v>
      </c>
      <c r="P626" s="29">
        <v>3.556546941957782</v>
      </c>
      <c r="Q626" s="29">
        <v>2390</v>
      </c>
      <c r="R626" s="29">
        <v>20.099151646725431</v>
      </c>
      <c r="S626" s="29">
        <v>1183</v>
      </c>
      <c r="T626" s="29">
        <v>16.839460492629762</v>
      </c>
      <c r="U626" s="29">
        <v>582</v>
      </c>
      <c r="V626" s="29">
        <v>2.1450101890947191</v>
      </c>
      <c r="W626" s="29">
        <v>2547</v>
      </c>
      <c r="X626" s="29">
        <v>1274.83386078067</v>
      </c>
      <c r="Y626" s="29">
        <v>0.57596311071348194</v>
      </c>
      <c r="Z626" s="29">
        <v>0.1581428922424149</v>
      </c>
      <c r="AA626" s="29">
        <v>3.642042348830933</v>
      </c>
      <c r="AB626" s="29">
        <v>2.704835617567839E-4</v>
      </c>
      <c r="AC626" s="29">
        <v>1.286674520533981E-2</v>
      </c>
      <c r="AD626" s="29" t="s">
        <v>2961</v>
      </c>
      <c r="AE626" s="29" t="s">
        <v>2962</v>
      </c>
      <c r="AF626" s="29" t="s">
        <v>2963</v>
      </c>
      <c r="AG626" s="29" t="s">
        <v>2964</v>
      </c>
      <c r="AH626" s="29" t="s">
        <v>43</v>
      </c>
      <c r="AI626" s="29" t="s">
        <v>43</v>
      </c>
      <c r="AJ626" s="29" t="s">
        <v>43</v>
      </c>
      <c r="AK626" s="29" t="s">
        <v>43</v>
      </c>
      <c r="AL626" s="29" t="s">
        <v>43</v>
      </c>
      <c r="AM626" s="29" t="s">
        <v>2965</v>
      </c>
      <c r="AN626" s="29" t="s">
        <v>43</v>
      </c>
    </row>
    <row r="627" spans="1:40" s="29" customFormat="1" x14ac:dyDescent="0.3">
      <c r="A627" s="29" t="s">
        <v>2966</v>
      </c>
      <c r="B627" s="29">
        <v>2174</v>
      </c>
      <c r="C627" s="29" t="str">
        <f>IF(Y627&lt;0, "Down", "Up")</f>
        <v>Up</v>
      </c>
      <c r="D627" s="30" t="str">
        <f>IF(AC627&lt;0.05, "Sig", "N")</f>
        <v>Sig</v>
      </c>
      <c r="E627" s="31" t="str">
        <f>IF(AND(H627&gt;2,J627&gt;2,L627&gt;2,N627&gt;2),"Y","N")</f>
        <v>Y</v>
      </c>
      <c r="F627" s="31" t="str">
        <f>IF(AND(P627&gt;2,R627&gt;2,T627&gt;2,V627&gt;2),"Y","N")</f>
        <v>Y</v>
      </c>
      <c r="G627" s="31" t="str">
        <f>IF(OR(E627="Y", F627="Y"), "Expressed", "N")</f>
        <v>Expressed</v>
      </c>
      <c r="H627" s="29">
        <v>4.7041652483337053</v>
      </c>
      <c r="I627" s="29">
        <v>455</v>
      </c>
      <c r="J627" s="29">
        <v>4.8511789929617368</v>
      </c>
      <c r="K627" s="29">
        <v>1051</v>
      </c>
      <c r="L627" s="29">
        <v>5.6127706404771951</v>
      </c>
      <c r="M627" s="29">
        <v>943</v>
      </c>
      <c r="N627" s="29">
        <v>5.9200169980264059</v>
      </c>
      <c r="O627" s="29">
        <v>592</v>
      </c>
      <c r="P627" s="29">
        <v>2.875640983655285</v>
      </c>
      <c r="Q627" s="29">
        <v>1407</v>
      </c>
      <c r="R627" s="29">
        <v>14.70617495534505</v>
      </c>
      <c r="S627" s="29">
        <v>667</v>
      </c>
      <c r="T627" s="29">
        <v>11.800354859075361</v>
      </c>
      <c r="U627" s="29">
        <v>489</v>
      </c>
      <c r="V627" s="29">
        <v>2.2399640017977949</v>
      </c>
      <c r="W627" s="29">
        <v>1612</v>
      </c>
      <c r="X627" s="29">
        <v>832.81378636419765</v>
      </c>
      <c r="Y627" s="29">
        <v>0.54425555039677642</v>
      </c>
      <c r="Z627" s="29">
        <v>0.14374278701501689</v>
      </c>
      <c r="AA627" s="29">
        <v>3.7863155550192409</v>
      </c>
      <c r="AB627" s="29">
        <v>1.5289749061071339E-4</v>
      </c>
      <c r="AC627" s="29">
        <v>8.8769920367523115E-3</v>
      </c>
      <c r="AD627" s="29" t="s">
        <v>2967</v>
      </c>
      <c r="AE627" s="29" t="s">
        <v>2968</v>
      </c>
      <c r="AF627" s="29" t="s">
        <v>2969</v>
      </c>
      <c r="AG627" s="29" t="s">
        <v>2970</v>
      </c>
      <c r="AH627" s="29" t="s">
        <v>43</v>
      </c>
      <c r="AI627" s="29" t="s">
        <v>43</v>
      </c>
      <c r="AJ627" s="29" t="s">
        <v>43</v>
      </c>
      <c r="AK627" s="29" t="s">
        <v>43</v>
      </c>
      <c r="AL627" s="29" t="s">
        <v>43</v>
      </c>
      <c r="AM627" s="29" t="s">
        <v>2971</v>
      </c>
      <c r="AN627" s="29" t="s">
        <v>43</v>
      </c>
    </row>
    <row r="628" spans="1:40" s="29" customFormat="1" x14ac:dyDescent="0.3">
      <c r="A628" s="29" t="s">
        <v>3058</v>
      </c>
      <c r="B628" s="29">
        <v>1806</v>
      </c>
      <c r="C628" s="29" t="str">
        <f>IF(Y628&lt;0, "Down", "Up")</f>
        <v>Up</v>
      </c>
      <c r="D628" s="30" t="str">
        <f>IF(AC628&lt;0.05, "Sig", "N")</f>
        <v>Sig</v>
      </c>
      <c r="E628" s="31" t="str">
        <f>IF(AND(H628&gt;2,J628&gt;2,L628&gt;2,N628&gt;2),"Y","N")</f>
        <v>Y</v>
      </c>
      <c r="F628" s="31" t="str">
        <f>IF(AND(P628&gt;2,R628&gt;2,T628&gt;2,V628&gt;2),"Y","N")</f>
        <v>Y</v>
      </c>
      <c r="G628" s="31" t="str">
        <f>IF(OR(E628="Y", F628="Y"), "Expressed", "N")</f>
        <v>Expressed</v>
      </c>
      <c r="H628" s="29">
        <v>7.5668747543907422</v>
      </c>
      <c r="I628" s="29">
        <v>608</v>
      </c>
      <c r="J628" s="29">
        <v>4.378371359128872</v>
      </c>
      <c r="K628" s="29">
        <v>788</v>
      </c>
      <c r="L628" s="29">
        <v>5.6888947514902917</v>
      </c>
      <c r="M628" s="29">
        <v>794</v>
      </c>
      <c r="N628" s="29">
        <v>6.0308811037237096</v>
      </c>
      <c r="O628" s="29">
        <v>501</v>
      </c>
      <c r="P628" s="29">
        <v>2.9294930867937961</v>
      </c>
      <c r="Q628" s="29">
        <v>1363</v>
      </c>
      <c r="R628" s="29">
        <v>17.149176909720559</v>
      </c>
      <c r="S628" s="29">
        <v>993</v>
      </c>
      <c r="T628" s="29">
        <v>21.147560491668148</v>
      </c>
      <c r="U628" s="29">
        <v>783</v>
      </c>
      <c r="V628" s="29">
        <v>4.3175336951677572</v>
      </c>
      <c r="W628" s="29">
        <v>1129</v>
      </c>
      <c r="X628" s="29">
        <v>915.61745076465047</v>
      </c>
      <c r="Y628" s="29">
        <v>0.92282509127783963</v>
      </c>
      <c r="Z628" s="29">
        <v>0.29361862507036529</v>
      </c>
      <c r="AA628" s="29">
        <v>3.1429378536756158</v>
      </c>
      <c r="AB628" s="29">
        <v>1.672613474912755E-3</v>
      </c>
      <c r="AC628" s="29">
        <v>4.1965228584283747E-2</v>
      </c>
      <c r="AD628" s="29" t="s">
        <v>3059</v>
      </c>
      <c r="AE628" s="29" t="s">
        <v>3060</v>
      </c>
      <c r="AF628" s="29" t="s">
        <v>43</v>
      </c>
      <c r="AG628" s="29" t="s">
        <v>43</v>
      </c>
      <c r="AH628" s="29" t="s">
        <v>43</v>
      </c>
      <c r="AI628" s="29" t="s">
        <v>43</v>
      </c>
      <c r="AJ628" s="29" t="s">
        <v>43</v>
      </c>
      <c r="AK628" s="29" t="s">
        <v>43</v>
      </c>
      <c r="AL628" s="29" t="s">
        <v>43</v>
      </c>
      <c r="AM628" s="29" t="s">
        <v>43</v>
      </c>
      <c r="AN628" s="29" t="s">
        <v>43</v>
      </c>
    </row>
    <row r="629" spans="1:40" s="29" customFormat="1" x14ac:dyDescent="0.3">
      <c r="A629" s="29" t="s">
        <v>3074</v>
      </c>
      <c r="B629" s="29">
        <v>753</v>
      </c>
      <c r="C629" s="29" t="str">
        <f>IF(Y629&lt;0, "Down", "Up")</f>
        <v>Up</v>
      </c>
      <c r="D629" s="30" t="str">
        <f>IF(AC629&lt;0.05, "Sig", "N")</f>
        <v>Sig</v>
      </c>
      <c r="E629" s="31" t="str">
        <f>IF(AND(H629&gt;2,J629&gt;2,L629&gt;2,N629&gt;2),"Y","N")</f>
        <v>Y</v>
      </c>
      <c r="F629" s="31" t="str">
        <f>IF(AND(P629&gt;2,R629&gt;2,T629&gt;2,V629&gt;2),"Y","N")</f>
        <v>Y</v>
      </c>
      <c r="G629" s="31" t="str">
        <f>IF(OR(E629="Y", F629="Y"), "Expressed", "N")</f>
        <v>Expressed</v>
      </c>
      <c r="H629" s="29">
        <v>5.7012371108287656</v>
      </c>
      <c r="I629" s="29">
        <v>191</v>
      </c>
      <c r="J629" s="29">
        <v>4.3310431189635556</v>
      </c>
      <c r="K629" s="29">
        <v>325</v>
      </c>
      <c r="L629" s="29">
        <v>5.5505074354886821</v>
      </c>
      <c r="M629" s="29">
        <v>323</v>
      </c>
      <c r="N629" s="29">
        <v>5.6587679079336786</v>
      </c>
      <c r="O629" s="29">
        <v>196</v>
      </c>
      <c r="P629" s="29">
        <v>2.7487395591046879</v>
      </c>
      <c r="Q629" s="29">
        <v>590</v>
      </c>
      <c r="R629" s="29">
        <v>17.804189419269509</v>
      </c>
      <c r="S629" s="29">
        <v>239</v>
      </c>
      <c r="T629" s="29">
        <v>12.207639566287639</v>
      </c>
      <c r="U629" s="29">
        <v>153</v>
      </c>
      <c r="V629" s="29">
        <v>2.023429950833302</v>
      </c>
      <c r="W629" s="29">
        <v>491</v>
      </c>
      <c r="X629" s="29">
        <v>288.97103255932382</v>
      </c>
      <c r="Y629" s="29">
        <v>0.54171034468930768</v>
      </c>
      <c r="Z629" s="29">
        <v>0.16769482494724541</v>
      </c>
      <c r="AA629" s="29">
        <v>3.230334298388295</v>
      </c>
      <c r="AB629" s="29">
        <v>1.236455527563468E-3</v>
      </c>
      <c r="AC629" s="29">
        <v>3.5219616364645198E-2</v>
      </c>
    </row>
    <row r="630" spans="1:40" s="29" customFormat="1" x14ac:dyDescent="0.3">
      <c r="A630" s="29" t="s">
        <v>3112</v>
      </c>
      <c r="B630" s="29">
        <v>3702</v>
      </c>
      <c r="C630" s="29" t="str">
        <f>IF(Y630&lt;0, "Down", "Up")</f>
        <v>Up</v>
      </c>
      <c r="D630" s="30" t="str">
        <f>IF(AC630&lt;0.05, "Sig", "N")</f>
        <v>Sig</v>
      </c>
      <c r="E630" s="31" t="str">
        <f>IF(AND(H630&gt;2,J630&gt;2,L630&gt;2,N630&gt;2),"Y","N")</f>
        <v>Y</v>
      </c>
      <c r="F630" s="31" t="str">
        <f>IF(AND(P630&gt;2,R630&gt;2,T630&gt;2,V630&gt;2),"Y","N")</f>
        <v>Y</v>
      </c>
      <c r="G630" s="31" t="str">
        <f>IF(OR(E630="Y", F630="Y"), "Expressed", "N")</f>
        <v>Expressed</v>
      </c>
      <c r="H630" s="29">
        <v>3.9828883964828181</v>
      </c>
      <c r="I630" s="29">
        <v>656</v>
      </c>
      <c r="J630" s="29">
        <v>4.2177156872458061</v>
      </c>
      <c r="K630" s="29">
        <v>1556</v>
      </c>
      <c r="L630" s="29">
        <v>5.5470956549223374</v>
      </c>
      <c r="M630" s="29">
        <v>1587</v>
      </c>
      <c r="N630" s="29">
        <v>6.1955067139399738</v>
      </c>
      <c r="O630" s="29">
        <v>1055</v>
      </c>
      <c r="P630" s="29">
        <v>3.0094597747027949</v>
      </c>
      <c r="Q630" s="29">
        <v>2753</v>
      </c>
      <c r="R630" s="29">
        <v>16.8979868435067</v>
      </c>
      <c r="S630" s="29">
        <v>1631</v>
      </c>
      <c r="T630" s="29">
        <v>16.945185210142199</v>
      </c>
      <c r="U630" s="29">
        <v>779</v>
      </c>
      <c r="V630" s="29">
        <v>2.095524596436928</v>
      </c>
      <c r="W630" s="29">
        <v>2317</v>
      </c>
      <c r="X630" s="29">
        <v>1456.9358013325391</v>
      </c>
      <c r="Y630" s="29">
        <v>0.74677229527700362</v>
      </c>
      <c r="Z630" s="29">
        <v>0.2035052375896628</v>
      </c>
      <c r="AA630" s="29">
        <v>3.669548283483278</v>
      </c>
      <c r="AB630" s="29">
        <v>2.429794431726903E-4</v>
      </c>
      <c r="AC630" s="29">
        <v>1.2196433111441069E-2</v>
      </c>
    </row>
    <row r="631" spans="1:40" s="29" customFormat="1" x14ac:dyDescent="0.3">
      <c r="A631" s="29" t="s">
        <v>3113</v>
      </c>
      <c r="B631" s="29">
        <v>3793</v>
      </c>
      <c r="C631" s="29" t="str">
        <f>IF(Y631&lt;0, "Down", "Up")</f>
        <v>Up</v>
      </c>
      <c r="D631" s="30" t="str">
        <f>IF(AC631&lt;0.05, "Sig", "N")</f>
        <v>Sig</v>
      </c>
      <c r="E631" s="31" t="str">
        <f>IF(AND(H631&gt;2,J631&gt;2,L631&gt;2,N631&gt;2),"Y","N")</f>
        <v>Y</v>
      </c>
      <c r="F631" s="31" t="str">
        <f>IF(AND(P631&gt;2,R631&gt;2,T631&gt;2,V631&gt;2),"Y","N")</f>
        <v>Y</v>
      </c>
      <c r="G631" s="31" t="str">
        <f>IF(OR(E631="Y", F631="Y"), "Expressed", "N")</f>
        <v>Expressed</v>
      </c>
      <c r="H631" s="29">
        <v>3.620671136636973</v>
      </c>
      <c r="I631" s="29">
        <v>611</v>
      </c>
      <c r="J631" s="29">
        <v>4.2038303105501367</v>
      </c>
      <c r="K631" s="29">
        <v>1589</v>
      </c>
      <c r="L631" s="29">
        <v>6.4306319580633806</v>
      </c>
      <c r="M631" s="29">
        <v>1885</v>
      </c>
      <c r="N631" s="29">
        <v>5.0209055316378679</v>
      </c>
      <c r="O631" s="29">
        <v>876</v>
      </c>
      <c r="P631" s="29">
        <v>2.4388986934755041</v>
      </c>
      <c r="Q631" s="29">
        <v>2734</v>
      </c>
      <c r="R631" s="29">
        <v>16.378753174147281</v>
      </c>
      <c r="S631" s="29">
        <v>1223</v>
      </c>
      <c r="T631" s="29">
        <v>12.401447747001519</v>
      </c>
      <c r="U631" s="29">
        <v>798</v>
      </c>
      <c r="V631" s="29">
        <v>2.095133823875813</v>
      </c>
      <c r="W631" s="29">
        <v>3408</v>
      </c>
      <c r="X631" s="29">
        <v>1456.3977522104981</v>
      </c>
      <c r="Y631" s="29">
        <v>0.79312300342539588</v>
      </c>
      <c r="Z631" s="29">
        <v>0.15060701474968899</v>
      </c>
      <c r="AA631" s="29">
        <v>5.2661757139504939</v>
      </c>
      <c r="AB631" s="29">
        <v>1.3929496573979329E-7</v>
      </c>
      <c r="AC631" s="29">
        <v>5.6843484986146103E-5</v>
      </c>
      <c r="AD631" s="29" t="s">
        <v>3114</v>
      </c>
      <c r="AE631" s="29" t="s">
        <v>3115</v>
      </c>
      <c r="AF631" s="29" t="s">
        <v>43</v>
      </c>
      <c r="AG631" s="29" t="s">
        <v>3116</v>
      </c>
      <c r="AH631" s="29" t="s">
        <v>43</v>
      </c>
      <c r="AI631" s="29" t="s">
        <v>43</v>
      </c>
      <c r="AJ631" s="29" t="s">
        <v>43</v>
      </c>
      <c r="AK631" s="29" t="s">
        <v>43</v>
      </c>
      <c r="AL631" s="29" t="s">
        <v>43</v>
      </c>
      <c r="AM631" s="29" t="s">
        <v>3117</v>
      </c>
      <c r="AN631" s="29" t="s">
        <v>43</v>
      </c>
    </row>
    <row r="632" spans="1:40" s="29" customFormat="1" x14ac:dyDescent="0.3">
      <c r="A632" s="29" t="s">
        <v>3153</v>
      </c>
      <c r="B632" s="29">
        <v>790</v>
      </c>
      <c r="C632" s="29" t="str">
        <f>IF(Y632&lt;0, "Down", "Up")</f>
        <v>Up</v>
      </c>
      <c r="D632" s="30" t="str">
        <f>IF(AC632&lt;0.05, "Sig", "N")</f>
        <v>Sig</v>
      </c>
      <c r="E632" s="31" t="str">
        <f>IF(AND(H632&gt;2,J632&gt;2,L632&gt;2,N632&gt;2),"Y","N")</f>
        <v>Y</v>
      </c>
      <c r="F632" s="31" t="str">
        <f>IF(AND(P632&gt;2,R632&gt;2,T632&gt;2,V632&gt;2),"Y","N")</f>
        <v>Y</v>
      </c>
      <c r="G632" s="31" t="str">
        <f>IF(OR(E632="Y", F632="Y"), "Expressed", "N")</f>
        <v>Expressed</v>
      </c>
      <c r="H632" s="29">
        <v>6.5153702941214124</v>
      </c>
      <c r="I632" s="29">
        <v>229</v>
      </c>
      <c r="J632" s="29">
        <v>4.1027925076969698</v>
      </c>
      <c r="K632" s="29">
        <v>323</v>
      </c>
      <c r="L632" s="29">
        <v>5.7491702266017359</v>
      </c>
      <c r="M632" s="29">
        <v>351</v>
      </c>
      <c r="N632" s="29">
        <v>4.1553790198642666</v>
      </c>
      <c r="O632" s="29">
        <v>151</v>
      </c>
      <c r="P632" s="29">
        <v>2.0184702537385708</v>
      </c>
      <c r="Q632" s="29">
        <v>384</v>
      </c>
      <c r="R632" s="29">
        <v>11.04509113701055</v>
      </c>
      <c r="S632" s="29">
        <v>330</v>
      </c>
      <c r="T632" s="29">
        <v>16.06629074639487</v>
      </c>
      <c r="U632" s="29">
        <v>188</v>
      </c>
      <c r="V632" s="29">
        <v>2.3698588364339011</v>
      </c>
      <c r="W632" s="29">
        <v>742</v>
      </c>
      <c r="X632" s="29">
        <v>319.14350896185789</v>
      </c>
      <c r="Y632" s="29">
        <v>0.75041803060082657</v>
      </c>
      <c r="Z632" s="29">
        <v>0.2450653921251735</v>
      </c>
      <c r="AA632" s="29">
        <v>3.0621134387573221</v>
      </c>
      <c r="AB632" s="29">
        <v>2.1978014446154652E-3</v>
      </c>
      <c r="AC632" s="29">
        <v>4.8791690839631682E-2</v>
      </c>
      <c r="AD632" s="29" t="s">
        <v>3154</v>
      </c>
      <c r="AE632" s="29" t="s">
        <v>3155</v>
      </c>
      <c r="AF632" s="29" t="s">
        <v>43</v>
      </c>
      <c r="AG632" s="29" t="s">
        <v>43</v>
      </c>
      <c r="AH632" s="29" t="s">
        <v>43</v>
      </c>
      <c r="AI632" s="29" t="s">
        <v>43</v>
      </c>
      <c r="AJ632" s="29" t="s">
        <v>43</v>
      </c>
      <c r="AK632" s="29" t="s">
        <v>43</v>
      </c>
      <c r="AL632" s="29" t="s">
        <v>43</v>
      </c>
      <c r="AM632" s="29" t="s">
        <v>43</v>
      </c>
      <c r="AN632" s="29" t="s">
        <v>43</v>
      </c>
    </row>
    <row r="633" spans="1:40" s="29" customFormat="1" x14ac:dyDescent="0.3">
      <c r="A633" s="29" t="s">
        <v>3170</v>
      </c>
      <c r="B633" s="29">
        <v>1500</v>
      </c>
      <c r="C633" s="29" t="str">
        <f>IF(Y633&lt;0, "Down", "Up")</f>
        <v>Up</v>
      </c>
      <c r="D633" s="30" t="str">
        <f>IF(AC633&lt;0.05, "Sig", "N")</f>
        <v>Sig</v>
      </c>
      <c r="E633" s="31" t="str">
        <f>IF(AND(H633&gt;2,J633&gt;2,L633&gt;2,N633&gt;2),"Y","N")</f>
        <v>Y</v>
      </c>
      <c r="F633" s="31" t="str">
        <f>IF(AND(P633&gt;2,R633&gt;2,T633&gt;2,V633&gt;2),"Y","N")</f>
        <v>N</v>
      </c>
      <c r="G633" s="31" t="str">
        <f>IF(OR(E633="Y", F633="Y"), "Expressed", "N")</f>
        <v>Expressed</v>
      </c>
      <c r="H633" s="29">
        <v>4.3454769559918942</v>
      </c>
      <c r="I633" s="29">
        <v>290</v>
      </c>
      <c r="J633" s="29">
        <v>4.0540162747881272</v>
      </c>
      <c r="K633" s="29">
        <v>606</v>
      </c>
      <c r="L633" s="29">
        <v>5.3915532751844388</v>
      </c>
      <c r="M633" s="29">
        <v>625</v>
      </c>
      <c r="N633" s="29">
        <v>3.79726423634219</v>
      </c>
      <c r="O633" s="29">
        <v>262</v>
      </c>
      <c r="P633" s="29">
        <v>1.844516437610638</v>
      </c>
      <c r="Q633" s="29">
        <v>1498</v>
      </c>
      <c r="R633" s="29">
        <v>22.692676655140669</v>
      </c>
      <c r="S633" s="29">
        <v>730</v>
      </c>
      <c r="T633" s="29">
        <v>18.7180401483756</v>
      </c>
      <c r="U633" s="29">
        <v>596</v>
      </c>
      <c r="V633" s="29">
        <v>3.9568238813707022</v>
      </c>
      <c r="W633" s="29">
        <v>1790</v>
      </c>
      <c r="X633" s="29">
        <v>750.2701767997421</v>
      </c>
      <c r="Y633" s="29">
        <v>1.522841600945446</v>
      </c>
      <c r="Z633" s="29">
        <v>0.15109250927890411</v>
      </c>
      <c r="AA633" s="29">
        <v>10.078868953949319</v>
      </c>
      <c r="AB633" s="29">
        <v>6.851018223828965E-24</v>
      </c>
      <c r="AC633" s="29">
        <v>8.0985886423882197E-20</v>
      </c>
      <c r="AD633" s="29" t="s">
        <v>3171</v>
      </c>
      <c r="AE633" s="29" t="s">
        <v>3172</v>
      </c>
      <c r="AF633" s="29" t="s">
        <v>3173</v>
      </c>
      <c r="AG633" s="29" t="s">
        <v>3174</v>
      </c>
      <c r="AH633" s="29" t="s">
        <v>43</v>
      </c>
      <c r="AI633" s="29" t="s">
        <v>43</v>
      </c>
      <c r="AJ633" s="29" t="s">
        <v>43</v>
      </c>
      <c r="AK633" s="29" t="s">
        <v>43</v>
      </c>
      <c r="AL633" s="29" t="s">
        <v>43</v>
      </c>
      <c r="AM633" s="29" t="s">
        <v>3175</v>
      </c>
      <c r="AN633" s="29" t="s">
        <v>43</v>
      </c>
    </row>
    <row r="634" spans="1:40" s="29" customFormat="1" x14ac:dyDescent="0.3">
      <c r="A634" s="29" t="s">
        <v>3235</v>
      </c>
      <c r="B634" s="29">
        <v>3418</v>
      </c>
      <c r="C634" s="29" t="str">
        <f>IF(Y634&lt;0, "Down", "Up")</f>
        <v>Up</v>
      </c>
      <c r="D634" s="30" t="str">
        <f>IF(AC634&lt;0.05, "Sig", "N")</f>
        <v>Sig</v>
      </c>
      <c r="E634" s="31" t="str">
        <f>IF(AND(H634&gt;2,J634&gt;2,L634&gt;2,N634&gt;2),"Y","N")</f>
        <v>Y</v>
      </c>
      <c r="F634" s="31" t="str">
        <f>IF(AND(P634&gt;2,R634&gt;2,T634&gt;2,V634&gt;2),"Y","N")</f>
        <v>N</v>
      </c>
      <c r="G634" s="31" t="str">
        <f>IF(OR(E634="Y", F634="Y"), "Expressed", "N")</f>
        <v>Expressed</v>
      </c>
      <c r="H634" s="29">
        <v>3.4786787641286172</v>
      </c>
      <c r="I634" s="29">
        <v>529</v>
      </c>
      <c r="J634" s="29">
        <v>3.8518192508226852</v>
      </c>
      <c r="K634" s="29">
        <v>1312</v>
      </c>
      <c r="L634" s="29">
        <v>5.0918472710050819</v>
      </c>
      <c r="M634" s="29">
        <v>1345</v>
      </c>
      <c r="N634" s="29">
        <v>4.5858937993336557</v>
      </c>
      <c r="O634" s="29">
        <v>721</v>
      </c>
      <c r="P634" s="29">
        <v>2.2275922789496829</v>
      </c>
      <c r="Q634" s="29">
        <v>1988</v>
      </c>
      <c r="R634" s="29">
        <v>13.216287952032291</v>
      </c>
      <c r="S634" s="29">
        <v>673</v>
      </c>
      <c r="T634" s="29">
        <v>7.5730666534884472</v>
      </c>
      <c r="U634" s="29">
        <v>571</v>
      </c>
      <c r="V634" s="29">
        <v>1.6636262691367489</v>
      </c>
      <c r="W634" s="29">
        <v>2020</v>
      </c>
      <c r="X634" s="29">
        <v>1021.782539313904</v>
      </c>
      <c r="Y634" s="29">
        <v>0.48063364399414671</v>
      </c>
      <c r="Z634" s="29">
        <v>0.1481886454741892</v>
      </c>
      <c r="AA634" s="29">
        <v>3.243390493624974</v>
      </c>
      <c r="AB634" s="29">
        <v>1.1811620527500081E-3</v>
      </c>
      <c r="AC634" s="29">
        <v>3.4138182458576631E-2</v>
      </c>
      <c r="AD634" s="29" t="s">
        <v>3236</v>
      </c>
      <c r="AE634" s="29" t="s">
        <v>3237</v>
      </c>
      <c r="AF634" s="29" t="s">
        <v>3238</v>
      </c>
      <c r="AG634" s="29" t="s">
        <v>3239</v>
      </c>
      <c r="AH634" s="29" t="s">
        <v>43</v>
      </c>
      <c r="AI634" s="29" t="s">
        <v>43</v>
      </c>
      <c r="AJ634" s="29" t="s">
        <v>43</v>
      </c>
      <c r="AK634" s="29" t="s">
        <v>43</v>
      </c>
      <c r="AL634" s="29" t="s">
        <v>43</v>
      </c>
      <c r="AM634" s="29" t="s">
        <v>3240</v>
      </c>
      <c r="AN634" s="29" t="s">
        <v>43</v>
      </c>
    </row>
    <row r="635" spans="1:40" s="29" customFormat="1" x14ac:dyDescent="0.3">
      <c r="A635" s="29" t="s">
        <v>3245</v>
      </c>
      <c r="B635" s="29">
        <v>1472</v>
      </c>
      <c r="C635" s="29" t="str">
        <f>IF(Y635&lt;0, "Down", "Up")</f>
        <v>Up</v>
      </c>
      <c r="D635" s="30" t="str">
        <f>IF(AC635&lt;0.05, "Sig", "N")</f>
        <v>Sig</v>
      </c>
      <c r="E635" s="31" t="str">
        <f>IF(AND(H635&gt;2,J635&gt;2,L635&gt;2,N635&gt;2),"Y","N")</f>
        <v>Y</v>
      </c>
      <c r="F635" s="31" t="str">
        <f>IF(AND(P635&gt;2,R635&gt;2,T635&gt;2,V635&gt;2),"Y","N")</f>
        <v>N</v>
      </c>
      <c r="G635" s="31" t="str">
        <f>IF(OR(E635="Y", F635="Y"), "Expressed", "N")</f>
        <v>Expressed</v>
      </c>
      <c r="H635" s="29">
        <v>3.191311435774594</v>
      </c>
      <c r="I635" s="29">
        <v>209</v>
      </c>
      <c r="J635" s="29">
        <v>3.8039124403582631</v>
      </c>
      <c r="K635" s="29">
        <v>558</v>
      </c>
      <c r="L635" s="29">
        <v>4.4480314520271627</v>
      </c>
      <c r="M635" s="29">
        <v>506</v>
      </c>
      <c r="N635" s="29">
        <v>3.6479588438764869</v>
      </c>
      <c r="O635" s="29">
        <v>247</v>
      </c>
      <c r="P635" s="29">
        <v>1.7719915266520629</v>
      </c>
      <c r="Q635" s="29">
        <v>740</v>
      </c>
      <c r="R635" s="29">
        <v>11.42323418870366</v>
      </c>
      <c r="S635" s="29">
        <v>345</v>
      </c>
      <c r="T635" s="29">
        <v>9.0144671091278017</v>
      </c>
      <c r="U635" s="29">
        <v>166</v>
      </c>
      <c r="V635" s="29">
        <v>1.123031654031069</v>
      </c>
      <c r="W635" s="29">
        <v>751</v>
      </c>
      <c r="X635" s="29">
        <v>388.46520166825582</v>
      </c>
      <c r="Y635" s="29">
        <v>0.46696772108109741</v>
      </c>
      <c r="Z635" s="29">
        <v>0.1475438358761216</v>
      </c>
      <c r="AA635" s="29">
        <v>3.1649422580633271</v>
      </c>
      <c r="AB635" s="29">
        <v>1.5511373038998009E-3</v>
      </c>
      <c r="AC635" s="29">
        <v>3.9991262964884519E-2</v>
      </c>
      <c r="AD635" s="29" t="s">
        <v>3246</v>
      </c>
      <c r="AE635" s="29" t="s">
        <v>3247</v>
      </c>
      <c r="AF635" s="29" t="s">
        <v>43</v>
      </c>
      <c r="AG635" s="29" t="s">
        <v>43</v>
      </c>
      <c r="AH635" s="29" t="s">
        <v>43</v>
      </c>
      <c r="AI635" s="29" t="s">
        <v>43</v>
      </c>
      <c r="AJ635" s="29" t="s">
        <v>43</v>
      </c>
      <c r="AK635" s="29" t="s">
        <v>43</v>
      </c>
      <c r="AL635" s="29" t="s">
        <v>43</v>
      </c>
      <c r="AM635" s="29" t="s">
        <v>43</v>
      </c>
      <c r="AN635" s="29" t="s">
        <v>43</v>
      </c>
    </row>
    <row r="636" spans="1:40" s="29" customFormat="1" x14ac:dyDescent="0.3">
      <c r="A636" s="29" t="s">
        <v>3248</v>
      </c>
      <c r="B636" s="29">
        <v>2705</v>
      </c>
      <c r="C636" s="29" t="str">
        <f>IF(Y636&lt;0, "Down", "Up")</f>
        <v>Up</v>
      </c>
      <c r="D636" s="30" t="str">
        <f>IF(AC636&lt;0.05, "Sig", "N")</f>
        <v>Sig</v>
      </c>
      <c r="E636" s="31" t="str">
        <f>IF(AND(H636&gt;2,J636&gt;2,L636&gt;2,N636&gt;2),"Y","N")</f>
        <v>Y</v>
      </c>
      <c r="F636" s="31" t="str">
        <f>IF(AND(P636&gt;2,R636&gt;2,T636&gt;2,V636&gt;2),"Y","N")</f>
        <v>N</v>
      </c>
      <c r="G636" s="31" t="str">
        <f>IF(OR(E636="Y", F636="Y"), "Expressed", "N")</f>
        <v>Expressed</v>
      </c>
      <c r="H636" s="29">
        <v>3.531444399827691</v>
      </c>
      <c r="I636" s="29">
        <v>425</v>
      </c>
      <c r="J636" s="29">
        <v>3.746780290931726</v>
      </c>
      <c r="K636" s="29">
        <v>1010</v>
      </c>
      <c r="L636" s="29">
        <v>3.5351049496736122</v>
      </c>
      <c r="M636" s="29">
        <v>739</v>
      </c>
      <c r="N636" s="29">
        <v>3.2871295861437448</v>
      </c>
      <c r="O636" s="29">
        <v>409</v>
      </c>
      <c r="P636" s="29">
        <v>1.5967191580112119</v>
      </c>
      <c r="Q636" s="29">
        <v>1141</v>
      </c>
      <c r="R636" s="29">
        <v>9.5848108248516812</v>
      </c>
      <c r="S636" s="29">
        <v>525</v>
      </c>
      <c r="T636" s="29">
        <v>7.4648452216067556</v>
      </c>
      <c r="U636" s="29">
        <v>400</v>
      </c>
      <c r="V636" s="29">
        <v>1.472598797170553</v>
      </c>
      <c r="W636" s="29">
        <v>1235</v>
      </c>
      <c r="X636" s="29">
        <v>676.02207352365258</v>
      </c>
      <c r="Y636" s="29">
        <v>0.47318215044078921</v>
      </c>
      <c r="Z636" s="29">
        <v>0.14920599303247489</v>
      </c>
      <c r="AA636" s="29">
        <v>3.171334748851546</v>
      </c>
      <c r="AB636" s="29">
        <v>1.517401742614434E-3</v>
      </c>
      <c r="AC636" s="29">
        <v>3.9596481234978408E-2</v>
      </c>
      <c r="AD636" s="29" t="s">
        <v>3249</v>
      </c>
      <c r="AE636" s="29" t="s">
        <v>3250</v>
      </c>
      <c r="AF636" s="29" t="s">
        <v>3251</v>
      </c>
      <c r="AG636" s="29" t="s">
        <v>3252</v>
      </c>
      <c r="AH636" s="29" t="s">
        <v>43</v>
      </c>
      <c r="AI636" s="29" t="s">
        <v>43</v>
      </c>
      <c r="AJ636" s="29" t="s">
        <v>43</v>
      </c>
      <c r="AK636" s="29" t="s">
        <v>43</v>
      </c>
      <c r="AL636" s="29" t="s">
        <v>43</v>
      </c>
      <c r="AM636" s="29" t="s">
        <v>3253</v>
      </c>
      <c r="AN636" s="29" t="s">
        <v>43</v>
      </c>
    </row>
    <row r="637" spans="1:40" s="29" customFormat="1" x14ac:dyDescent="0.3">
      <c r="A637" s="29" t="s">
        <v>3265</v>
      </c>
      <c r="B637" s="29">
        <v>1692</v>
      </c>
      <c r="C637" s="29" t="str">
        <f>IF(Y637&lt;0, "Down", "Up")</f>
        <v>Up</v>
      </c>
      <c r="D637" s="30" t="str">
        <f>IF(AC637&lt;0.05, "Sig", "N")</f>
        <v>Sig</v>
      </c>
      <c r="E637" s="31" t="str">
        <f>IF(AND(H637&gt;2,J637&gt;2,L637&gt;2,N637&gt;2),"Y","N")</f>
        <v>Y</v>
      </c>
      <c r="F637" s="31" t="str">
        <f>IF(AND(P637&gt;2,R637&gt;2,T637&gt;2,V637&gt;2),"Y","N")</f>
        <v>N</v>
      </c>
      <c r="G637" s="31" t="str">
        <f>IF(OR(E637="Y", F637="Y"), "Expressed", "N")</f>
        <v>Expressed</v>
      </c>
      <c r="H637" s="29">
        <v>2.922490004641161</v>
      </c>
      <c r="I637" s="29">
        <v>220</v>
      </c>
      <c r="J637" s="29">
        <v>3.7066687904386679</v>
      </c>
      <c r="K637" s="29">
        <v>625</v>
      </c>
      <c r="L637" s="29">
        <v>5.1009447298553487</v>
      </c>
      <c r="M637" s="29">
        <v>667</v>
      </c>
      <c r="N637" s="29">
        <v>3.9831083633333288</v>
      </c>
      <c r="O637" s="29">
        <v>310</v>
      </c>
      <c r="P637" s="29">
        <v>1.9347899939746691</v>
      </c>
      <c r="Q637" s="29">
        <v>737</v>
      </c>
      <c r="R637" s="29">
        <v>9.8976547304435876</v>
      </c>
      <c r="S637" s="29">
        <v>396</v>
      </c>
      <c r="T637" s="29">
        <v>9.0016806309588269</v>
      </c>
      <c r="U637" s="29">
        <v>292</v>
      </c>
      <c r="V637" s="29">
        <v>1.7185976447002549</v>
      </c>
      <c r="W637" s="29">
        <v>967</v>
      </c>
      <c r="X637" s="29">
        <v>481.14983319527141</v>
      </c>
      <c r="Y637" s="29">
        <v>0.55420948073062615</v>
      </c>
      <c r="Z637" s="29">
        <v>0.17699990717126959</v>
      </c>
      <c r="AA637" s="29">
        <v>3.1311286519170829</v>
      </c>
      <c r="AB637" s="29">
        <v>1.741358579012212E-3</v>
      </c>
      <c r="AC637" s="29">
        <v>4.2775604708642861E-2</v>
      </c>
      <c r="AD637" s="29" t="s">
        <v>3266</v>
      </c>
      <c r="AE637" s="29" t="s">
        <v>3267</v>
      </c>
      <c r="AF637" s="29" t="s">
        <v>3268</v>
      </c>
      <c r="AG637" s="29" t="s">
        <v>3269</v>
      </c>
      <c r="AH637" s="29" t="s">
        <v>43</v>
      </c>
      <c r="AI637" s="29" t="s">
        <v>43</v>
      </c>
      <c r="AJ637" s="29" t="s">
        <v>43</v>
      </c>
      <c r="AK637" s="29" t="s">
        <v>43</v>
      </c>
      <c r="AL637" s="29" t="s">
        <v>43</v>
      </c>
      <c r="AM637" s="29" t="s">
        <v>3270</v>
      </c>
      <c r="AN637" s="29" t="s">
        <v>43</v>
      </c>
    </row>
    <row r="638" spans="1:40" s="29" customFormat="1" x14ac:dyDescent="0.3">
      <c r="A638" s="29" t="s">
        <v>3275</v>
      </c>
      <c r="B638" s="29">
        <v>2057</v>
      </c>
      <c r="C638" s="29" t="str">
        <f>IF(Y638&lt;0, "Down", "Up")</f>
        <v>Up</v>
      </c>
      <c r="D638" s="30" t="str">
        <f>IF(AC638&lt;0.05, "Sig", "N")</f>
        <v>Sig</v>
      </c>
      <c r="E638" s="31" t="str">
        <f>IF(AND(H638&gt;2,J638&gt;2,L638&gt;2,N638&gt;2),"Y","N")</f>
        <v>Y</v>
      </c>
      <c r="F638" s="31" t="str">
        <f>IF(AND(P638&gt;2,R638&gt;2,T638&gt;2,V638&gt;2),"Y","N")</f>
        <v>N</v>
      </c>
      <c r="G638" s="31" t="str">
        <f>IF(OR(E638="Y", F638="Y"), "Expressed", "N")</f>
        <v>Expressed</v>
      </c>
      <c r="H638" s="29">
        <v>3.6932875407571961</v>
      </c>
      <c r="I638" s="29">
        <v>338</v>
      </c>
      <c r="J638" s="29">
        <v>3.6831277495644379</v>
      </c>
      <c r="K638" s="29">
        <v>755</v>
      </c>
      <c r="L638" s="29">
        <v>4.7305179149503527</v>
      </c>
      <c r="M638" s="29">
        <v>752</v>
      </c>
      <c r="N638" s="29">
        <v>3.9210321626106879</v>
      </c>
      <c r="O638" s="29">
        <v>371</v>
      </c>
      <c r="P638" s="29">
        <v>1.904636555738402</v>
      </c>
      <c r="Q638" s="29">
        <v>1001</v>
      </c>
      <c r="R638" s="29">
        <v>11.05770390262489</v>
      </c>
      <c r="S638" s="29">
        <v>460</v>
      </c>
      <c r="T638" s="29">
        <v>8.601066656707907</v>
      </c>
      <c r="U638" s="29">
        <v>290</v>
      </c>
      <c r="V638" s="29">
        <v>1.403962234370977</v>
      </c>
      <c r="W638" s="29">
        <v>1100</v>
      </c>
      <c r="X638" s="29">
        <v>570.65623270599451</v>
      </c>
      <c r="Y638" s="29">
        <v>0.4399643804935649</v>
      </c>
      <c r="Z638" s="29">
        <v>0.1100632550647266</v>
      </c>
      <c r="AA638" s="29">
        <v>3.997377510185649</v>
      </c>
      <c r="AB638" s="29">
        <v>6.404811421465784E-5</v>
      </c>
      <c r="AC638" s="29">
        <v>4.8475400598361126E-3</v>
      </c>
      <c r="AD638" s="29" t="s">
        <v>3276</v>
      </c>
      <c r="AE638" s="29" t="s">
        <v>3277</v>
      </c>
      <c r="AF638" s="29" t="s">
        <v>43</v>
      </c>
      <c r="AG638" s="29" t="s">
        <v>3278</v>
      </c>
      <c r="AH638" s="29" t="s">
        <v>43</v>
      </c>
      <c r="AI638" s="29" t="s">
        <v>43</v>
      </c>
      <c r="AJ638" s="29" t="s">
        <v>43</v>
      </c>
      <c r="AK638" s="29" t="s">
        <v>43</v>
      </c>
      <c r="AL638" s="29" t="s">
        <v>43</v>
      </c>
      <c r="AM638" s="29" t="s">
        <v>3279</v>
      </c>
      <c r="AN638" s="29" t="s">
        <v>43</v>
      </c>
    </row>
    <row r="639" spans="1:40" s="29" customFormat="1" x14ac:dyDescent="0.3">
      <c r="A639" s="29" t="s">
        <v>3286</v>
      </c>
      <c r="B639" s="29">
        <v>602</v>
      </c>
      <c r="C639" s="29" t="str">
        <f>IF(Y639&lt;0, "Down", "Up")</f>
        <v>Up</v>
      </c>
      <c r="D639" s="30" t="str">
        <f>IF(AC639&lt;0.05, "Sig", "N")</f>
        <v>Sig</v>
      </c>
      <c r="E639" s="31" t="str">
        <f>IF(AND(H639&gt;2,J639&gt;2,L639&gt;2,N639&gt;2),"Y","N")</f>
        <v>Y</v>
      </c>
      <c r="F639" s="31" t="str">
        <f>IF(AND(P639&gt;2,R639&gt;2,T639&gt;2,V639&gt;2),"Y","N")</f>
        <v>N</v>
      </c>
      <c r="G639" s="31" t="str">
        <f>IF(OR(E639="Y", F639="Y"), "Expressed", "N")</f>
        <v>Expressed</v>
      </c>
      <c r="H639" s="29">
        <v>4.2563670493447923</v>
      </c>
      <c r="I639" s="29">
        <v>114</v>
      </c>
      <c r="J639" s="29">
        <v>3.6504949022178539</v>
      </c>
      <c r="K639" s="29">
        <v>219</v>
      </c>
      <c r="L639" s="29">
        <v>4.8362770242518227</v>
      </c>
      <c r="M639" s="29">
        <v>225</v>
      </c>
      <c r="N639" s="29">
        <v>3.4307407476272611</v>
      </c>
      <c r="O639" s="29">
        <v>95</v>
      </c>
      <c r="P639" s="29">
        <v>1.6664781032659319</v>
      </c>
      <c r="Q639" s="29">
        <v>306</v>
      </c>
      <c r="R639" s="29">
        <v>11.55021599642221</v>
      </c>
      <c r="S639" s="29">
        <v>195</v>
      </c>
      <c r="T639" s="29">
        <v>12.458532615937431</v>
      </c>
      <c r="U639" s="29">
        <v>105</v>
      </c>
      <c r="V639" s="29">
        <v>1.7369388428835799</v>
      </c>
      <c r="W639" s="29">
        <v>307</v>
      </c>
      <c r="X639" s="29">
        <v>184.291122329487</v>
      </c>
      <c r="Y639" s="29">
        <v>0.64959747045180627</v>
      </c>
      <c r="Z639" s="29">
        <v>0.2033824447125514</v>
      </c>
      <c r="AA639" s="29">
        <v>3.1939702139479569</v>
      </c>
      <c r="AB639" s="29">
        <v>1.4033059559367251E-3</v>
      </c>
      <c r="AC639" s="29">
        <v>3.8178319229293503E-2</v>
      </c>
      <c r="AD639" s="29" t="s">
        <v>3287</v>
      </c>
      <c r="AE639" s="29" t="s">
        <v>3288</v>
      </c>
      <c r="AF639" s="29" t="s">
        <v>43</v>
      </c>
      <c r="AG639" s="29" t="s">
        <v>3289</v>
      </c>
      <c r="AH639" s="29" t="s">
        <v>43</v>
      </c>
      <c r="AI639" s="29" t="s">
        <v>43</v>
      </c>
      <c r="AJ639" s="29" t="s">
        <v>43</v>
      </c>
      <c r="AK639" s="29" t="s">
        <v>43</v>
      </c>
      <c r="AL639" s="29" t="s">
        <v>43</v>
      </c>
      <c r="AM639" s="29" t="s">
        <v>3290</v>
      </c>
      <c r="AN639" s="29" t="s">
        <v>43</v>
      </c>
    </row>
    <row r="640" spans="1:40" s="29" customFormat="1" x14ac:dyDescent="0.3">
      <c r="A640" s="29" t="s">
        <v>3291</v>
      </c>
      <c r="B640" s="29">
        <v>590</v>
      </c>
      <c r="C640" s="29" t="str">
        <f>IF(Y640&lt;0, "Down", "Up")</f>
        <v>Up</v>
      </c>
      <c r="D640" s="30" t="str">
        <f>IF(AC640&lt;0.05, "Sig", "N")</f>
        <v>Sig</v>
      </c>
      <c r="E640" s="31" t="str">
        <f>IF(AND(H640&gt;2,J640&gt;2,L640&gt;2,N640&gt;2),"Y","N")</f>
        <v>Y</v>
      </c>
      <c r="F640" s="31" t="str">
        <f>IF(AND(P640&gt;2,R640&gt;2,T640&gt;2,V640&gt;2),"Y","N")</f>
        <v>Y</v>
      </c>
      <c r="G640" s="31" t="str">
        <f>IF(OR(E640="Y", F640="Y"), "Expressed", "N")</f>
        <v>Expressed</v>
      </c>
      <c r="H640" s="29">
        <v>3.9619778207757772</v>
      </c>
      <c r="I640" s="29">
        <v>104</v>
      </c>
      <c r="J640" s="29">
        <v>3.639702478623339</v>
      </c>
      <c r="K640" s="29">
        <v>214</v>
      </c>
      <c r="L640" s="29">
        <v>9.2332634394006057</v>
      </c>
      <c r="M640" s="29">
        <v>421</v>
      </c>
      <c r="N640" s="29">
        <v>8.4749395881618295</v>
      </c>
      <c r="O640" s="29">
        <v>230</v>
      </c>
      <c r="P640" s="29">
        <v>4.1166914929206238</v>
      </c>
      <c r="Q640" s="29">
        <v>608</v>
      </c>
      <c r="R640" s="29">
        <v>23.416217226910781</v>
      </c>
      <c r="S640" s="29">
        <v>286</v>
      </c>
      <c r="T640" s="29">
        <v>18.644158866155401</v>
      </c>
      <c r="U640" s="29">
        <v>166</v>
      </c>
      <c r="V640" s="29">
        <v>2.8018688046334459</v>
      </c>
      <c r="W640" s="29">
        <v>601</v>
      </c>
      <c r="X640" s="29">
        <v>301.02677933686277</v>
      </c>
      <c r="Y640" s="29">
        <v>0.83747824280415994</v>
      </c>
      <c r="Z640" s="29">
        <v>0.27281441908255372</v>
      </c>
      <c r="AA640" s="29">
        <v>3.0697726521219502</v>
      </c>
      <c r="AB640" s="29">
        <v>2.1422177239790682E-3</v>
      </c>
      <c r="AC640" s="29">
        <v>4.8280563803920998E-2</v>
      </c>
      <c r="AD640" s="29" t="s">
        <v>3292</v>
      </c>
      <c r="AE640" s="29" t="s">
        <v>3293</v>
      </c>
      <c r="AF640" s="29" t="s">
        <v>3294</v>
      </c>
      <c r="AG640" s="29" t="s">
        <v>3295</v>
      </c>
      <c r="AH640" s="29" t="s">
        <v>43</v>
      </c>
      <c r="AI640" s="29" t="s">
        <v>43</v>
      </c>
      <c r="AJ640" s="29" t="s">
        <v>43</v>
      </c>
      <c r="AK640" s="29" t="s">
        <v>43</v>
      </c>
      <c r="AL640" s="29" t="s">
        <v>43</v>
      </c>
      <c r="AM640" s="29" t="s">
        <v>3296</v>
      </c>
      <c r="AN640" s="29" t="s">
        <v>43</v>
      </c>
    </row>
    <row r="641" spans="1:40" s="29" customFormat="1" x14ac:dyDescent="0.3">
      <c r="A641" s="29" t="s">
        <v>3332</v>
      </c>
      <c r="B641" s="29">
        <v>5994</v>
      </c>
      <c r="C641" s="29" t="str">
        <f>IF(Y641&lt;0, "Down", "Up")</f>
        <v>Up</v>
      </c>
      <c r="D641" s="30" t="str">
        <f>IF(AC641&lt;0.05, "Sig", "N")</f>
        <v>Sig</v>
      </c>
      <c r="E641" s="31" t="str">
        <f>IF(AND(H641&gt;2,J641&gt;2,L641&gt;2,N641&gt;2),"Y","N")</f>
        <v>Y</v>
      </c>
      <c r="F641" s="31" t="str">
        <f>IF(AND(P641&gt;2,R641&gt;2,T641&gt;2,V641&gt;2),"Y","N")</f>
        <v>N</v>
      </c>
      <c r="G641" s="31" t="str">
        <f>IF(OR(E641="Y", F641="Y"), "Expressed", "N")</f>
        <v>Expressed</v>
      </c>
      <c r="H641" s="29">
        <v>3.468611874195318</v>
      </c>
      <c r="I641" s="29">
        <v>925</v>
      </c>
      <c r="J641" s="29">
        <v>3.5290514554378518</v>
      </c>
      <c r="K641" s="29">
        <v>2108</v>
      </c>
      <c r="L641" s="29">
        <v>4.2268914165409939</v>
      </c>
      <c r="M641" s="29">
        <v>1958</v>
      </c>
      <c r="N641" s="29">
        <v>4.0331914269350602</v>
      </c>
      <c r="O641" s="29">
        <v>1112</v>
      </c>
      <c r="P641" s="29">
        <v>1.9591177805888229</v>
      </c>
      <c r="Q641" s="29">
        <v>2913</v>
      </c>
      <c r="R641" s="29">
        <v>11.04304690144496</v>
      </c>
      <c r="S641" s="29">
        <v>1273</v>
      </c>
      <c r="T641" s="29">
        <v>8.1684647349000148</v>
      </c>
      <c r="U641" s="29">
        <v>808</v>
      </c>
      <c r="V641" s="29">
        <v>1.3424135948648011</v>
      </c>
      <c r="W641" s="29">
        <v>2630</v>
      </c>
      <c r="X641" s="29">
        <v>1565.4354774382759</v>
      </c>
      <c r="Y641" s="29">
        <v>0.40399057128766142</v>
      </c>
      <c r="Z641" s="29">
        <v>0.11995795581028861</v>
      </c>
      <c r="AA641" s="29">
        <v>3.3677680530548999</v>
      </c>
      <c r="AB641" s="29">
        <v>7.577932042694825E-4</v>
      </c>
      <c r="AC641" s="29">
        <v>2.5629407631591699E-2</v>
      </c>
      <c r="AD641" s="29" t="s">
        <v>3333</v>
      </c>
      <c r="AE641" s="29" t="s">
        <v>3334</v>
      </c>
      <c r="AF641" s="29" t="s">
        <v>43</v>
      </c>
      <c r="AG641" s="29" t="s">
        <v>3335</v>
      </c>
      <c r="AH641" s="29" t="s">
        <v>43</v>
      </c>
      <c r="AI641" s="29" t="s">
        <v>43</v>
      </c>
      <c r="AJ641" s="29" t="s">
        <v>43</v>
      </c>
      <c r="AK641" s="29" t="s">
        <v>43</v>
      </c>
      <c r="AL641" s="29" t="s">
        <v>43</v>
      </c>
      <c r="AM641" s="29" t="s">
        <v>3336</v>
      </c>
      <c r="AN641" s="29" t="s">
        <v>43</v>
      </c>
    </row>
    <row r="642" spans="1:40" s="29" customFormat="1" x14ac:dyDescent="0.3">
      <c r="A642" s="29" t="s">
        <v>3342</v>
      </c>
      <c r="B642" s="29">
        <v>5233</v>
      </c>
      <c r="C642" s="29" t="str">
        <f>IF(Y642&lt;0, "Down", "Up")</f>
        <v>Up</v>
      </c>
      <c r="D642" s="30" t="str">
        <f>IF(AC642&lt;0.05, "Sig", "N")</f>
        <v>Sig</v>
      </c>
      <c r="E642" s="31" t="str">
        <f>IF(AND(H642&gt;2,J642&gt;2,L642&gt;2,N642&gt;2),"Y","N")</f>
        <v>Y</v>
      </c>
      <c r="F642" s="31" t="str">
        <f>IF(AND(P642&gt;2,R642&gt;2,T642&gt;2,V642&gt;2),"Y","N")</f>
        <v>N</v>
      </c>
      <c r="G642" s="31" t="str">
        <f>IF(OR(E642="Y", F642="Y"), "Expressed", "N")</f>
        <v>Expressed</v>
      </c>
      <c r="H642" s="29">
        <v>3.603644477102077</v>
      </c>
      <c r="I642" s="29">
        <v>839</v>
      </c>
      <c r="J642" s="29">
        <v>3.50725298448133</v>
      </c>
      <c r="K642" s="29">
        <v>1829</v>
      </c>
      <c r="L642" s="29">
        <v>4.4657268327841457</v>
      </c>
      <c r="M642" s="29">
        <v>1806</v>
      </c>
      <c r="N642" s="29">
        <v>3.6600410841986371</v>
      </c>
      <c r="O642" s="29">
        <v>881</v>
      </c>
      <c r="P642" s="29">
        <v>1.777860460044709</v>
      </c>
      <c r="Q642" s="29">
        <v>2885</v>
      </c>
      <c r="R642" s="29">
        <v>12.5273800604923</v>
      </c>
      <c r="S642" s="29">
        <v>854</v>
      </c>
      <c r="T642" s="29">
        <v>6.2767655814572798</v>
      </c>
      <c r="U642" s="29">
        <v>1183</v>
      </c>
      <c r="V642" s="29">
        <v>2.2512603859773201</v>
      </c>
      <c r="W642" s="29">
        <v>2668</v>
      </c>
      <c r="X642" s="29">
        <v>1509.6767925228839</v>
      </c>
      <c r="Y642" s="29">
        <v>0.6578212782859808</v>
      </c>
      <c r="Z642" s="29">
        <v>0.21476052594029449</v>
      </c>
      <c r="AA642" s="29">
        <v>3.0630455732300699</v>
      </c>
      <c r="AB642" s="29">
        <v>2.1909669028621452E-3</v>
      </c>
      <c r="AC642" s="29">
        <v>4.8791690839631682E-2</v>
      </c>
      <c r="AD642" s="29" t="s">
        <v>3343</v>
      </c>
      <c r="AE642" s="29" t="s">
        <v>3344</v>
      </c>
      <c r="AF642" s="29" t="s">
        <v>3345</v>
      </c>
      <c r="AG642" s="29" t="s">
        <v>3346</v>
      </c>
      <c r="AH642" s="29" t="s">
        <v>43</v>
      </c>
      <c r="AI642" s="29" t="s">
        <v>43</v>
      </c>
      <c r="AJ642" s="29" t="s">
        <v>43</v>
      </c>
      <c r="AK642" s="29" t="s">
        <v>43</v>
      </c>
      <c r="AL642" s="29" t="s">
        <v>43</v>
      </c>
      <c r="AM642" s="29" t="s">
        <v>3347</v>
      </c>
      <c r="AN642" s="29" t="s">
        <v>43</v>
      </c>
    </row>
    <row r="643" spans="1:40" s="29" customFormat="1" x14ac:dyDescent="0.3">
      <c r="A643" s="29" t="s">
        <v>3383</v>
      </c>
      <c r="B643" s="29">
        <v>932</v>
      </c>
      <c r="C643" s="29" t="str">
        <f>IF(Y643&lt;0, "Down", "Up")</f>
        <v>Up</v>
      </c>
      <c r="D643" s="30" t="str">
        <f>IF(AC643&lt;0.05, "Sig", "N")</f>
        <v>Sig</v>
      </c>
      <c r="E643" s="31" t="str">
        <f>IF(AND(H643&gt;2,J643&gt;2,L643&gt;2,N643&gt;2),"Y","N")</f>
        <v>Y</v>
      </c>
      <c r="F643" s="31" t="str">
        <f>IF(AND(P643&gt;2,R643&gt;2,T643&gt;2,V643&gt;2),"Y","N")</f>
        <v>Y</v>
      </c>
      <c r="G643" s="31" t="str">
        <f>IF(OR(E643="Y", F643="Y"), "Expressed", "N")</f>
        <v>Expressed</v>
      </c>
      <c r="H643" s="29">
        <v>4.0274603280892753</v>
      </c>
      <c r="I643" s="29">
        <v>167</v>
      </c>
      <c r="J643" s="29">
        <v>3.3377200239671931</v>
      </c>
      <c r="K643" s="29">
        <v>310</v>
      </c>
      <c r="L643" s="29">
        <v>7.691640809748101</v>
      </c>
      <c r="M643" s="29">
        <v>554</v>
      </c>
      <c r="N643" s="29">
        <v>6.5080229782017103</v>
      </c>
      <c r="O643" s="29">
        <v>279</v>
      </c>
      <c r="P643" s="29">
        <v>3.1612641661208429</v>
      </c>
      <c r="Q643" s="29">
        <v>857</v>
      </c>
      <c r="R643" s="29">
        <v>20.894408453175998</v>
      </c>
      <c r="S643" s="29">
        <v>332</v>
      </c>
      <c r="T643" s="29">
        <v>13.70095830720655</v>
      </c>
      <c r="U643" s="29">
        <v>214</v>
      </c>
      <c r="V643" s="29">
        <v>2.2865967428061098</v>
      </c>
      <c r="W643" s="29">
        <v>865</v>
      </c>
      <c r="X643" s="29">
        <v>400.10398893880239</v>
      </c>
      <c r="Y643" s="29">
        <v>0.80909186584152826</v>
      </c>
      <c r="Z643" s="29">
        <v>0.22350110827347211</v>
      </c>
      <c r="AA643" s="29">
        <v>3.6200798827875942</v>
      </c>
      <c r="AB643" s="29">
        <v>2.9451207765212131E-4</v>
      </c>
      <c r="AC643" s="29">
        <v>1.354640961060594E-2</v>
      </c>
      <c r="AD643" s="29" t="s">
        <v>3384</v>
      </c>
      <c r="AE643" s="29" t="s">
        <v>3385</v>
      </c>
      <c r="AF643" s="29" t="s">
        <v>2115</v>
      </c>
      <c r="AG643" s="29" t="s">
        <v>2116</v>
      </c>
      <c r="AH643" s="29" t="s">
        <v>43</v>
      </c>
      <c r="AI643" s="29" t="s">
        <v>43</v>
      </c>
      <c r="AJ643" s="29" t="s">
        <v>43</v>
      </c>
      <c r="AK643" s="29" t="s">
        <v>43</v>
      </c>
      <c r="AL643" s="29" t="s">
        <v>43</v>
      </c>
      <c r="AM643" s="29" t="s">
        <v>2117</v>
      </c>
      <c r="AN643" s="29" t="s">
        <v>43</v>
      </c>
    </row>
    <row r="644" spans="1:40" s="29" customFormat="1" x14ac:dyDescent="0.3">
      <c r="A644" s="29" t="s">
        <v>3386</v>
      </c>
      <c r="B644" s="29">
        <v>1064</v>
      </c>
      <c r="C644" s="29" t="str">
        <f>IF(Y644&lt;0, "Down", "Up")</f>
        <v>Up</v>
      </c>
      <c r="D644" s="30" t="str">
        <f>IF(AC644&lt;0.05, "Sig", "N")</f>
        <v>Sig</v>
      </c>
      <c r="E644" s="31" t="str">
        <f>IF(AND(H644&gt;2,J644&gt;2,L644&gt;2,N644&gt;2),"Y","N")</f>
        <v>Y</v>
      </c>
      <c r="F644" s="31" t="str">
        <f>IF(AND(P644&gt;2,R644&gt;2,T644&gt;2,V644&gt;2),"Y","N")</f>
        <v>N</v>
      </c>
      <c r="G644" s="31" t="str">
        <f>IF(OR(E644="Y", F644="Y"), "Expressed", "N")</f>
        <v>Expressed</v>
      </c>
      <c r="H644" s="29">
        <v>2.9363233903432389</v>
      </c>
      <c r="I644" s="29">
        <v>139</v>
      </c>
      <c r="J644" s="29">
        <v>3.3291794112451818</v>
      </c>
      <c r="K644" s="29">
        <v>353</v>
      </c>
      <c r="L644" s="29">
        <v>3.5876125176979161</v>
      </c>
      <c r="M644" s="29">
        <v>295</v>
      </c>
      <c r="N644" s="29">
        <v>2.8401021396908779</v>
      </c>
      <c r="O644" s="29">
        <v>139</v>
      </c>
      <c r="P644" s="29">
        <v>1.3795761250997891</v>
      </c>
      <c r="Q644" s="29">
        <v>381</v>
      </c>
      <c r="R644" s="29">
        <v>8.1367040191514057</v>
      </c>
      <c r="S644" s="29">
        <v>251</v>
      </c>
      <c r="T644" s="29">
        <v>9.0732079975582085</v>
      </c>
      <c r="U644" s="29">
        <v>252</v>
      </c>
      <c r="V644" s="29">
        <v>2.3585801129682298</v>
      </c>
      <c r="W644" s="29">
        <v>442</v>
      </c>
      <c r="X644" s="29">
        <v>281.18728872701712</v>
      </c>
      <c r="Y644" s="29">
        <v>0.85461186884617535</v>
      </c>
      <c r="Z644" s="29">
        <v>0.27231888628702672</v>
      </c>
      <c r="AA644" s="29">
        <v>3.1382761603446281</v>
      </c>
      <c r="AB644" s="29">
        <v>1.699446798258516E-3</v>
      </c>
      <c r="AC644" s="29">
        <v>4.2204118912214122E-2</v>
      </c>
    </row>
    <row r="645" spans="1:40" s="29" customFormat="1" x14ac:dyDescent="0.3">
      <c r="A645" s="29" t="s">
        <v>256</v>
      </c>
      <c r="B645" s="29">
        <v>3058</v>
      </c>
      <c r="C645" s="29" t="str">
        <f>IF(Y645&lt;0, "Down", "Up")</f>
        <v>Up</v>
      </c>
      <c r="D645" s="30" t="str">
        <f>IF(AC645&lt;0.05, "Sig", "N")</f>
        <v>Sig</v>
      </c>
      <c r="E645" s="31" t="str">
        <f>IF(AND(H645&gt;2,J645&gt;2,L645&gt;2,N645&gt;2),"Y","N")</f>
        <v>Y</v>
      </c>
      <c r="F645" s="31" t="str">
        <f>IF(AND(P645&gt;2,R645&gt;2,T645&gt;2,V645&gt;2),"Y","N")</f>
        <v>N</v>
      </c>
      <c r="G645" s="31" t="str">
        <f>IF(OR(E645="Y", F645="Y"), "Expressed", "N")</f>
        <v>Expressed</v>
      </c>
      <c r="H645" s="29">
        <v>4.0719552450658121</v>
      </c>
      <c r="I645" s="29">
        <v>554</v>
      </c>
      <c r="J645" s="29">
        <v>3.1469167121475028</v>
      </c>
      <c r="K645" s="29">
        <v>959</v>
      </c>
      <c r="L645" s="29">
        <v>4.7899842831985238</v>
      </c>
      <c r="M645" s="29">
        <v>1132</v>
      </c>
      <c r="N645" s="29">
        <v>3.3484530414227689</v>
      </c>
      <c r="O645" s="29">
        <v>471</v>
      </c>
      <c r="P645" s="29">
        <v>1.6265069510730401</v>
      </c>
      <c r="Q645" s="29">
        <v>1953</v>
      </c>
      <c r="R645" s="29">
        <v>14.51208899008021</v>
      </c>
      <c r="S645" s="29">
        <v>1453</v>
      </c>
      <c r="T645" s="29">
        <v>18.274979843296549</v>
      </c>
      <c r="U645" s="29">
        <v>1494</v>
      </c>
      <c r="V645" s="29">
        <v>4.8652463546774349</v>
      </c>
      <c r="W645" s="29">
        <v>1710</v>
      </c>
      <c r="X645" s="29">
        <v>1322.2586314169421</v>
      </c>
      <c r="Y645" s="29">
        <v>1.512366403808389</v>
      </c>
      <c r="Z645" s="29">
        <v>0.3144659070885637</v>
      </c>
      <c r="AA645" s="29">
        <v>4.809317543546805</v>
      </c>
      <c r="AB645" s="29">
        <v>1.5144645981230679E-6</v>
      </c>
      <c r="AC645" s="29">
        <v>3.0602540195577419E-4</v>
      </c>
    </row>
    <row r="646" spans="1:40" s="29" customFormat="1" x14ac:dyDescent="0.3">
      <c r="A646" s="29" t="s">
        <v>3428</v>
      </c>
      <c r="B646" s="29">
        <v>941</v>
      </c>
      <c r="C646" s="29" t="str">
        <f>IF(Y646&lt;0, "Down", "Up")</f>
        <v>Up</v>
      </c>
      <c r="D646" s="30" t="str">
        <f>IF(AC646&lt;0.05, "Sig", "N")</f>
        <v>Sig</v>
      </c>
      <c r="E646" s="31" t="str">
        <f>IF(AND(H646&gt;2,J646&gt;2,L646&gt;2,N646&gt;2),"Y","N")</f>
        <v>Y</v>
      </c>
      <c r="F646" s="31" t="str">
        <f>IF(AND(P646&gt;2,R646&gt;2,T646&gt;2,V646&gt;2),"Y","N")</f>
        <v>N</v>
      </c>
      <c r="G646" s="31" t="str">
        <f>IF(OR(E646="Y", F646="Y"), "Expressed", "N")</f>
        <v>Expressed</v>
      </c>
      <c r="H646" s="29">
        <v>3.1051632761127901</v>
      </c>
      <c r="I646" s="29">
        <v>130</v>
      </c>
      <c r="J646" s="29">
        <v>3.1458391669450489</v>
      </c>
      <c r="K646" s="29">
        <v>295</v>
      </c>
      <c r="L646" s="29">
        <v>4.1940669473273218</v>
      </c>
      <c r="M646" s="29">
        <v>305</v>
      </c>
      <c r="N646" s="29">
        <v>3.2806470392098972</v>
      </c>
      <c r="O646" s="29">
        <v>142</v>
      </c>
      <c r="P646" s="29">
        <v>1.593570268802337</v>
      </c>
      <c r="Q646" s="29">
        <v>429</v>
      </c>
      <c r="R646" s="29">
        <v>10.35935794490636</v>
      </c>
      <c r="S646" s="29">
        <v>197</v>
      </c>
      <c r="T646" s="29">
        <v>8.0520298485216664</v>
      </c>
      <c r="U646" s="29">
        <v>134</v>
      </c>
      <c r="V646" s="29">
        <v>1.418100122238072</v>
      </c>
      <c r="W646" s="29">
        <v>424</v>
      </c>
      <c r="X646" s="29">
        <v>234.72595129978899</v>
      </c>
      <c r="Y646" s="29">
        <v>0.55340344412024467</v>
      </c>
      <c r="Z646" s="29">
        <v>0.1517378395268128</v>
      </c>
      <c r="AA646" s="29">
        <v>3.6471024356614459</v>
      </c>
      <c r="AB646" s="29">
        <v>2.6521421335218791E-4</v>
      </c>
      <c r="AC646" s="29">
        <v>1.2716349677261001E-2</v>
      </c>
      <c r="AD646" s="29" t="s">
        <v>3429</v>
      </c>
      <c r="AE646" s="29" t="s">
        <v>3430</v>
      </c>
      <c r="AF646" s="29" t="s">
        <v>43</v>
      </c>
      <c r="AG646" s="29" t="s">
        <v>43</v>
      </c>
      <c r="AH646" s="29" t="s">
        <v>43</v>
      </c>
      <c r="AI646" s="29" t="s">
        <v>43</v>
      </c>
      <c r="AJ646" s="29" t="s">
        <v>43</v>
      </c>
      <c r="AK646" s="29" t="s">
        <v>43</v>
      </c>
      <c r="AL646" s="29" t="s">
        <v>43</v>
      </c>
      <c r="AM646" s="29" t="s">
        <v>43</v>
      </c>
      <c r="AN646" s="29" t="s">
        <v>43</v>
      </c>
    </row>
    <row r="647" spans="1:40" s="29" customFormat="1" x14ac:dyDescent="0.3">
      <c r="A647" s="29" t="s">
        <v>263</v>
      </c>
      <c r="B647" s="29">
        <v>4683</v>
      </c>
      <c r="C647" s="29" t="str">
        <f>IF(Y647&lt;0, "Down", "Up")</f>
        <v>Up</v>
      </c>
      <c r="D647" s="30" t="str">
        <f>IF(AC647&lt;0.05, "Sig", "N")</f>
        <v>Sig</v>
      </c>
      <c r="E647" s="31" t="str">
        <f>IF(AND(H647&gt;2,J647&gt;2,L647&gt;2,N647&gt;2),"Y","N")</f>
        <v>Y</v>
      </c>
      <c r="F647" s="31" t="str">
        <f>IF(AND(P647&gt;2,R647&gt;2,T647&gt;2,V647&gt;2),"Y","N")</f>
        <v>N</v>
      </c>
      <c r="G647" s="31" t="str">
        <f>IF(OR(E647="Y", F647="Y"), "Expressed", "N")</f>
        <v>Expressed</v>
      </c>
      <c r="H647" s="29">
        <v>2.8413730786489659</v>
      </c>
      <c r="I647" s="29">
        <v>592</v>
      </c>
      <c r="J647" s="29">
        <v>2.9270535258987009</v>
      </c>
      <c r="K647" s="29">
        <v>1366</v>
      </c>
      <c r="L647" s="29">
        <v>4.24140129527642</v>
      </c>
      <c r="M647" s="29">
        <v>1535</v>
      </c>
      <c r="N647" s="29">
        <v>2.516146451552228</v>
      </c>
      <c r="O647" s="29">
        <v>542</v>
      </c>
      <c r="P647" s="29">
        <v>1.222215047587627</v>
      </c>
      <c r="Q647" s="29">
        <v>2974</v>
      </c>
      <c r="R647" s="29">
        <v>14.430519867273031</v>
      </c>
      <c r="S647" s="29">
        <v>469</v>
      </c>
      <c r="T647" s="29">
        <v>3.8519217701983082</v>
      </c>
      <c r="U647" s="29">
        <v>887</v>
      </c>
      <c r="V647" s="29">
        <v>1.8862149450187951</v>
      </c>
      <c r="W647" s="29">
        <v>3274</v>
      </c>
      <c r="X647" s="29">
        <v>1247.0970721939791</v>
      </c>
      <c r="Y647" s="29">
        <v>0.94355317994413701</v>
      </c>
      <c r="Z647" s="29">
        <v>0.28356385556560332</v>
      </c>
      <c r="AA647" s="29">
        <v>3.3274804296270521</v>
      </c>
      <c r="AB647" s="29">
        <v>8.7635144377234259E-4</v>
      </c>
      <c r="AC647" s="29">
        <v>2.8420714449472879E-2</v>
      </c>
      <c r="AD647" s="29" t="s">
        <v>264</v>
      </c>
      <c r="AE647" s="29" t="s">
        <v>265</v>
      </c>
      <c r="AF647" s="29" t="s">
        <v>43</v>
      </c>
      <c r="AG647" s="29" t="s">
        <v>266</v>
      </c>
      <c r="AH647" s="29" t="s">
        <v>43</v>
      </c>
      <c r="AI647" s="29" t="s">
        <v>43</v>
      </c>
      <c r="AJ647" s="29" t="s">
        <v>43</v>
      </c>
      <c r="AK647" s="29" t="s">
        <v>43</v>
      </c>
      <c r="AL647" s="29" t="s">
        <v>43</v>
      </c>
      <c r="AM647" s="29" t="s">
        <v>267</v>
      </c>
      <c r="AN647" s="29" t="s">
        <v>43</v>
      </c>
    </row>
    <row r="648" spans="1:40" s="29" customFormat="1" x14ac:dyDescent="0.3">
      <c r="A648" s="29" t="s">
        <v>3482</v>
      </c>
      <c r="B648" s="29">
        <v>641</v>
      </c>
      <c r="C648" s="29" t="str">
        <f>IF(Y648&lt;0, "Down", "Up")</f>
        <v>Up</v>
      </c>
      <c r="D648" s="30" t="str">
        <f>IF(AC648&lt;0.05, "Sig", "N")</f>
        <v>Sig</v>
      </c>
      <c r="E648" s="31" t="str">
        <f>IF(AND(H648&gt;2,J648&gt;2,L648&gt;2,N648&gt;2),"Y","N")</f>
        <v>Y</v>
      </c>
      <c r="F648" s="31" t="str">
        <f>IF(AND(P648&gt;2,R648&gt;2,T648&gt;2,V648&gt;2),"Y","N")</f>
        <v>N</v>
      </c>
      <c r="G648" s="31" t="str">
        <f>IF(OR(E648="Y", F648="Y"), "Expressed", "N")</f>
        <v>Expressed</v>
      </c>
      <c r="H648" s="29">
        <v>2.1389592849171999</v>
      </c>
      <c r="I648" s="29">
        <v>61</v>
      </c>
      <c r="J648" s="29">
        <v>2.8804737127979769</v>
      </c>
      <c r="K648" s="29">
        <v>184</v>
      </c>
      <c r="L648" s="29">
        <v>4.1584772843232241</v>
      </c>
      <c r="M648" s="29">
        <v>206</v>
      </c>
      <c r="N648" s="29">
        <v>3.6629122333152799</v>
      </c>
      <c r="O648" s="29">
        <v>108</v>
      </c>
      <c r="P648" s="29">
        <v>1.77925511720072</v>
      </c>
      <c r="Q648" s="29">
        <v>504</v>
      </c>
      <c r="R648" s="29">
        <v>17.86642569842093</v>
      </c>
      <c r="S648" s="29">
        <v>166</v>
      </c>
      <c r="T648" s="29">
        <v>9.9604470688896285</v>
      </c>
      <c r="U648" s="29">
        <v>132</v>
      </c>
      <c r="V648" s="29">
        <v>2.0507259224559959</v>
      </c>
      <c r="W648" s="29">
        <v>302</v>
      </c>
      <c r="X648" s="29">
        <v>190.89123157606511</v>
      </c>
      <c r="Y648" s="29">
        <v>1.111771333527793</v>
      </c>
      <c r="Z648" s="29">
        <v>0.25183197960605141</v>
      </c>
      <c r="AA648" s="29">
        <v>4.4147345196863839</v>
      </c>
      <c r="AB648" s="29">
        <v>1.011340252323696E-5</v>
      </c>
      <c r="AC648" s="29">
        <v>1.2718141619913199E-3</v>
      </c>
    </row>
    <row r="649" spans="1:40" s="29" customFormat="1" x14ac:dyDescent="0.3">
      <c r="A649" s="29" t="s">
        <v>3511</v>
      </c>
      <c r="B649" s="29">
        <v>1323</v>
      </c>
      <c r="C649" s="29" t="str">
        <f>IF(Y649&lt;0, "Down", "Up")</f>
        <v>Up</v>
      </c>
      <c r="D649" s="30" t="str">
        <f>IF(AC649&lt;0.05, "Sig", "N")</f>
        <v>Sig</v>
      </c>
      <c r="E649" s="31" t="str">
        <f>IF(AND(H649&gt;2,J649&gt;2,L649&gt;2,N649&gt;2),"Y","N")</f>
        <v>Y</v>
      </c>
      <c r="F649" s="31" t="str">
        <f>IF(AND(P649&gt;2,R649&gt;2,T649&gt;2,V649&gt;2),"Y","N")</f>
        <v>N</v>
      </c>
      <c r="G649" s="31" t="str">
        <f>IF(OR(E649="Y", F649="Y"), "Expressed", "N")</f>
        <v>Expressed</v>
      </c>
      <c r="H649" s="29">
        <v>2.7012699820263939</v>
      </c>
      <c r="I649" s="29">
        <v>159</v>
      </c>
      <c r="J649" s="29">
        <v>2.76845292408056</v>
      </c>
      <c r="K649" s="29">
        <v>365</v>
      </c>
      <c r="L649" s="29">
        <v>3.3351830690936848</v>
      </c>
      <c r="M649" s="29">
        <v>341</v>
      </c>
      <c r="N649" s="29">
        <v>3.4179387632167328</v>
      </c>
      <c r="O649" s="29">
        <v>208</v>
      </c>
      <c r="P649" s="29">
        <v>1.660259555066611</v>
      </c>
      <c r="Q649" s="29">
        <v>507</v>
      </c>
      <c r="R649" s="29">
        <v>8.7078970480340505</v>
      </c>
      <c r="S649" s="29">
        <v>262</v>
      </c>
      <c r="T649" s="29">
        <v>7.6167591073749046</v>
      </c>
      <c r="U649" s="29">
        <v>137</v>
      </c>
      <c r="V649" s="29">
        <v>1.031222647863661</v>
      </c>
      <c r="W649" s="29">
        <v>603</v>
      </c>
      <c r="X649" s="29">
        <v>291.59536838160858</v>
      </c>
      <c r="Y649" s="29">
        <v>0.53746958988522586</v>
      </c>
      <c r="Z649" s="29">
        <v>0.15854332927672621</v>
      </c>
      <c r="AA649" s="29">
        <v>3.3900485901056778</v>
      </c>
      <c r="AB649" s="29">
        <v>6.9880236433953521E-4</v>
      </c>
      <c r="AC649" s="29">
        <v>2.4475682218837471E-2</v>
      </c>
    </row>
    <row r="650" spans="1:40" s="29" customFormat="1" x14ac:dyDescent="0.3">
      <c r="A650" s="29" t="s">
        <v>3524</v>
      </c>
      <c r="B650" s="29">
        <v>2021</v>
      </c>
      <c r="C650" s="29" t="str">
        <f>IF(Y650&lt;0, "Down", "Up")</f>
        <v>Up</v>
      </c>
      <c r="D650" s="30" t="str">
        <f>IF(AC650&lt;0.05, "Sig", "N")</f>
        <v>Sig</v>
      </c>
      <c r="E650" s="31" t="str">
        <f>IF(AND(H650&gt;2,J650&gt;2,L650&gt;2,N650&gt;2),"Y","N")</f>
        <v>Y</v>
      </c>
      <c r="F650" s="31" t="str">
        <f>IF(AND(P650&gt;2,R650&gt;2,T650&gt;2,V650&gt;2),"Y","N")</f>
        <v>N</v>
      </c>
      <c r="G650" s="31" t="str">
        <f>IF(OR(E650="Y", F650="Y"), "Expressed", "N")</f>
        <v>Expressed</v>
      </c>
      <c r="H650" s="29">
        <v>2.480100397173282</v>
      </c>
      <c r="I650" s="29">
        <v>223</v>
      </c>
      <c r="J650" s="29">
        <v>2.730866680955744</v>
      </c>
      <c r="K650" s="29">
        <v>550</v>
      </c>
      <c r="L650" s="29">
        <v>4.4498321934723624</v>
      </c>
      <c r="M650" s="29">
        <v>695</v>
      </c>
      <c r="N650" s="29">
        <v>3.08728249136984</v>
      </c>
      <c r="O650" s="29">
        <v>287</v>
      </c>
      <c r="P650" s="29">
        <v>1.499643677250283</v>
      </c>
      <c r="Q650" s="29">
        <v>1021</v>
      </c>
      <c r="R650" s="29">
        <v>11.479543001867549</v>
      </c>
      <c r="S650" s="29">
        <v>356</v>
      </c>
      <c r="T650" s="29">
        <v>6.7750492698125626</v>
      </c>
      <c r="U650" s="29">
        <v>202</v>
      </c>
      <c r="V650" s="29">
        <v>0.99535218797867586</v>
      </c>
      <c r="W650" s="29">
        <v>921</v>
      </c>
      <c r="X650" s="29">
        <v>459.58289442319767</v>
      </c>
      <c r="Y650" s="29">
        <v>0.54571601642512302</v>
      </c>
      <c r="Z650" s="29">
        <v>0.17388979882436301</v>
      </c>
      <c r="AA650" s="29">
        <v>3.1382865476560942</v>
      </c>
      <c r="AB650" s="29">
        <v>1.6993865698581509E-3</v>
      </c>
      <c r="AC650" s="29">
        <v>4.2204118912214122E-2</v>
      </c>
      <c r="AD650" s="29" t="s">
        <v>3525</v>
      </c>
      <c r="AE650" s="29" t="s">
        <v>3526</v>
      </c>
      <c r="AF650" s="29" t="s">
        <v>3527</v>
      </c>
      <c r="AG650" s="29" t="s">
        <v>3528</v>
      </c>
      <c r="AH650" s="29" t="s">
        <v>43</v>
      </c>
      <c r="AI650" s="29" t="s">
        <v>43</v>
      </c>
      <c r="AJ650" s="29" t="s">
        <v>43</v>
      </c>
      <c r="AK650" s="29" t="s">
        <v>43</v>
      </c>
      <c r="AL650" s="29" t="s">
        <v>43</v>
      </c>
      <c r="AM650" s="29" t="s">
        <v>3529</v>
      </c>
      <c r="AN650" s="29" t="s">
        <v>43</v>
      </c>
    </row>
    <row r="651" spans="1:40" s="29" customFormat="1" x14ac:dyDescent="0.3">
      <c r="A651" s="29" t="s">
        <v>3577</v>
      </c>
      <c r="B651" s="29">
        <v>2653</v>
      </c>
      <c r="C651" s="29" t="str">
        <f>IF(Y651&lt;0, "Down", "Up")</f>
        <v>Up</v>
      </c>
      <c r="D651" s="30" t="str">
        <f>IF(AC651&lt;0.05, "Sig", "N")</f>
        <v>Sig</v>
      </c>
      <c r="E651" s="31" t="str">
        <f>IF(AND(H651&gt;2,J651&gt;2,L651&gt;2,N651&gt;2),"Y","N")</f>
        <v>Y</v>
      </c>
      <c r="F651" s="31" t="str">
        <f>IF(AND(P651&gt;2,R651&gt;2,T651&gt;2,V651&gt;2),"Y","N")</f>
        <v>N</v>
      </c>
      <c r="G651" s="31" t="str">
        <f>IF(OR(E651="Y", F651="Y"), "Expressed", "N")</f>
        <v>Expressed</v>
      </c>
      <c r="H651" s="29">
        <v>2.829696966286622</v>
      </c>
      <c r="I651" s="29">
        <v>334</v>
      </c>
      <c r="J651" s="29">
        <v>2.5720285524475619</v>
      </c>
      <c r="K651" s="29">
        <v>680</v>
      </c>
      <c r="L651" s="29">
        <v>4.1652949841002744</v>
      </c>
      <c r="M651" s="29">
        <v>854</v>
      </c>
      <c r="N651" s="29">
        <v>3.884202633975216</v>
      </c>
      <c r="O651" s="29">
        <v>474</v>
      </c>
      <c r="P651" s="29">
        <v>1.8867466574512559</v>
      </c>
      <c r="Q651" s="29">
        <v>1367</v>
      </c>
      <c r="R651" s="29">
        <v>11.708369918873091</v>
      </c>
      <c r="S651" s="29">
        <v>480</v>
      </c>
      <c r="T651" s="29">
        <v>6.9587744589120764</v>
      </c>
      <c r="U651" s="29">
        <v>361</v>
      </c>
      <c r="V651" s="29">
        <v>1.3550698157096031</v>
      </c>
      <c r="W651" s="29">
        <v>1130</v>
      </c>
      <c r="X651" s="29">
        <v>645.0564839310324</v>
      </c>
      <c r="Y651" s="29">
        <v>0.55783550211504929</v>
      </c>
      <c r="Z651" s="29">
        <v>0.17229104501628081</v>
      </c>
      <c r="AA651" s="29">
        <v>3.2377509931658728</v>
      </c>
      <c r="AB651" s="29">
        <v>1.2047591247398191E-3</v>
      </c>
      <c r="AC651" s="29">
        <v>3.4566644693081072E-2</v>
      </c>
      <c r="AD651" s="29" t="s">
        <v>3578</v>
      </c>
      <c r="AE651" s="29" t="s">
        <v>3579</v>
      </c>
      <c r="AF651" s="29" t="s">
        <v>3580</v>
      </c>
      <c r="AG651" s="29" t="s">
        <v>3581</v>
      </c>
      <c r="AH651" s="29" t="s">
        <v>43</v>
      </c>
      <c r="AI651" s="29" t="s">
        <v>43</v>
      </c>
      <c r="AJ651" s="29" t="s">
        <v>43</v>
      </c>
      <c r="AK651" s="29" t="s">
        <v>43</v>
      </c>
      <c r="AL651" s="29" t="s">
        <v>43</v>
      </c>
      <c r="AM651" s="29" t="s">
        <v>3582</v>
      </c>
      <c r="AN651" s="29" t="s">
        <v>43</v>
      </c>
    </row>
    <row r="652" spans="1:40" s="29" customFormat="1" x14ac:dyDescent="0.3">
      <c r="A652" s="29" t="s">
        <v>3589</v>
      </c>
      <c r="B652" s="29">
        <v>3711</v>
      </c>
      <c r="C652" s="29" t="str">
        <f>IF(Y652&lt;0, "Down", "Up")</f>
        <v>Up</v>
      </c>
      <c r="D652" s="30" t="str">
        <f>IF(AC652&lt;0.05, "Sig", "N")</f>
        <v>Sig</v>
      </c>
      <c r="E652" s="31" t="str">
        <f>IF(AND(H652&gt;2,J652&gt;2,L652&gt;2,N652&gt;2),"Y","N")</f>
        <v>Y</v>
      </c>
      <c r="F652" s="31" t="str">
        <f>IF(AND(P652&gt;2,R652&gt;2,T652&gt;2,V652&gt;2),"Y","N")</f>
        <v>N</v>
      </c>
      <c r="G652" s="31" t="str">
        <f>IF(OR(E652="Y", F652="Y"), "Expressed", "N")</f>
        <v>Expressed</v>
      </c>
      <c r="H652" s="29">
        <v>2.6770841782795101</v>
      </c>
      <c r="I652" s="29">
        <v>442</v>
      </c>
      <c r="J652" s="29">
        <v>2.5634302545143721</v>
      </c>
      <c r="K652" s="29">
        <v>948</v>
      </c>
      <c r="L652" s="29">
        <v>3.092842525522133</v>
      </c>
      <c r="M652" s="29">
        <v>887</v>
      </c>
      <c r="N652" s="29">
        <v>2.899846644784204</v>
      </c>
      <c r="O652" s="29">
        <v>495</v>
      </c>
      <c r="P652" s="29">
        <v>1.4085969450487601</v>
      </c>
      <c r="Q652" s="29">
        <v>1736</v>
      </c>
      <c r="R652" s="29">
        <v>10.629771701348011</v>
      </c>
      <c r="S652" s="29">
        <v>656</v>
      </c>
      <c r="T652" s="29">
        <v>6.7989470422998588</v>
      </c>
      <c r="U652" s="29">
        <v>407</v>
      </c>
      <c r="V652" s="29">
        <v>1.092182401484076</v>
      </c>
      <c r="W652" s="29">
        <v>1320</v>
      </c>
      <c r="X652" s="29">
        <v>779.73838107158508</v>
      </c>
      <c r="Y652" s="29">
        <v>0.62417647004261334</v>
      </c>
      <c r="Z652" s="29">
        <v>0.1414942517892086</v>
      </c>
      <c r="AA652" s="29">
        <v>4.4113203338640332</v>
      </c>
      <c r="AB652" s="29">
        <v>1.0274218658611E-5</v>
      </c>
      <c r="AC652" s="29">
        <v>1.2830900832899771E-3</v>
      </c>
      <c r="AD652" s="29" t="s">
        <v>3590</v>
      </c>
      <c r="AE652" s="29" t="s">
        <v>3591</v>
      </c>
      <c r="AF652" s="29" t="s">
        <v>43</v>
      </c>
      <c r="AG652" s="29" t="s">
        <v>43</v>
      </c>
      <c r="AH652" s="29" t="s">
        <v>43</v>
      </c>
      <c r="AI652" s="29" t="s">
        <v>43</v>
      </c>
      <c r="AJ652" s="29" t="s">
        <v>43</v>
      </c>
      <c r="AK652" s="29" t="s">
        <v>43</v>
      </c>
      <c r="AL652" s="29" t="s">
        <v>43</v>
      </c>
      <c r="AM652" s="29" t="s">
        <v>43</v>
      </c>
      <c r="AN652" s="29" t="s">
        <v>43</v>
      </c>
    </row>
    <row r="653" spans="1:40" s="29" customFormat="1" x14ac:dyDescent="0.3">
      <c r="A653" s="29" t="s">
        <v>3602</v>
      </c>
      <c r="B653" s="29">
        <v>2362</v>
      </c>
      <c r="C653" s="29" t="str">
        <f>IF(Y653&lt;0, "Down", "Up")</f>
        <v>Up</v>
      </c>
      <c r="D653" s="30" t="str">
        <f>IF(AC653&lt;0.05, "Sig", "N")</f>
        <v>Sig</v>
      </c>
      <c r="E653" s="31" t="str">
        <f>IF(AND(H653&gt;2,J653&gt;2,L653&gt;2,N653&gt;2),"Y","N")</f>
        <v>Y</v>
      </c>
      <c r="F653" s="31" t="str">
        <f>IF(AND(P653&gt;2,R653&gt;2,T653&gt;2,V653&gt;2),"Y","N")</f>
        <v>N</v>
      </c>
      <c r="G653" s="31" t="str">
        <f>IF(OR(E653="Y", F653="Y"), "Expressed", "N")</f>
        <v>Expressed</v>
      </c>
      <c r="H653" s="29">
        <v>3.016546895638041</v>
      </c>
      <c r="I653" s="29">
        <v>317</v>
      </c>
      <c r="J653" s="29">
        <v>2.5277911858331752</v>
      </c>
      <c r="K653" s="29">
        <v>595</v>
      </c>
      <c r="L653" s="29">
        <v>3.3198455052617479</v>
      </c>
      <c r="M653" s="29">
        <v>606</v>
      </c>
      <c r="N653" s="29">
        <v>2.310226785721174</v>
      </c>
      <c r="O653" s="29">
        <v>251</v>
      </c>
      <c r="P653" s="29">
        <v>1.122189822896247</v>
      </c>
      <c r="Q653" s="29">
        <v>711</v>
      </c>
      <c r="R653" s="29">
        <v>6.8399807286677241</v>
      </c>
      <c r="S653" s="29">
        <v>557</v>
      </c>
      <c r="T653" s="29">
        <v>9.0699329242502937</v>
      </c>
      <c r="U653" s="29">
        <v>487</v>
      </c>
      <c r="V653" s="29">
        <v>2.053245064003673</v>
      </c>
      <c r="W653" s="29">
        <v>850</v>
      </c>
      <c r="X653" s="29">
        <v>555.43825600093692</v>
      </c>
      <c r="Y653" s="29">
        <v>0.89836393686636662</v>
      </c>
      <c r="Z653" s="29">
        <v>0.26933000447762961</v>
      </c>
      <c r="AA653" s="29">
        <v>3.3355508927004238</v>
      </c>
      <c r="AB653" s="29">
        <v>8.5130570020382462E-4</v>
      </c>
      <c r="AC653" s="29">
        <v>2.780904376654017E-2</v>
      </c>
      <c r="AD653" s="29" t="s">
        <v>3603</v>
      </c>
      <c r="AE653" s="29" t="s">
        <v>3604</v>
      </c>
      <c r="AF653" s="29" t="s">
        <v>3605</v>
      </c>
      <c r="AG653" s="29" t="s">
        <v>3606</v>
      </c>
      <c r="AH653" s="29" t="s">
        <v>43</v>
      </c>
      <c r="AI653" s="29" t="s">
        <v>43</v>
      </c>
      <c r="AJ653" s="29" t="s">
        <v>43</v>
      </c>
      <c r="AK653" s="29" t="s">
        <v>43</v>
      </c>
      <c r="AL653" s="29" t="s">
        <v>43</v>
      </c>
      <c r="AM653" s="29" t="s">
        <v>3607</v>
      </c>
      <c r="AN653" s="29" t="s">
        <v>43</v>
      </c>
    </row>
    <row r="654" spans="1:40" s="29" customFormat="1" x14ac:dyDescent="0.3">
      <c r="A654" s="29" t="s">
        <v>3608</v>
      </c>
      <c r="B654" s="29">
        <v>2200</v>
      </c>
      <c r="C654" s="29" t="str">
        <f>IF(Y654&lt;0, "Down", "Up")</f>
        <v>Up</v>
      </c>
      <c r="D654" s="30" t="str">
        <f>IF(AC654&lt;0.05, "Sig", "N")</f>
        <v>Sig</v>
      </c>
      <c r="E654" s="31" t="str">
        <f>IF(AND(H654&gt;2,J654&gt;2,L654&gt;2,N654&gt;2),"Y","N")</f>
        <v>Y</v>
      </c>
      <c r="F654" s="31" t="str">
        <f>IF(AND(P654&gt;2,R654&gt;2,T654&gt;2,V654&gt;2),"Y","N")</f>
        <v>N</v>
      </c>
      <c r="G654" s="31" t="str">
        <f>IF(OR(E654="Y", F654="Y"), "Expressed", "N")</f>
        <v>Expressed</v>
      </c>
      <c r="H654" s="29">
        <v>2.1148441925321051</v>
      </c>
      <c r="I654" s="29">
        <v>207</v>
      </c>
      <c r="J654" s="29">
        <v>2.5223571106636302</v>
      </c>
      <c r="K654" s="29">
        <v>553</v>
      </c>
      <c r="L654" s="29">
        <v>2.140936791455057</v>
      </c>
      <c r="M654" s="29">
        <v>364</v>
      </c>
      <c r="N654" s="29">
        <v>2.4408160991755401</v>
      </c>
      <c r="O654" s="29">
        <v>247</v>
      </c>
      <c r="P654" s="29">
        <v>1.1856234214690169</v>
      </c>
      <c r="Q654" s="29">
        <v>704</v>
      </c>
      <c r="R654" s="29">
        <v>7.271351665198611</v>
      </c>
      <c r="S654" s="29">
        <v>298</v>
      </c>
      <c r="T654" s="29">
        <v>5.2098156577359216</v>
      </c>
      <c r="U654" s="29">
        <v>317</v>
      </c>
      <c r="V654" s="29">
        <v>1.4349220222633989</v>
      </c>
      <c r="W654" s="29">
        <v>639</v>
      </c>
      <c r="X654" s="29">
        <v>400.18326778968412</v>
      </c>
      <c r="Y654" s="29">
        <v>0.71562345453370713</v>
      </c>
      <c r="Z654" s="29">
        <v>0.23371413321825951</v>
      </c>
      <c r="AA654" s="29">
        <v>3.0619605441892781</v>
      </c>
      <c r="AB654" s="29">
        <v>2.1989243528670651E-3</v>
      </c>
      <c r="AC654" s="29">
        <v>4.8791690839631682E-2</v>
      </c>
      <c r="AD654" s="29" t="s">
        <v>3609</v>
      </c>
      <c r="AE654" s="29" t="s">
        <v>3610</v>
      </c>
      <c r="AF654" s="29" t="s">
        <v>55</v>
      </c>
      <c r="AG654" s="29" t="s">
        <v>863</v>
      </c>
      <c r="AH654" s="29" t="s">
        <v>43</v>
      </c>
      <c r="AI654" s="29" t="s">
        <v>43</v>
      </c>
      <c r="AJ654" s="29" t="s">
        <v>43</v>
      </c>
      <c r="AK654" s="29" t="s">
        <v>43</v>
      </c>
      <c r="AL654" s="29" t="s">
        <v>43</v>
      </c>
      <c r="AM654" s="29" t="s">
        <v>864</v>
      </c>
      <c r="AN654" s="29" t="s">
        <v>43</v>
      </c>
    </row>
    <row r="655" spans="1:40" s="29" customFormat="1" x14ac:dyDescent="0.3">
      <c r="A655" s="29" t="s">
        <v>3611</v>
      </c>
      <c r="B655" s="29">
        <v>5148</v>
      </c>
      <c r="C655" s="29" t="str">
        <f>IF(Y655&lt;0, "Down", "Up")</f>
        <v>Up</v>
      </c>
      <c r="D655" s="30" t="str">
        <f>IF(AC655&lt;0.05, "Sig", "N")</f>
        <v>Sig</v>
      </c>
      <c r="E655" s="31" t="str">
        <f>IF(AND(H655&gt;2,J655&gt;2,L655&gt;2,N655&gt;2),"Y","N")</f>
        <v>Y</v>
      </c>
      <c r="F655" s="31" t="str">
        <f>IF(AND(P655&gt;2,R655&gt;2,T655&gt;2,V655&gt;2),"Y","N")</f>
        <v>N</v>
      </c>
      <c r="G655" s="31" t="str">
        <f>IF(OR(E655="Y", F655="Y"), "Expressed", "N")</f>
        <v>Expressed</v>
      </c>
      <c r="H655" s="29">
        <v>2.156845929045089</v>
      </c>
      <c r="I655" s="29">
        <v>494</v>
      </c>
      <c r="J655" s="29">
        <v>2.5145211609991209</v>
      </c>
      <c r="K655" s="29">
        <v>1290</v>
      </c>
      <c r="L655" s="29">
        <v>3.4963406087559701</v>
      </c>
      <c r="M655" s="29">
        <v>1391</v>
      </c>
      <c r="N655" s="29">
        <v>2.8716477169441279</v>
      </c>
      <c r="O655" s="29">
        <v>680</v>
      </c>
      <c r="P655" s="29">
        <v>1.394899350494708</v>
      </c>
      <c r="Q655" s="29">
        <v>2115</v>
      </c>
      <c r="R655" s="29">
        <v>9.3354875509269757</v>
      </c>
      <c r="S655" s="29">
        <v>942</v>
      </c>
      <c r="T655" s="29">
        <v>7.0378683381908438</v>
      </c>
      <c r="U655" s="29">
        <v>587</v>
      </c>
      <c r="V655" s="29">
        <v>1.1355108348413481</v>
      </c>
      <c r="W655" s="29">
        <v>2387</v>
      </c>
      <c r="X655" s="29">
        <v>1101.9616092408639</v>
      </c>
      <c r="Y655" s="29">
        <v>0.72297974937141896</v>
      </c>
      <c r="Z655" s="29">
        <v>0.1323233942260709</v>
      </c>
      <c r="AA655" s="29">
        <v>5.4637334055702036</v>
      </c>
      <c r="AB655" s="29">
        <v>4.6622355658852127E-8</v>
      </c>
      <c r="AC655" s="29">
        <v>2.39618637497083E-5</v>
      </c>
      <c r="AD655" s="29" t="s">
        <v>3612</v>
      </c>
      <c r="AE655" s="29" t="s">
        <v>3613</v>
      </c>
      <c r="AF655" s="29" t="s">
        <v>43</v>
      </c>
      <c r="AG655" s="29" t="s">
        <v>3614</v>
      </c>
      <c r="AH655" s="29" t="s">
        <v>43</v>
      </c>
      <c r="AI655" s="29" t="s">
        <v>43</v>
      </c>
      <c r="AJ655" s="29" t="s">
        <v>43</v>
      </c>
      <c r="AK655" s="29" t="s">
        <v>43</v>
      </c>
      <c r="AL655" s="29" t="s">
        <v>43</v>
      </c>
      <c r="AM655" s="29" t="s">
        <v>3615</v>
      </c>
      <c r="AN655" s="29" t="s">
        <v>43</v>
      </c>
    </row>
    <row r="656" spans="1:40" s="29" customFormat="1" x14ac:dyDescent="0.3">
      <c r="A656" s="29" t="s">
        <v>3622</v>
      </c>
      <c r="B656" s="29">
        <v>4008</v>
      </c>
      <c r="C656" s="29" t="str">
        <f>IF(Y656&lt;0, "Down", "Up")</f>
        <v>Up</v>
      </c>
      <c r="D656" s="30" t="str">
        <f>IF(AC656&lt;0.05, "Sig", "N")</f>
        <v>Sig</v>
      </c>
      <c r="E656" s="31" t="str">
        <f>IF(AND(H656&gt;2,J656&gt;2,L656&gt;2,N656&gt;2),"Y","N")</f>
        <v>Y</v>
      </c>
      <c r="F656" s="31" t="str">
        <f>IF(AND(P656&gt;2,R656&gt;2,T656&gt;2,V656&gt;2),"Y","N")</f>
        <v>N</v>
      </c>
      <c r="G656" s="31" t="str">
        <f>IF(OR(E656="Y", F656="Y"), "Expressed", "N")</f>
        <v>Expressed</v>
      </c>
      <c r="H656" s="29">
        <v>2.809575618098207</v>
      </c>
      <c r="I656" s="29">
        <v>501</v>
      </c>
      <c r="J656" s="29">
        <v>2.4586001152657189</v>
      </c>
      <c r="K656" s="29">
        <v>982</v>
      </c>
      <c r="L656" s="29">
        <v>2.2663894605865131</v>
      </c>
      <c r="M656" s="29">
        <v>702</v>
      </c>
      <c r="N656" s="29">
        <v>2.7988703117894511</v>
      </c>
      <c r="O656" s="29">
        <v>516</v>
      </c>
      <c r="P656" s="29">
        <v>1.3595478153527241</v>
      </c>
      <c r="Q656" s="29">
        <v>1278</v>
      </c>
      <c r="R656" s="29">
        <v>7.2454991798620139</v>
      </c>
      <c r="S656" s="29">
        <v>1230</v>
      </c>
      <c r="T656" s="29">
        <v>11.80337409897772</v>
      </c>
      <c r="U656" s="29">
        <v>966</v>
      </c>
      <c r="V656" s="29">
        <v>2.4001651914736581</v>
      </c>
      <c r="W656" s="29">
        <v>1291</v>
      </c>
      <c r="X656" s="29">
        <v>1009.690348790968</v>
      </c>
      <c r="Y656" s="29">
        <v>1.183801932154332</v>
      </c>
      <c r="Z656" s="29">
        <v>0.31884627043043939</v>
      </c>
      <c r="AA656" s="29">
        <v>3.7127670665747829</v>
      </c>
      <c r="AB656" s="29">
        <v>2.0500555053281781E-4</v>
      </c>
      <c r="AC656" s="29">
        <v>1.099034291541242E-2</v>
      </c>
    </row>
    <row r="657" spans="1:40" s="29" customFormat="1" x14ac:dyDescent="0.3">
      <c r="A657" s="29" t="s">
        <v>3646</v>
      </c>
      <c r="B657" s="29">
        <v>911</v>
      </c>
      <c r="C657" s="29" t="str">
        <f>IF(Y657&lt;0, "Down", "Up")</f>
        <v>Up</v>
      </c>
      <c r="D657" s="30" t="str">
        <f>IF(AC657&lt;0.05, "Sig", "N")</f>
        <v>Sig</v>
      </c>
      <c r="E657" s="31" t="str">
        <f>IF(AND(H657&gt;2,J657&gt;2,L657&gt;2,N657&gt;2),"Y","N")</f>
        <v>Y</v>
      </c>
      <c r="F657" s="31" t="str">
        <f>IF(AND(P657&gt;2,R657&gt;2,T657&gt;2,V657&gt;2),"Y","N")</f>
        <v>N</v>
      </c>
      <c r="G657" s="31" t="str">
        <f>IF(OR(E657="Y", F657="Y"), "Expressed", "N")</f>
        <v>Expressed</v>
      </c>
      <c r="H657" s="29">
        <v>2.4672453287360772</v>
      </c>
      <c r="I657" s="29">
        <v>100</v>
      </c>
      <c r="J657" s="29">
        <v>2.3792468165606162</v>
      </c>
      <c r="K657" s="29">
        <v>216</v>
      </c>
      <c r="L657" s="29">
        <v>2.173192494673684</v>
      </c>
      <c r="M657" s="29">
        <v>153</v>
      </c>
      <c r="N657" s="29">
        <v>2.2432117098241542</v>
      </c>
      <c r="O657" s="29">
        <v>94</v>
      </c>
      <c r="P657" s="29">
        <v>1.0896373321117629</v>
      </c>
      <c r="Q657" s="29">
        <v>381</v>
      </c>
      <c r="R657" s="29">
        <v>9.5032415767037275</v>
      </c>
      <c r="S657" s="29">
        <v>223</v>
      </c>
      <c r="T657" s="29">
        <v>9.4148901998881804</v>
      </c>
      <c r="U657" s="29">
        <v>77</v>
      </c>
      <c r="V657" s="29">
        <v>0.84171306385474354</v>
      </c>
      <c r="W657" s="29">
        <v>386</v>
      </c>
      <c r="X657" s="29">
        <v>184.43719504580079</v>
      </c>
      <c r="Y657" s="29">
        <v>0.96771309418029905</v>
      </c>
      <c r="Z657" s="29">
        <v>0.22610312629562179</v>
      </c>
      <c r="AA657" s="29">
        <v>4.2799633513914737</v>
      </c>
      <c r="AB657" s="29">
        <v>1.8692409148888059E-5</v>
      </c>
      <c r="AC657" s="29">
        <v>2.0365250557512048E-3</v>
      </c>
    </row>
    <row r="658" spans="1:40" s="29" customFormat="1" x14ac:dyDescent="0.3">
      <c r="A658" s="29" t="s">
        <v>3651</v>
      </c>
      <c r="B658" s="29">
        <v>4414</v>
      </c>
      <c r="C658" s="29" t="str">
        <f>IF(Y658&lt;0, "Down", "Up")</f>
        <v>Up</v>
      </c>
      <c r="D658" s="30" t="str">
        <f>IF(AC658&lt;0.05, "Sig", "N")</f>
        <v>Sig</v>
      </c>
      <c r="E658" s="31" t="str">
        <f>IF(AND(H658&gt;2,J658&gt;2,L658&gt;2,N658&gt;2),"Y","N")</f>
        <v>Y</v>
      </c>
      <c r="F658" s="31" t="str">
        <f>IF(AND(P658&gt;2,R658&gt;2,T658&gt;2,V658&gt;2),"Y","N")</f>
        <v>N</v>
      </c>
      <c r="G658" s="31" t="str">
        <f>IF(OR(E658="Y", F658="Y"), "Expressed", "N")</f>
        <v>Expressed</v>
      </c>
      <c r="H658" s="29">
        <v>2.3321896385844658</v>
      </c>
      <c r="I658" s="29">
        <v>458</v>
      </c>
      <c r="J658" s="29">
        <v>2.302932661581047</v>
      </c>
      <c r="K658" s="29">
        <v>1013</v>
      </c>
      <c r="L658" s="29">
        <v>3.7347560702772862</v>
      </c>
      <c r="M658" s="29">
        <v>1274</v>
      </c>
      <c r="N658" s="29">
        <v>2.777842139986141</v>
      </c>
      <c r="O658" s="29">
        <v>564</v>
      </c>
      <c r="P658" s="29">
        <v>1.349333406733779</v>
      </c>
      <c r="Q658" s="29">
        <v>2068</v>
      </c>
      <c r="R658" s="29">
        <v>10.6459243625614</v>
      </c>
      <c r="S658" s="29">
        <v>539</v>
      </c>
      <c r="T658" s="29">
        <v>4.6966176921382372</v>
      </c>
      <c r="U658" s="29">
        <v>606</v>
      </c>
      <c r="V658" s="29">
        <v>1.367199890284257</v>
      </c>
      <c r="W658" s="29">
        <v>1560</v>
      </c>
      <c r="X658" s="29">
        <v>911.11347978638378</v>
      </c>
      <c r="Y658" s="29">
        <v>0.62483040129657452</v>
      </c>
      <c r="Z658" s="29">
        <v>0.20481805019106919</v>
      </c>
      <c r="AA658" s="29">
        <v>3.050660821708278</v>
      </c>
      <c r="AB658" s="29">
        <v>2.283383586193264E-3</v>
      </c>
      <c r="AC658" s="29">
        <v>4.9984958097019569E-2</v>
      </c>
      <c r="AD658" s="29" t="s">
        <v>3652</v>
      </c>
      <c r="AE658" s="29" t="s">
        <v>3653</v>
      </c>
      <c r="AF658" s="29" t="s">
        <v>55</v>
      </c>
      <c r="AG658" s="29" t="s">
        <v>3654</v>
      </c>
      <c r="AH658" s="29" t="s">
        <v>43</v>
      </c>
      <c r="AI658" s="29" t="s">
        <v>43</v>
      </c>
      <c r="AJ658" s="29" t="s">
        <v>43</v>
      </c>
      <c r="AK658" s="29" t="s">
        <v>43</v>
      </c>
      <c r="AL658" s="29" t="s">
        <v>43</v>
      </c>
      <c r="AM658" s="29" t="s">
        <v>3655</v>
      </c>
      <c r="AN658" s="29" t="s">
        <v>43</v>
      </c>
    </row>
    <row r="659" spans="1:40" s="29" customFormat="1" x14ac:dyDescent="0.3">
      <c r="A659" s="29" t="s">
        <v>3656</v>
      </c>
      <c r="B659" s="29">
        <v>651</v>
      </c>
      <c r="C659" s="29" t="str">
        <f>IF(Y659&lt;0, "Down", "Up")</f>
        <v>Up</v>
      </c>
      <c r="D659" s="30" t="str">
        <f>IF(AC659&lt;0.05, "Sig", "N")</f>
        <v>Sig</v>
      </c>
      <c r="E659" s="31" t="str">
        <f>IF(AND(H659&gt;2,J659&gt;2,L659&gt;2,N659&gt;2),"Y","N")</f>
        <v>Y</v>
      </c>
      <c r="F659" s="31" t="str">
        <f>IF(AND(P659&gt;2,R659&gt;2,T659&gt;2,V659&gt;2),"Y","N")</f>
        <v>N</v>
      </c>
      <c r="G659" s="31" t="str">
        <f>IF(OR(E659="Y", F659="Y"), "Expressed", "N")</f>
        <v>Expressed</v>
      </c>
      <c r="H659" s="29">
        <v>3.0728384640336772</v>
      </c>
      <c r="I659" s="29">
        <v>89</v>
      </c>
      <c r="J659" s="29">
        <v>2.2967271408169871</v>
      </c>
      <c r="K659" s="29">
        <v>149</v>
      </c>
      <c r="L659" s="29">
        <v>4.5120095611681759</v>
      </c>
      <c r="M659" s="29">
        <v>227</v>
      </c>
      <c r="N659" s="29">
        <v>3.4730668077847451</v>
      </c>
      <c r="O659" s="29">
        <v>104</v>
      </c>
      <c r="P659" s="29">
        <v>1.6870379349870399</v>
      </c>
      <c r="Q659" s="29">
        <v>278</v>
      </c>
      <c r="R659" s="29">
        <v>9.7035126868529851</v>
      </c>
      <c r="S659" s="29">
        <v>176</v>
      </c>
      <c r="T659" s="29">
        <v>10.398254738066109</v>
      </c>
      <c r="U659" s="29">
        <v>122</v>
      </c>
      <c r="V659" s="29">
        <v>1.866253183772097</v>
      </c>
      <c r="W659" s="29">
        <v>362</v>
      </c>
      <c r="X659" s="29">
        <v>179.4914610084943</v>
      </c>
      <c r="Y659" s="29">
        <v>0.87089280216980491</v>
      </c>
      <c r="Z659" s="29">
        <v>0.22930362447839239</v>
      </c>
      <c r="AA659" s="29">
        <v>3.7979896922731391</v>
      </c>
      <c r="AB659" s="29">
        <v>1.4587438826767481E-4</v>
      </c>
      <c r="AC659" s="29">
        <v>8.7310437656313127E-3</v>
      </c>
      <c r="AD659" s="29" t="s">
        <v>3657</v>
      </c>
      <c r="AE659" s="29" t="s">
        <v>3658</v>
      </c>
      <c r="AF659" s="29" t="s">
        <v>43</v>
      </c>
      <c r="AG659" s="29" t="s">
        <v>43</v>
      </c>
      <c r="AH659" s="29" t="s">
        <v>43</v>
      </c>
      <c r="AI659" s="29" t="s">
        <v>43</v>
      </c>
      <c r="AJ659" s="29" t="s">
        <v>43</v>
      </c>
      <c r="AK659" s="29" t="s">
        <v>43</v>
      </c>
      <c r="AL659" s="29" t="s">
        <v>43</v>
      </c>
      <c r="AM659" s="29" t="s">
        <v>43</v>
      </c>
      <c r="AN659" s="29" t="s">
        <v>43</v>
      </c>
    </row>
    <row r="660" spans="1:40" s="29" customFormat="1" x14ac:dyDescent="0.3">
      <c r="A660" s="29" t="s">
        <v>3700</v>
      </c>
      <c r="B660" s="29">
        <v>3397</v>
      </c>
      <c r="C660" s="29" t="str">
        <f>IF(Y660&lt;0, "Down", "Up")</f>
        <v>Up</v>
      </c>
      <c r="D660" s="30" t="str">
        <f>IF(AC660&lt;0.05, "Sig", "N")</f>
        <v>Sig</v>
      </c>
      <c r="E660" s="31" t="str">
        <f>IF(AND(H660&gt;2,J660&gt;2,L660&gt;2,N660&gt;2),"Y","N")</f>
        <v>Y</v>
      </c>
      <c r="F660" s="31" t="str">
        <f>IF(AND(P660&gt;2,R660&gt;2,T660&gt;2,V660&gt;2),"Y","N")</f>
        <v>N</v>
      </c>
      <c r="G660" s="31" t="str">
        <f>IF(OR(E660="Y", F660="Y"), "Expressed", "N")</f>
        <v>Expressed</v>
      </c>
      <c r="H660" s="29">
        <v>2.05776394990531</v>
      </c>
      <c r="I660" s="29">
        <v>311</v>
      </c>
      <c r="J660" s="29">
        <v>2.2420761129973359</v>
      </c>
      <c r="K660" s="29">
        <v>759</v>
      </c>
      <c r="L660" s="29">
        <v>2.5254752933392641</v>
      </c>
      <c r="M660" s="29">
        <v>663</v>
      </c>
      <c r="N660" s="29">
        <v>2.1439272626744641</v>
      </c>
      <c r="O660" s="29">
        <v>335</v>
      </c>
      <c r="P660" s="29">
        <v>1.0414100338863721</v>
      </c>
      <c r="Q660" s="29">
        <v>742</v>
      </c>
      <c r="R660" s="29">
        <v>4.9633343166556596</v>
      </c>
      <c r="S660" s="29">
        <v>620</v>
      </c>
      <c r="T660" s="29">
        <v>7.0198028631182652</v>
      </c>
      <c r="U660" s="29">
        <v>298</v>
      </c>
      <c r="V660" s="29">
        <v>0.87359962055579232</v>
      </c>
      <c r="W660" s="29">
        <v>1224</v>
      </c>
      <c r="X660" s="29">
        <v>573.43490116561975</v>
      </c>
      <c r="Y660" s="29">
        <v>0.63511651201225594</v>
      </c>
      <c r="Z660" s="29">
        <v>0.19970357532609931</v>
      </c>
      <c r="AA660" s="29">
        <v>3.1802961513090771</v>
      </c>
      <c r="AB660" s="29">
        <v>1.471246101828681E-3</v>
      </c>
      <c r="AC660" s="29">
        <v>3.9038384219341943E-2</v>
      </c>
      <c r="AD660" s="29" t="s">
        <v>3701</v>
      </c>
      <c r="AE660" s="29" t="s">
        <v>3702</v>
      </c>
      <c r="AF660" s="29" t="s">
        <v>3703</v>
      </c>
      <c r="AG660" s="29" t="s">
        <v>3704</v>
      </c>
      <c r="AH660" s="29" t="s">
        <v>43</v>
      </c>
      <c r="AI660" s="29" t="s">
        <v>43</v>
      </c>
      <c r="AJ660" s="29" t="s">
        <v>43</v>
      </c>
      <c r="AK660" s="29" t="s">
        <v>43</v>
      </c>
      <c r="AL660" s="29" t="s">
        <v>43</v>
      </c>
      <c r="AM660" s="29" t="s">
        <v>3705</v>
      </c>
      <c r="AN660" s="29" t="s">
        <v>43</v>
      </c>
    </row>
    <row r="661" spans="1:40" s="29" customFormat="1" x14ac:dyDescent="0.3">
      <c r="A661" s="29" t="s">
        <v>3707</v>
      </c>
      <c r="B661" s="29">
        <v>3048</v>
      </c>
      <c r="C661" s="29" t="str">
        <f>IF(Y661&lt;0, "Down", "Up")</f>
        <v>Up</v>
      </c>
      <c r="D661" s="30" t="str">
        <f>IF(AC661&lt;0.05, "Sig", "N")</f>
        <v>Sig</v>
      </c>
      <c r="E661" s="31" t="str">
        <f>IF(AND(H661&gt;2,J661&gt;2,L661&gt;2,N661&gt;2),"Y","N")</f>
        <v>Y</v>
      </c>
      <c r="F661" s="31" t="str">
        <f>IF(AND(P661&gt;2,R661&gt;2,T661&gt;2,V661&gt;2),"Y","N")</f>
        <v>N</v>
      </c>
      <c r="G661" s="31" t="str">
        <f>IF(OR(E661="Y", F661="Y"), "Expressed", "N")</f>
        <v>Expressed</v>
      </c>
      <c r="H661" s="29">
        <v>2.7653303327738259</v>
      </c>
      <c r="I661" s="29">
        <v>375</v>
      </c>
      <c r="J661" s="29">
        <v>2.222250092157481</v>
      </c>
      <c r="K661" s="29">
        <v>675</v>
      </c>
      <c r="L661" s="29">
        <v>3.2094600598735719</v>
      </c>
      <c r="M661" s="29">
        <v>756</v>
      </c>
      <c r="N661" s="29">
        <v>2.5035308103851892</v>
      </c>
      <c r="O661" s="29">
        <v>351</v>
      </c>
      <c r="P661" s="29">
        <v>1.2160870153898951</v>
      </c>
      <c r="Q661" s="29">
        <v>944</v>
      </c>
      <c r="R661" s="29">
        <v>7.0375614869868448</v>
      </c>
      <c r="S661" s="29">
        <v>668</v>
      </c>
      <c r="T661" s="29">
        <v>8.4292759809587015</v>
      </c>
      <c r="U661" s="29">
        <v>300</v>
      </c>
      <c r="V661" s="29">
        <v>0.98016233916002571</v>
      </c>
      <c r="W661" s="29">
        <v>1073</v>
      </c>
      <c r="X661" s="29">
        <v>601.90033650945418</v>
      </c>
      <c r="Y661" s="29">
        <v>0.60312588456964789</v>
      </c>
      <c r="Z661" s="29">
        <v>0.1808047470198888</v>
      </c>
      <c r="AA661" s="29">
        <v>3.3357856721721091</v>
      </c>
      <c r="AB661" s="29">
        <v>8.5058712586824842E-4</v>
      </c>
      <c r="AC661" s="29">
        <v>2.780904376654017E-2</v>
      </c>
      <c r="AD661" s="29" t="s">
        <v>3708</v>
      </c>
      <c r="AE661" s="29" t="s">
        <v>3709</v>
      </c>
      <c r="AF661" s="29" t="s">
        <v>43</v>
      </c>
      <c r="AG661" s="29" t="s">
        <v>3710</v>
      </c>
      <c r="AH661" s="29" t="s">
        <v>43</v>
      </c>
      <c r="AI661" s="29" t="s">
        <v>43</v>
      </c>
      <c r="AJ661" s="29" t="s">
        <v>43</v>
      </c>
      <c r="AK661" s="29" t="s">
        <v>43</v>
      </c>
      <c r="AL661" s="29" t="s">
        <v>43</v>
      </c>
      <c r="AM661" s="29" t="s">
        <v>3711</v>
      </c>
      <c r="AN661" s="29" t="s">
        <v>43</v>
      </c>
    </row>
    <row r="662" spans="1:40" s="29" customFormat="1" x14ac:dyDescent="0.3">
      <c r="A662" s="29" t="s">
        <v>3761</v>
      </c>
      <c r="B662" s="29">
        <v>5237</v>
      </c>
      <c r="C662" s="29" t="str">
        <f>IF(Y662&lt;0, "Down", "Up")</f>
        <v>Up</v>
      </c>
      <c r="D662" s="30" t="str">
        <f>IF(AC662&lt;0.05, "Sig", "N")</f>
        <v>Sig</v>
      </c>
      <c r="E662" s="31" t="str">
        <f>IF(AND(H662&gt;2,J662&gt;2,L662&gt;2,N662&gt;2),"Y","N")</f>
        <v>Y</v>
      </c>
      <c r="F662" s="31" t="str">
        <f>IF(AND(P662&gt;2,R662&gt;2,T662&gt;2,V662&gt;2),"Y","N")</f>
        <v>N</v>
      </c>
      <c r="G662" s="31" t="str">
        <f>IF(OR(E662="Y", F662="Y"), "Expressed", "N")</f>
        <v>Expressed</v>
      </c>
      <c r="H662" s="29">
        <v>2.0944401781660109</v>
      </c>
      <c r="I662" s="29">
        <v>488</v>
      </c>
      <c r="J662" s="29">
        <v>2.0617396361343721</v>
      </c>
      <c r="K662" s="29">
        <v>1076</v>
      </c>
      <c r="L662" s="29">
        <v>2.4510616837042409</v>
      </c>
      <c r="M662" s="29">
        <v>992</v>
      </c>
      <c r="N662" s="29">
        <v>2.1046804750536299</v>
      </c>
      <c r="O662" s="29">
        <v>507</v>
      </c>
      <c r="P662" s="29">
        <v>1.0223459550168501</v>
      </c>
      <c r="Q662" s="29">
        <v>1434</v>
      </c>
      <c r="R662" s="29">
        <v>6.2220249474262506</v>
      </c>
      <c r="S662" s="29">
        <v>622</v>
      </c>
      <c r="T662" s="29">
        <v>4.5681103262702507</v>
      </c>
      <c r="U662" s="29">
        <v>423</v>
      </c>
      <c r="V662" s="29">
        <v>0.80435823596739719</v>
      </c>
      <c r="W662" s="29">
        <v>1387</v>
      </c>
      <c r="X662" s="29">
        <v>787.98480716611618</v>
      </c>
      <c r="Y662" s="29">
        <v>0.4264188875161331</v>
      </c>
      <c r="Z662" s="29">
        <v>0.1110624679621964</v>
      </c>
      <c r="AA662" s="29">
        <v>3.8394508544621782</v>
      </c>
      <c r="AB662" s="29">
        <v>1.2330980879472189E-4</v>
      </c>
      <c r="AC662" s="29">
        <v>7.8157922239271167E-3</v>
      </c>
      <c r="AD662" s="29" t="s">
        <v>3762</v>
      </c>
      <c r="AE662" s="29" t="s">
        <v>3763</v>
      </c>
      <c r="AF662" s="29" t="s">
        <v>43</v>
      </c>
      <c r="AG662" s="29" t="s">
        <v>3764</v>
      </c>
      <c r="AH662" s="29" t="s">
        <v>43</v>
      </c>
      <c r="AI662" s="29" t="s">
        <v>43</v>
      </c>
      <c r="AJ662" s="29" t="s">
        <v>43</v>
      </c>
      <c r="AK662" s="29" t="s">
        <v>43</v>
      </c>
      <c r="AL662" s="29" t="s">
        <v>43</v>
      </c>
      <c r="AM662" s="29" t="s">
        <v>371</v>
      </c>
      <c r="AN662" s="29" t="s">
        <v>43</v>
      </c>
    </row>
    <row r="663" spans="1:40" s="13" customFormat="1" x14ac:dyDescent="0.3">
      <c r="A663" s="13" t="s">
        <v>409</v>
      </c>
      <c r="B663" s="13">
        <v>2056</v>
      </c>
      <c r="C663" s="13" t="str">
        <f>IF(Y663&lt;0, "Down", "Up")</f>
        <v>Up</v>
      </c>
      <c r="D663" s="14" t="str">
        <f>IF(AC663&lt;0.05, "Sig", "N")</f>
        <v>Sig</v>
      </c>
      <c r="E663" s="15" t="str">
        <f>IF(AND(H663&gt;2,J663&gt;2,L663&gt;2,N663&gt;2),"Y","N")</f>
        <v>N</v>
      </c>
      <c r="F663" s="15" t="str">
        <f>IF(AND(P663&gt;2,R663&gt;2,T663&gt;2,V663&gt;2),"Y","N")</f>
        <v>Y</v>
      </c>
      <c r="G663" s="15" t="str">
        <f>IF(OR(E663="Y", F663="Y"), "Expressed", "N")</f>
        <v>Expressed</v>
      </c>
      <c r="H663" s="13">
        <v>5.1272021980080122</v>
      </c>
      <c r="I663" s="13">
        <v>469</v>
      </c>
      <c r="J663" s="13">
        <v>1.9034681723226989</v>
      </c>
      <c r="K663" s="13">
        <v>390</v>
      </c>
      <c r="L663" s="13">
        <v>5.922317080095592</v>
      </c>
      <c r="M663" s="13">
        <v>941</v>
      </c>
      <c r="N663" s="13">
        <v>8.6177776623405844</v>
      </c>
      <c r="O663" s="13">
        <v>815</v>
      </c>
      <c r="P663" s="13">
        <v>4.1860749119668457</v>
      </c>
      <c r="Q663" s="13">
        <v>8828</v>
      </c>
      <c r="R663" s="13">
        <v>97.567322015402084</v>
      </c>
      <c r="S663" s="13">
        <v>1428</v>
      </c>
      <c r="T663" s="13">
        <v>26.713689300823869</v>
      </c>
      <c r="U663" s="13">
        <v>581</v>
      </c>
      <c r="V663" s="13">
        <v>2.8141337945369971</v>
      </c>
      <c r="W663" s="13">
        <v>7586</v>
      </c>
      <c r="X663" s="13">
        <v>2014.798862009811</v>
      </c>
      <c r="Y663" s="13">
        <v>2.375336941723778</v>
      </c>
      <c r="Z663" s="13">
        <v>0.57599448569778988</v>
      </c>
      <c r="AA663" s="13">
        <v>4.12388833696241</v>
      </c>
      <c r="AB663" s="13">
        <v>3.7252954530335993E-5</v>
      </c>
      <c r="AC663" s="13">
        <v>3.2863222052470281E-3</v>
      </c>
      <c r="AD663" s="13" t="s">
        <v>410</v>
      </c>
      <c r="AE663" s="13" t="s">
        <v>411</v>
      </c>
      <c r="AF663" s="13" t="s">
        <v>412</v>
      </c>
      <c r="AG663" s="13" t="s">
        <v>413</v>
      </c>
      <c r="AH663" s="13" t="s">
        <v>43</v>
      </c>
      <c r="AI663" s="13" t="s">
        <v>43</v>
      </c>
      <c r="AJ663" s="13" t="s">
        <v>43</v>
      </c>
      <c r="AK663" s="13" t="s">
        <v>43</v>
      </c>
      <c r="AL663" s="13" t="s">
        <v>43</v>
      </c>
      <c r="AM663" s="13" t="s">
        <v>414</v>
      </c>
      <c r="AN663" s="13" t="s">
        <v>43</v>
      </c>
    </row>
  </sheetData>
  <sortState xmlns:xlrd2="http://schemas.microsoft.com/office/spreadsheetml/2017/richdata2" ref="A2:AN663">
    <sortCondition ref="C2:C66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CD70B-B977-4F0B-91B3-2FC5D4160CDD}">
  <dimension ref="A1:AO117"/>
  <sheetViews>
    <sheetView workbookViewId="0">
      <selection activeCell="H121" sqref="H121"/>
    </sheetView>
  </sheetViews>
  <sheetFormatPr defaultRowHeight="14.4" x14ac:dyDescent="0.3"/>
  <sheetData>
    <row r="1" spans="1:41" s="2" customFormat="1" x14ac:dyDescent="0.3">
      <c r="A1" s="2" t="s">
        <v>0</v>
      </c>
      <c r="B1" s="2" t="s">
        <v>1</v>
      </c>
      <c r="C1" s="3" t="s">
        <v>2</v>
      </c>
      <c r="D1" s="3" t="s">
        <v>3</v>
      </c>
      <c r="E1" s="3" t="s">
        <v>3795</v>
      </c>
      <c r="F1" s="4" t="s">
        <v>4</v>
      </c>
      <c r="G1" s="4" t="s">
        <v>5</v>
      </c>
      <c r="H1" s="4" t="s">
        <v>6</v>
      </c>
      <c r="I1" s="5" t="s">
        <v>3796</v>
      </c>
      <c r="J1" s="19" t="s">
        <v>3797</v>
      </c>
      <c r="K1" s="5" t="s">
        <v>3798</v>
      </c>
      <c r="L1" s="19" t="s">
        <v>3799</v>
      </c>
      <c r="M1" s="5" t="s">
        <v>3800</v>
      </c>
      <c r="N1" s="19" t="s">
        <v>3801</v>
      </c>
      <c r="O1" s="5" t="s">
        <v>3802</v>
      </c>
      <c r="P1" s="19" t="s">
        <v>3803</v>
      </c>
      <c r="Q1" s="6" t="s">
        <v>3804</v>
      </c>
      <c r="R1" s="19" t="s">
        <v>3805</v>
      </c>
      <c r="S1" s="6" t="s">
        <v>3806</v>
      </c>
      <c r="T1" s="19" t="s">
        <v>3807</v>
      </c>
      <c r="U1" s="6" t="s">
        <v>3808</v>
      </c>
      <c r="V1" s="19" t="s">
        <v>3809</v>
      </c>
      <c r="W1" s="6" t="s">
        <v>3810</v>
      </c>
      <c r="X1" s="19" t="s">
        <v>3811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</row>
    <row r="2" spans="1:41" s="20" customFormat="1" x14ac:dyDescent="0.3">
      <c r="A2" s="20" t="s">
        <v>3812</v>
      </c>
      <c r="B2" s="20">
        <v>1698</v>
      </c>
      <c r="C2" s="20" t="str">
        <f t="shared" ref="C2:C65" si="0">IF(Z2&lt;0, "Down", "Up")</f>
        <v>Up</v>
      </c>
      <c r="D2" s="21" t="str">
        <f t="shared" ref="D2:D65" si="1">IF(AD2&lt;0.05, "Sig", "N")</f>
        <v>Sig</v>
      </c>
      <c r="E2" s="21" t="str">
        <f t="shared" ref="E2:E65" si="2">IF(AVERAGE(J2,L2,N2,P2) &gt; AVERAGE(R2,T2,V2,X2), "Smaller", IF(AVERAGE(J2,L2,N2,P2) &lt; AVERAGE(R2,T2,V2,X2), "Larger", "Equal"))</f>
        <v>Larger</v>
      </c>
      <c r="F2" s="22" t="str">
        <f t="shared" ref="F2:F65" si="3">IF(AND(J2&gt;2,L2&gt;2,N2&gt;2,P2&gt;2),"Y","N")</f>
        <v>N</v>
      </c>
      <c r="G2" s="22" t="str">
        <f t="shared" ref="G2:G65" si="4">IF(AND(R2&gt;2,T2&gt;2,V2&gt;2,X2&gt;2),"Y","N")</f>
        <v>Y</v>
      </c>
      <c r="H2" s="22" t="str">
        <f t="shared" ref="H2:H65" si="5">IF(OR(F2="Y", G2="Y"), "Expressed", "N")</f>
        <v>Expressed</v>
      </c>
      <c r="I2" s="20">
        <v>28</v>
      </c>
      <c r="J2" s="20">
        <v>0.35428967697410407</v>
      </c>
      <c r="K2" s="20">
        <v>38</v>
      </c>
      <c r="L2" s="20">
        <v>0.40031667422176742</v>
      </c>
      <c r="M2" s="20">
        <v>50</v>
      </c>
      <c r="N2" s="20">
        <v>0.37857900331219679</v>
      </c>
      <c r="O2" s="20">
        <v>310</v>
      </c>
      <c r="P2" s="20">
        <v>4.0192675995585354</v>
      </c>
      <c r="Q2" s="20">
        <v>8107</v>
      </c>
      <c r="R2" s="20">
        <v>113.98510767642679</v>
      </c>
      <c r="S2" s="20">
        <v>21200</v>
      </c>
      <c r="T2" s="20">
        <v>109.8697905635255</v>
      </c>
      <c r="U2" s="20">
        <v>30464</v>
      </c>
      <c r="V2" s="20">
        <v>200.4571681581734</v>
      </c>
      <c r="W2" s="20">
        <v>5501</v>
      </c>
      <c r="X2" s="20">
        <v>163.03879071362039</v>
      </c>
      <c r="Y2" s="20">
        <v>7198.2099809954607</v>
      </c>
      <c r="Z2" s="20">
        <v>6.9324722863648809</v>
      </c>
      <c r="AA2" s="20">
        <v>0.91942808424150124</v>
      </c>
      <c r="AB2" s="20">
        <v>7.5399831756106828</v>
      </c>
      <c r="AC2" s="20">
        <v>4.7003209466562087E-14</v>
      </c>
      <c r="AD2" s="20">
        <v>4.3833850199673908E-11</v>
      </c>
    </row>
    <row r="3" spans="1:41" s="20" customFormat="1" x14ac:dyDescent="0.3">
      <c r="A3" s="20" t="s">
        <v>46</v>
      </c>
      <c r="B3" s="20">
        <v>3229</v>
      </c>
      <c r="C3" s="20" t="str">
        <f t="shared" si="0"/>
        <v>Up</v>
      </c>
      <c r="D3" s="21" t="str">
        <f t="shared" si="1"/>
        <v>Sig</v>
      </c>
      <c r="E3" s="21" t="str">
        <f t="shared" si="2"/>
        <v>Larger</v>
      </c>
      <c r="F3" s="22" t="str">
        <f t="shared" si="3"/>
        <v>Y</v>
      </c>
      <c r="G3" s="22" t="str">
        <f t="shared" si="4"/>
        <v>Y</v>
      </c>
      <c r="H3" s="22" t="str">
        <f t="shared" si="5"/>
        <v>Expressed</v>
      </c>
      <c r="I3" s="20">
        <v>1569</v>
      </c>
      <c r="J3" s="20">
        <v>10.439820979368699</v>
      </c>
      <c r="K3" s="20">
        <v>1360</v>
      </c>
      <c r="L3" s="20">
        <v>7.5340523336770637</v>
      </c>
      <c r="M3" s="20">
        <v>2737</v>
      </c>
      <c r="N3" s="20">
        <v>10.89760237254376</v>
      </c>
      <c r="O3" s="20">
        <v>2089</v>
      </c>
      <c r="P3" s="20">
        <v>14.2427322213821</v>
      </c>
      <c r="Q3" s="20">
        <v>4947</v>
      </c>
      <c r="R3" s="20">
        <v>36.576276522349403</v>
      </c>
      <c r="S3" s="20">
        <v>12904</v>
      </c>
      <c r="T3" s="20">
        <v>35.167089847301916</v>
      </c>
      <c r="U3" s="20">
        <v>13833</v>
      </c>
      <c r="V3" s="20">
        <v>47.865288616178759</v>
      </c>
      <c r="W3" s="20">
        <v>3030</v>
      </c>
      <c r="X3" s="20">
        <v>47.223869479410183</v>
      </c>
      <c r="Y3" s="20">
        <v>4734.3473679290491</v>
      </c>
      <c r="Z3" s="20">
        <v>2.0984706975628908</v>
      </c>
      <c r="AA3" s="20">
        <v>0.23160218000890909</v>
      </c>
      <c r="AB3" s="20">
        <v>9.060669020827735</v>
      </c>
      <c r="AC3" s="20">
        <v>1.296528611420853E-19</v>
      </c>
      <c r="AD3" s="20">
        <v>1.7818397421800681E-16</v>
      </c>
      <c r="AE3" s="20" t="s">
        <v>47</v>
      </c>
      <c r="AF3" s="20" t="s">
        <v>48</v>
      </c>
      <c r="AG3" s="20" t="s">
        <v>49</v>
      </c>
      <c r="AH3" s="20" t="s">
        <v>50</v>
      </c>
      <c r="AI3" s="20" t="s">
        <v>43</v>
      </c>
      <c r="AJ3" s="20" t="s">
        <v>43</v>
      </c>
      <c r="AK3" s="20" t="s">
        <v>43</v>
      </c>
      <c r="AL3" s="20" t="s">
        <v>43</v>
      </c>
      <c r="AM3" s="20" t="s">
        <v>43</v>
      </c>
      <c r="AN3" s="20" t="s">
        <v>51</v>
      </c>
      <c r="AO3" s="20" t="s">
        <v>43</v>
      </c>
    </row>
    <row r="4" spans="1:41" s="20" customFormat="1" x14ac:dyDescent="0.3">
      <c r="A4" s="20" t="s">
        <v>52</v>
      </c>
      <c r="B4" s="20">
        <v>3365</v>
      </c>
      <c r="C4" s="20" t="str">
        <f t="shared" si="0"/>
        <v>Up</v>
      </c>
      <c r="D4" s="21" t="str">
        <f t="shared" si="1"/>
        <v>Sig</v>
      </c>
      <c r="E4" s="21" t="str">
        <f t="shared" si="2"/>
        <v>Larger</v>
      </c>
      <c r="F4" s="22" t="str">
        <f t="shared" si="3"/>
        <v>Y</v>
      </c>
      <c r="G4" s="22" t="str">
        <f t="shared" si="4"/>
        <v>Y</v>
      </c>
      <c r="H4" s="22" t="str">
        <f t="shared" si="5"/>
        <v>Expressed</v>
      </c>
      <c r="I4" s="20">
        <v>8843</v>
      </c>
      <c r="J4" s="20">
        <v>56.461538693403106</v>
      </c>
      <c r="K4" s="20">
        <v>8399</v>
      </c>
      <c r="L4" s="20">
        <v>44.647822398115927</v>
      </c>
      <c r="M4" s="20">
        <v>12937</v>
      </c>
      <c r="N4" s="20">
        <v>49.427963202455359</v>
      </c>
      <c r="O4" s="20">
        <v>11629</v>
      </c>
      <c r="P4" s="20">
        <v>76.081701414103435</v>
      </c>
      <c r="Q4" s="20">
        <v>17547</v>
      </c>
      <c r="R4" s="20">
        <v>124.4925704918207</v>
      </c>
      <c r="S4" s="20">
        <v>44897</v>
      </c>
      <c r="T4" s="20">
        <v>117.4119701955223</v>
      </c>
      <c r="U4" s="20">
        <v>41292</v>
      </c>
      <c r="V4" s="20">
        <v>137.1049706503087</v>
      </c>
      <c r="W4" s="20">
        <v>9638</v>
      </c>
      <c r="X4" s="20">
        <v>144.14143448167269</v>
      </c>
      <c r="Y4" s="20">
        <v>17453.23285658508</v>
      </c>
      <c r="Z4" s="20">
        <v>1.350035448027431</v>
      </c>
      <c r="AA4" s="20">
        <v>0.21087224499437171</v>
      </c>
      <c r="AB4" s="20">
        <v>6.4021485998001513</v>
      </c>
      <c r="AC4" s="20">
        <v>1.5320544234407009E-10</v>
      </c>
      <c r="AD4" s="20">
        <v>9.7573183182642894E-8</v>
      </c>
      <c r="AE4" s="20" t="s">
        <v>53</v>
      </c>
      <c r="AF4" s="20" t="s">
        <v>54</v>
      </c>
      <c r="AG4" s="20" t="s">
        <v>55</v>
      </c>
      <c r="AH4" s="20" t="s">
        <v>56</v>
      </c>
      <c r="AI4" s="20" t="s">
        <v>43</v>
      </c>
      <c r="AJ4" s="20" t="s">
        <v>43</v>
      </c>
      <c r="AK4" s="20" t="s">
        <v>43</v>
      </c>
      <c r="AL4" s="20" t="s">
        <v>43</v>
      </c>
      <c r="AM4" s="20" t="s">
        <v>43</v>
      </c>
      <c r="AN4" s="20" t="s">
        <v>57</v>
      </c>
      <c r="AO4" s="20" t="s">
        <v>43</v>
      </c>
    </row>
    <row r="5" spans="1:41" s="20" customFormat="1" x14ac:dyDescent="0.3">
      <c r="A5" s="20" t="s">
        <v>3813</v>
      </c>
      <c r="B5" s="20">
        <v>1545</v>
      </c>
      <c r="C5" s="20" t="str">
        <f t="shared" si="0"/>
        <v>Up</v>
      </c>
      <c r="D5" s="21" t="str">
        <f t="shared" si="1"/>
        <v>Sig</v>
      </c>
      <c r="E5" s="21" t="str">
        <f t="shared" si="2"/>
        <v>Larger</v>
      </c>
      <c r="F5" s="22" t="str">
        <f t="shared" si="3"/>
        <v>Y</v>
      </c>
      <c r="G5" s="22" t="str">
        <f t="shared" si="4"/>
        <v>Y</v>
      </c>
      <c r="H5" s="22" t="str">
        <f t="shared" si="5"/>
        <v>Expressed</v>
      </c>
      <c r="I5" s="20">
        <v>1387</v>
      </c>
      <c r="J5" s="20">
        <v>19.287952606872722</v>
      </c>
      <c r="K5" s="20">
        <v>1230</v>
      </c>
      <c r="L5" s="20">
        <v>14.240800319862551</v>
      </c>
      <c r="M5" s="20">
        <v>2008</v>
      </c>
      <c r="N5" s="20">
        <v>16.709345144714739</v>
      </c>
      <c r="O5" s="20">
        <v>1424</v>
      </c>
      <c r="P5" s="20">
        <v>20.291045267538902</v>
      </c>
      <c r="Q5" s="20">
        <v>2283</v>
      </c>
      <c r="R5" s="20">
        <v>35.277926774802019</v>
      </c>
      <c r="S5" s="20">
        <v>5039</v>
      </c>
      <c r="T5" s="20">
        <v>28.700931768792501</v>
      </c>
      <c r="U5" s="20">
        <v>3652</v>
      </c>
      <c r="V5" s="20">
        <v>26.41037909538462</v>
      </c>
      <c r="W5" s="20">
        <v>751</v>
      </c>
      <c r="X5" s="20">
        <v>24.462364870456309</v>
      </c>
      <c r="Y5" s="20">
        <v>1970.8246412310471</v>
      </c>
      <c r="Z5" s="20">
        <v>0.86597921271794343</v>
      </c>
      <c r="AA5" s="20">
        <v>0.20403787037369739</v>
      </c>
      <c r="AB5" s="20">
        <v>4.2442082498307494</v>
      </c>
      <c r="AC5" s="20">
        <v>2.1936656346997061E-5</v>
      </c>
      <c r="AD5" s="20">
        <v>6.0937230907743322E-3</v>
      </c>
      <c r="AE5" s="20" t="s">
        <v>3814</v>
      </c>
      <c r="AF5" s="20" t="s">
        <v>3815</v>
      </c>
      <c r="AG5" s="20" t="s">
        <v>3816</v>
      </c>
      <c r="AH5" s="20" t="s">
        <v>176</v>
      </c>
      <c r="AI5" s="20" t="s">
        <v>43</v>
      </c>
      <c r="AJ5" s="20" t="s">
        <v>43</v>
      </c>
      <c r="AK5" s="20" t="s">
        <v>43</v>
      </c>
      <c r="AL5" s="20" t="s">
        <v>43</v>
      </c>
      <c r="AM5" s="20" t="s">
        <v>43</v>
      </c>
      <c r="AN5" s="20" t="s">
        <v>177</v>
      </c>
      <c r="AO5" s="20" t="s">
        <v>43</v>
      </c>
    </row>
    <row r="6" spans="1:41" s="20" customFormat="1" x14ac:dyDescent="0.3">
      <c r="A6" s="20" t="s">
        <v>3817</v>
      </c>
      <c r="B6" s="20">
        <v>1355</v>
      </c>
      <c r="C6" s="20" t="str">
        <f t="shared" si="0"/>
        <v>Up</v>
      </c>
      <c r="D6" s="21" t="str">
        <f t="shared" si="1"/>
        <v>Sig</v>
      </c>
      <c r="E6" s="21" t="str">
        <f t="shared" si="2"/>
        <v>Larger</v>
      </c>
      <c r="F6" s="22" t="str">
        <f t="shared" si="3"/>
        <v>Y</v>
      </c>
      <c r="G6" s="22" t="str">
        <f t="shared" si="4"/>
        <v>Y</v>
      </c>
      <c r="H6" s="22" t="str">
        <f t="shared" si="5"/>
        <v>Expressed</v>
      </c>
      <c r="I6" s="20">
        <v>4958</v>
      </c>
      <c r="J6" s="20">
        <v>78.614993012837601</v>
      </c>
      <c r="K6" s="20">
        <v>4776</v>
      </c>
      <c r="L6" s="20">
        <v>63.049666274406832</v>
      </c>
      <c r="M6" s="20">
        <v>6606</v>
      </c>
      <c r="N6" s="20">
        <v>62.679204977193677</v>
      </c>
      <c r="O6" s="20">
        <v>5102</v>
      </c>
      <c r="P6" s="20">
        <v>82.894186385966179</v>
      </c>
      <c r="Q6" s="20">
        <v>6816</v>
      </c>
      <c r="R6" s="20">
        <v>120.0925076074703</v>
      </c>
      <c r="S6" s="20">
        <v>14720</v>
      </c>
      <c r="T6" s="20">
        <v>95.597962557525349</v>
      </c>
      <c r="U6" s="20">
        <v>14173</v>
      </c>
      <c r="V6" s="20">
        <v>116.86779281022361</v>
      </c>
      <c r="W6" s="20">
        <v>2893</v>
      </c>
      <c r="X6" s="20">
        <v>107.4474529173948</v>
      </c>
      <c r="Y6" s="20">
        <v>6755.3735481099911</v>
      </c>
      <c r="Z6" s="20">
        <v>0.76752589944045246</v>
      </c>
      <c r="AA6" s="20">
        <v>0.17731364266344421</v>
      </c>
      <c r="AB6" s="20">
        <v>4.3286342094797483</v>
      </c>
      <c r="AC6" s="20">
        <v>1.500368909700576E-5</v>
      </c>
      <c r="AD6" s="20">
        <v>4.3530703300112706E-3</v>
      </c>
      <c r="AE6" s="20" t="s">
        <v>3818</v>
      </c>
      <c r="AF6" s="20" t="s">
        <v>3819</v>
      </c>
      <c r="AG6" s="20" t="s">
        <v>3820</v>
      </c>
      <c r="AH6" s="20" t="s">
        <v>3821</v>
      </c>
      <c r="AI6" s="20" t="s">
        <v>43</v>
      </c>
      <c r="AJ6" s="20" t="s">
        <v>43</v>
      </c>
      <c r="AK6" s="20" t="s">
        <v>43</v>
      </c>
      <c r="AL6" s="20" t="s">
        <v>43</v>
      </c>
      <c r="AM6" s="20" t="s">
        <v>43</v>
      </c>
      <c r="AN6" s="20" t="s">
        <v>3822</v>
      </c>
      <c r="AO6" s="20" t="s">
        <v>43</v>
      </c>
    </row>
    <row r="7" spans="1:41" s="20" customFormat="1" x14ac:dyDescent="0.3">
      <c r="A7" s="20" t="s">
        <v>3823</v>
      </c>
      <c r="B7" s="20">
        <v>2242</v>
      </c>
      <c r="C7" s="20" t="str">
        <f t="shared" si="0"/>
        <v>Up</v>
      </c>
      <c r="D7" s="21" t="str">
        <f t="shared" si="1"/>
        <v>Sig</v>
      </c>
      <c r="E7" s="21" t="str">
        <f t="shared" si="2"/>
        <v>Larger</v>
      </c>
      <c r="F7" s="22" t="str">
        <f t="shared" si="3"/>
        <v>N</v>
      </c>
      <c r="G7" s="22" t="str">
        <f t="shared" si="4"/>
        <v>Y</v>
      </c>
      <c r="H7" s="22" t="str">
        <f t="shared" si="5"/>
        <v>Expressed</v>
      </c>
      <c r="I7" s="20">
        <v>9</v>
      </c>
      <c r="J7" s="20">
        <v>8.6247209817737022E-2</v>
      </c>
      <c r="K7" s="20">
        <v>10</v>
      </c>
      <c r="L7" s="20">
        <v>7.9785167476003699E-2</v>
      </c>
      <c r="M7" s="20">
        <v>18</v>
      </c>
      <c r="N7" s="20">
        <v>0.1032193457380373</v>
      </c>
      <c r="O7" s="20">
        <v>12</v>
      </c>
      <c r="P7" s="20">
        <v>0.11783343876234451</v>
      </c>
      <c r="Q7" s="20">
        <v>1258</v>
      </c>
      <c r="R7" s="20">
        <v>13.395861834685681</v>
      </c>
      <c r="S7" s="20">
        <v>1634</v>
      </c>
      <c r="T7" s="20">
        <v>6.4135216567039128</v>
      </c>
      <c r="U7" s="20">
        <v>6676</v>
      </c>
      <c r="V7" s="20">
        <v>33.270020600081423</v>
      </c>
      <c r="W7" s="20">
        <v>1347</v>
      </c>
      <c r="X7" s="20">
        <v>30.235626638392151</v>
      </c>
      <c r="Y7" s="20">
        <v>1310.591209993142</v>
      </c>
      <c r="Z7" s="20">
        <v>7.8656371476735512</v>
      </c>
      <c r="AA7" s="20">
        <v>0.46213698393417718</v>
      </c>
      <c r="AB7" s="20">
        <v>17.020142124772821</v>
      </c>
      <c r="AC7" s="20">
        <v>5.822912219677368E-65</v>
      </c>
      <c r="AD7" s="20">
        <v>1.520478838802154E-60</v>
      </c>
    </row>
    <row r="8" spans="1:41" s="20" customFormat="1" x14ac:dyDescent="0.3">
      <c r="A8" s="20" t="s">
        <v>70</v>
      </c>
      <c r="B8" s="20">
        <v>1121</v>
      </c>
      <c r="C8" s="20" t="str">
        <f t="shared" si="0"/>
        <v>Up</v>
      </c>
      <c r="D8" s="21" t="str">
        <f t="shared" si="1"/>
        <v>Sig</v>
      </c>
      <c r="E8" s="21" t="str">
        <f t="shared" si="2"/>
        <v>Larger</v>
      </c>
      <c r="F8" s="22" t="str">
        <f t="shared" si="3"/>
        <v>Y</v>
      </c>
      <c r="G8" s="22" t="str">
        <f t="shared" si="4"/>
        <v>Y</v>
      </c>
      <c r="H8" s="22" t="str">
        <f t="shared" si="5"/>
        <v>Expressed</v>
      </c>
      <c r="I8" s="20">
        <v>678</v>
      </c>
      <c r="J8" s="20">
        <v>12.99457961253905</v>
      </c>
      <c r="K8" s="20">
        <v>909</v>
      </c>
      <c r="L8" s="20">
        <v>14.504943447137469</v>
      </c>
      <c r="M8" s="20">
        <v>1117</v>
      </c>
      <c r="N8" s="20">
        <v>12.81066768770974</v>
      </c>
      <c r="O8" s="20">
        <v>555</v>
      </c>
      <c r="P8" s="20">
        <v>10.899593085516869</v>
      </c>
      <c r="Q8" s="20">
        <v>2412</v>
      </c>
      <c r="R8" s="20">
        <v>51.368551264327273</v>
      </c>
      <c r="S8" s="20">
        <v>2539</v>
      </c>
      <c r="T8" s="20">
        <v>19.931372688336889</v>
      </c>
      <c r="U8" s="20">
        <v>3958</v>
      </c>
      <c r="V8" s="20">
        <v>39.449593030294267</v>
      </c>
      <c r="W8" s="20">
        <v>1450</v>
      </c>
      <c r="X8" s="20">
        <v>65.095261508045454</v>
      </c>
      <c r="Y8" s="20">
        <v>1714.2188652733801</v>
      </c>
      <c r="Z8" s="20">
        <v>1.8566902228008939</v>
      </c>
      <c r="AA8" s="20">
        <v>0.26178165022444638</v>
      </c>
      <c r="AB8" s="20">
        <v>7.0925147779036646</v>
      </c>
      <c r="AC8" s="20">
        <v>1.316965724075172E-12</v>
      </c>
      <c r="AD8" s="20">
        <v>1.074644030845341E-9</v>
      </c>
      <c r="AE8" s="20" t="s">
        <v>71</v>
      </c>
      <c r="AF8" s="20" t="s">
        <v>72</v>
      </c>
      <c r="AG8" s="20" t="s">
        <v>73</v>
      </c>
      <c r="AH8" s="20" t="s">
        <v>74</v>
      </c>
      <c r="AI8" s="20" t="s">
        <v>43</v>
      </c>
      <c r="AJ8" s="20" t="s">
        <v>43</v>
      </c>
      <c r="AK8" s="20" t="s">
        <v>43</v>
      </c>
      <c r="AL8" s="20" t="s">
        <v>43</v>
      </c>
      <c r="AM8" s="20" t="s">
        <v>43</v>
      </c>
      <c r="AN8" s="20" t="s">
        <v>75</v>
      </c>
      <c r="AO8" s="20" t="s">
        <v>43</v>
      </c>
    </row>
    <row r="9" spans="1:41" s="20" customFormat="1" x14ac:dyDescent="0.3">
      <c r="A9" s="20" t="s">
        <v>3824</v>
      </c>
      <c r="B9" s="20">
        <v>1360</v>
      </c>
      <c r="C9" s="20" t="str">
        <f t="shared" si="0"/>
        <v>Up</v>
      </c>
      <c r="D9" s="21" t="str">
        <f t="shared" si="1"/>
        <v>Sig</v>
      </c>
      <c r="E9" s="21" t="str">
        <f t="shared" si="2"/>
        <v>Larger</v>
      </c>
      <c r="F9" s="22" t="str">
        <f t="shared" si="3"/>
        <v>Y</v>
      </c>
      <c r="G9" s="22" t="str">
        <f t="shared" si="4"/>
        <v>Y</v>
      </c>
      <c r="H9" s="22" t="str">
        <f t="shared" si="5"/>
        <v>Expressed</v>
      </c>
      <c r="I9" s="20">
        <v>749</v>
      </c>
      <c r="J9" s="20">
        <v>11.832623943146521</v>
      </c>
      <c r="K9" s="20">
        <v>992</v>
      </c>
      <c r="L9" s="20">
        <v>13.047596964511079</v>
      </c>
      <c r="M9" s="20">
        <v>1449</v>
      </c>
      <c r="N9" s="20">
        <v>13.69789024863729</v>
      </c>
      <c r="O9" s="20">
        <v>860</v>
      </c>
      <c r="P9" s="20">
        <v>13.92138541338552</v>
      </c>
      <c r="Q9" s="20">
        <v>1148</v>
      </c>
      <c r="R9" s="20">
        <v>20.152484992461979</v>
      </c>
      <c r="S9" s="20">
        <v>2763</v>
      </c>
      <c r="T9" s="20">
        <v>17.878130299434019</v>
      </c>
      <c r="U9" s="20">
        <v>2106</v>
      </c>
      <c r="V9" s="20">
        <v>17.301820756795149</v>
      </c>
      <c r="W9" s="20">
        <v>555</v>
      </c>
      <c r="X9" s="20">
        <v>20.537191898345849</v>
      </c>
      <c r="Y9" s="20">
        <v>1195.070856378107</v>
      </c>
      <c r="Z9" s="20">
        <v>0.66518561247758856</v>
      </c>
      <c r="AA9" s="20">
        <v>0.16915437338680581</v>
      </c>
      <c r="AB9" s="20">
        <v>3.9324174667154881</v>
      </c>
      <c r="AC9" s="20">
        <v>8.4095856899918292E-5</v>
      </c>
      <c r="AD9" s="20">
        <v>1.845303374261064E-2</v>
      </c>
      <c r="AE9" s="20" t="s">
        <v>3825</v>
      </c>
      <c r="AF9" s="20" t="s">
        <v>3826</v>
      </c>
      <c r="AG9" s="20" t="s">
        <v>3827</v>
      </c>
      <c r="AH9" s="20" t="s">
        <v>3828</v>
      </c>
      <c r="AI9" s="20" t="s">
        <v>43</v>
      </c>
      <c r="AJ9" s="20" t="s">
        <v>43</v>
      </c>
      <c r="AK9" s="20" t="s">
        <v>43</v>
      </c>
      <c r="AL9" s="20" t="s">
        <v>43</v>
      </c>
      <c r="AM9" s="20" t="s">
        <v>43</v>
      </c>
      <c r="AN9" s="20" t="s">
        <v>1042</v>
      </c>
      <c r="AO9" s="20" t="s">
        <v>43</v>
      </c>
    </row>
    <row r="10" spans="1:41" s="20" customFormat="1" x14ac:dyDescent="0.3">
      <c r="A10" s="20" t="s">
        <v>82</v>
      </c>
      <c r="B10" s="20">
        <v>1817</v>
      </c>
      <c r="C10" s="20" t="str">
        <f t="shared" si="0"/>
        <v>Up</v>
      </c>
      <c r="D10" s="21" t="str">
        <f t="shared" si="1"/>
        <v>Sig</v>
      </c>
      <c r="E10" s="21" t="str">
        <f t="shared" si="2"/>
        <v>Larger</v>
      </c>
      <c r="F10" s="22" t="str">
        <f t="shared" si="3"/>
        <v>Y</v>
      </c>
      <c r="G10" s="22" t="str">
        <f t="shared" si="4"/>
        <v>Y</v>
      </c>
      <c r="H10" s="22" t="str">
        <f t="shared" si="5"/>
        <v>Expressed</v>
      </c>
      <c r="I10" s="20">
        <v>2729</v>
      </c>
      <c r="J10" s="20">
        <v>32.269093193824922</v>
      </c>
      <c r="K10" s="20">
        <v>2710</v>
      </c>
      <c r="L10" s="20">
        <v>26.679158847223601</v>
      </c>
      <c r="M10" s="20">
        <v>3927</v>
      </c>
      <c r="N10" s="20">
        <v>27.786265368408159</v>
      </c>
      <c r="O10" s="20">
        <v>2667</v>
      </c>
      <c r="P10" s="20">
        <v>32.314020977972177</v>
      </c>
      <c r="Q10" s="20">
        <v>5831</v>
      </c>
      <c r="R10" s="20">
        <v>76.614988517189715</v>
      </c>
      <c r="S10" s="20">
        <v>12656</v>
      </c>
      <c r="T10" s="20">
        <v>61.29452170262045</v>
      </c>
      <c r="U10" s="20">
        <v>10820</v>
      </c>
      <c r="V10" s="20">
        <v>66.534160803865163</v>
      </c>
      <c r="W10" s="20">
        <v>2720</v>
      </c>
      <c r="X10" s="20">
        <v>75.335723443118269</v>
      </c>
      <c r="Y10" s="20">
        <v>4991.3280128379956</v>
      </c>
      <c r="Z10" s="20">
        <v>1.3749370465934889</v>
      </c>
      <c r="AA10" s="20">
        <v>0.13552391382406159</v>
      </c>
      <c r="AB10" s="20">
        <v>10.14534636579671</v>
      </c>
      <c r="AC10" s="20">
        <v>3.4754333986855837E-24</v>
      </c>
      <c r="AD10" s="20">
        <v>7.5625430755398301E-21</v>
      </c>
      <c r="AE10" s="20" t="s">
        <v>83</v>
      </c>
      <c r="AF10" s="20" t="s">
        <v>84</v>
      </c>
      <c r="AG10" s="20" t="s">
        <v>85</v>
      </c>
      <c r="AH10" s="20" t="s">
        <v>86</v>
      </c>
      <c r="AI10" s="20" t="s">
        <v>43</v>
      </c>
      <c r="AJ10" s="20" t="s">
        <v>43</v>
      </c>
      <c r="AK10" s="20" t="s">
        <v>43</v>
      </c>
      <c r="AL10" s="20" t="s">
        <v>43</v>
      </c>
      <c r="AM10" s="20" t="s">
        <v>43</v>
      </c>
      <c r="AN10" s="20" t="s">
        <v>87</v>
      </c>
      <c r="AO10" s="20" t="s">
        <v>43</v>
      </c>
    </row>
    <row r="11" spans="1:41" s="20" customFormat="1" x14ac:dyDescent="0.3">
      <c r="A11" s="20" t="s">
        <v>3829</v>
      </c>
      <c r="B11" s="20">
        <v>2695</v>
      </c>
      <c r="C11" s="20" t="str">
        <f t="shared" si="0"/>
        <v>Up</v>
      </c>
      <c r="D11" s="21" t="str">
        <f t="shared" si="1"/>
        <v>Sig</v>
      </c>
      <c r="E11" s="21" t="str">
        <f t="shared" si="2"/>
        <v>Larger</v>
      </c>
      <c r="F11" s="22" t="str">
        <f t="shared" si="3"/>
        <v>N</v>
      </c>
      <c r="G11" s="22" t="str">
        <f t="shared" si="4"/>
        <v>Y</v>
      </c>
      <c r="H11" s="22" t="str">
        <f t="shared" si="5"/>
        <v>Expressed</v>
      </c>
      <c r="I11" s="20">
        <v>261</v>
      </c>
      <c r="J11" s="20">
        <v>2.08074993986257</v>
      </c>
      <c r="K11" s="20">
        <v>129</v>
      </c>
      <c r="L11" s="20">
        <v>0.85622658875973423</v>
      </c>
      <c r="M11" s="20">
        <v>302</v>
      </c>
      <c r="N11" s="20">
        <v>1.440696093376485</v>
      </c>
      <c r="O11" s="20">
        <v>343</v>
      </c>
      <c r="P11" s="20">
        <v>2.801936345357932</v>
      </c>
      <c r="Q11" s="20">
        <v>571</v>
      </c>
      <c r="R11" s="20">
        <v>5.0582811587293142</v>
      </c>
      <c r="S11" s="20">
        <v>2739</v>
      </c>
      <c r="T11" s="20">
        <v>8.9436209452906681</v>
      </c>
      <c r="U11" s="20">
        <v>2567</v>
      </c>
      <c r="V11" s="20">
        <v>10.642396841335509</v>
      </c>
      <c r="W11" s="20">
        <v>445</v>
      </c>
      <c r="X11" s="20">
        <v>8.309755160125631</v>
      </c>
      <c r="Y11" s="20">
        <v>771.37256780339089</v>
      </c>
      <c r="Z11" s="20">
        <v>2.3947310581240271</v>
      </c>
      <c r="AA11" s="20">
        <v>0.36604710462678802</v>
      </c>
      <c r="AB11" s="20">
        <v>6.5421390522010308</v>
      </c>
      <c r="AC11" s="20">
        <v>6.0645073743907589E-11</v>
      </c>
      <c r="AD11" s="20">
        <v>4.3987893488914298E-8</v>
      </c>
      <c r="AE11" s="20" t="s">
        <v>3830</v>
      </c>
      <c r="AF11" s="20" t="s">
        <v>3831</v>
      </c>
      <c r="AG11" s="20" t="s">
        <v>3832</v>
      </c>
      <c r="AH11" s="20" t="s">
        <v>3833</v>
      </c>
      <c r="AI11" s="20" t="s">
        <v>1015</v>
      </c>
      <c r="AJ11" s="20" t="s">
        <v>3834</v>
      </c>
      <c r="AL11" s="20" t="s">
        <v>1493</v>
      </c>
      <c r="AM11" s="20" t="s">
        <v>3835</v>
      </c>
      <c r="AN11" s="20" t="s">
        <v>3836</v>
      </c>
      <c r="AO11" s="20" t="s">
        <v>3837</v>
      </c>
    </row>
    <row r="12" spans="1:41" s="20" customFormat="1" x14ac:dyDescent="0.3">
      <c r="A12" s="20" t="s">
        <v>3838</v>
      </c>
      <c r="B12" s="20">
        <v>1015</v>
      </c>
      <c r="C12" s="20" t="str">
        <f t="shared" si="0"/>
        <v>Up</v>
      </c>
      <c r="D12" s="21" t="str">
        <f t="shared" si="1"/>
        <v>Sig</v>
      </c>
      <c r="E12" s="21" t="str">
        <f t="shared" si="2"/>
        <v>Larger</v>
      </c>
      <c r="F12" s="22" t="str">
        <f t="shared" si="3"/>
        <v>Y</v>
      </c>
      <c r="G12" s="22" t="str">
        <f t="shared" si="4"/>
        <v>Y</v>
      </c>
      <c r="H12" s="22" t="str">
        <f t="shared" si="5"/>
        <v>Expressed</v>
      </c>
      <c r="I12" s="20">
        <v>286</v>
      </c>
      <c r="J12" s="20">
        <v>6.0539404380570101</v>
      </c>
      <c r="K12" s="20">
        <v>543</v>
      </c>
      <c r="L12" s="20">
        <v>9.5695508961863798</v>
      </c>
      <c r="M12" s="20">
        <v>1002</v>
      </c>
      <c r="N12" s="20">
        <v>12.69187787033219</v>
      </c>
      <c r="O12" s="20">
        <v>564</v>
      </c>
      <c r="P12" s="20">
        <v>12.23308450851556</v>
      </c>
      <c r="Q12" s="20">
        <v>1106</v>
      </c>
      <c r="R12" s="20">
        <v>26.014453773760849</v>
      </c>
      <c r="S12" s="20">
        <v>1644</v>
      </c>
      <c r="T12" s="20">
        <v>14.25331530790818</v>
      </c>
      <c r="U12" s="20">
        <v>1315</v>
      </c>
      <c r="V12" s="20">
        <v>14.475449567715261</v>
      </c>
      <c r="W12" s="20">
        <v>515</v>
      </c>
      <c r="X12" s="20">
        <v>25.534547917456951</v>
      </c>
      <c r="Y12" s="20">
        <v>832.32082799307864</v>
      </c>
      <c r="Z12" s="20">
        <v>1.059833917558578</v>
      </c>
      <c r="AA12" s="20">
        <v>0.28730808038444539</v>
      </c>
      <c r="AB12" s="20">
        <v>3.6888413167510619</v>
      </c>
      <c r="AC12" s="20">
        <v>2.2527766285509529E-4</v>
      </c>
      <c r="AD12" s="20">
        <v>3.9921140332635427E-2</v>
      </c>
      <c r="AE12" s="20" t="s">
        <v>3839</v>
      </c>
      <c r="AF12" s="20" t="s">
        <v>3840</v>
      </c>
      <c r="AG12" s="20" t="s">
        <v>3841</v>
      </c>
      <c r="AH12" s="20" t="s">
        <v>3842</v>
      </c>
      <c r="AI12" s="20" t="s">
        <v>43</v>
      </c>
      <c r="AJ12" s="20" t="s">
        <v>43</v>
      </c>
      <c r="AK12" s="20" t="s">
        <v>43</v>
      </c>
      <c r="AL12" s="20" t="s">
        <v>43</v>
      </c>
      <c r="AM12" s="20" t="s">
        <v>43</v>
      </c>
      <c r="AN12" s="20" t="s">
        <v>1850</v>
      </c>
      <c r="AO12" s="20" t="s">
        <v>43</v>
      </c>
    </row>
    <row r="13" spans="1:41" s="20" customFormat="1" x14ac:dyDescent="0.3">
      <c r="A13" s="20" t="s">
        <v>117</v>
      </c>
      <c r="B13" s="20">
        <v>635</v>
      </c>
      <c r="C13" s="20" t="str">
        <f t="shared" si="0"/>
        <v>Up</v>
      </c>
      <c r="D13" s="21" t="str">
        <f t="shared" si="1"/>
        <v>Sig</v>
      </c>
      <c r="E13" s="21" t="str">
        <f t="shared" si="2"/>
        <v>Larger</v>
      </c>
      <c r="F13" s="22" t="str">
        <f t="shared" si="3"/>
        <v>Y</v>
      </c>
      <c r="G13" s="22" t="str">
        <f t="shared" si="4"/>
        <v>Y</v>
      </c>
      <c r="H13" s="22" t="str">
        <f t="shared" si="5"/>
        <v>Expressed</v>
      </c>
      <c r="I13" s="20">
        <v>277</v>
      </c>
      <c r="J13" s="20">
        <v>9.3722571656952738</v>
      </c>
      <c r="K13" s="20">
        <v>456</v>
      </c>
      <c r="L13" s="20">
        <v>12.8454370928232</v>
      </c>
      <c r="M13" s="20">
        <v>806</v>
      </c>
      <c r="N13" s="20">
        <v>16.31869861370182</v>
      </c>
      <c r="O13" s="20">
        <v>1166</v>
      </c>
      <c r="P13" s="20">
        <v>40.424786912891832</v>
      </c>
      <c r="Q13" s="20">
        <v>3836</v>
      </c>
      <c r="R13" s="20">
        <v>144.2216632915505</v>
      </c>
      <c r="S13" s="20">
        <v>7532</v>
      </c>
      <c r="T13" s="20">
        <v>104.37985943890639</v>
      </c>
      <c r="U13" s="20">
        <v>9113</v>
      </c>
      <c r="V13" s="20">
        <v>160.34668840962601</v>
      </c>
      <c r="W13" s="20">
        <v>2382</v>
      </c>
      <c r="X13" s="20">
        <v>188.77958118331381</v>
      </c>
      <c r="Y13" s="20">
        <v>2994.0619280897658</v>
      </c>
      <c r="Z13" s="20">
        <v>3.0077333286905681</v>
      </c>
      <c r="AA13" s="20">
        <v>0.4033520937180925</v>
      </c>
      <c r="AB13" s="20">
        <v>7.4568432283698707</v>
      </c>
      <c r="AC13" s="20">
        <v>8.8620042343076161E-14</v>
      </c>
      <c r="AD13" s="20">
        <v>7.9794708471117403E-11</v>
      </c>
      <c r="AE13" s="20" t="s">
        <v>118</v>
      </c>
      <c r="AF13" s="20" t="s">
        <v>119</v>
      </c>
      <c r="AG13" s="20" t="s">
        <v>120</v>
      </c>
      <c r="AH13" s="20" t="s">
        <v>43</v>
      </c>
      <c r="AI13" s="20" t="s">
        <v>43</v>
      </c>
      <c r="AJ13" s="20" t="s">
        <v>43</v>
      </c>
      <c r="AK13" s="20" t="s">
        <v>43</v>
      </c>
      <c r="AL13" s="20" t="s">
        <v>43</v>
      </c>
      <c r="AM13" s="20" t="s">
        <v>43</v>
      </c>
      <c r="AN13" s="20" t="s">
        <v>43</v>
      </c>
      <c r="AO13" s="20" t="s">
        <v>43</v>
      </c>
    </row>
    <row r="14" spans="1:41" s="20" customFormat="1" x14ac:dyDescent="0.3">
      <c r="A14" s="20" t="s">
        <v>3843</v>
      </c>
      <c r="B14" s="20">
        <v>1520</v>
      </c>
      <c r="C14" s="20" t="str">
        <f t="shared" si="0"/>
        <v>Up</v>
      </c>
      <c r="D14" s="21" t="str">
        <f t="shared" si="1"/>
        <v>Sig</v>
      </c>
      <c r="E14" s="21" t="str">
        <f t="shared" si="2"/>
        <v>Larger</v>
      </c>
      <c r="F14" s="22" t="str">
        <f t="shared" si="3"/>
        <v>Y</v>
      </c>
      <c r="G14" s="22" t="str">
        <f t="shared" si="4"/>
        <v>Y</v>
      </c>
      <c r="H14" s="22" t="str">
        <f t="shared" si="5"/>
        <v>Expressed</v>
      </c>
      <c r="I14" s="20">
        <v>221</v>
      </c>
      <c r="J14" s="20">
        <v>3.1238260244818701</v>
      </c>
      <c r="K14" s="20">
        <v>226</v>
      </c>
      <c r="L14" s="20">
        <v>2.659638557812583</v>
      </c>
      <c r="M14" s="20">
        <v>291</v>
      </c>
      <c r="N14" s="20">
        <v>2.461351315244948</v>
      </c>
      <c r="O14" s="20">
        <v>545</v>
      </c>
      <c r="P14" s="20">
        <v>7.8936129654233094</v>
      </c>
      <c r="Q14" s="20">
        <v>4932</v>
      </c>
      <c r="R14" s="20">
        <v>77.464925348798019</v>
      </c>
      <c r="S14" s="20">
        <v>10151</v>
      </c>
      <c r="T14" s="20">
        <v>58.768602232173862</v>
      </c>
      <c r="U14" s="20">
        <v>13652</v>
      </c>
      <c r="V14" s="20">
        <v>100.3517710931186</v>
      </c>
      <c r="W14" s="20">
        <v>3028</v>
      </c>
      <c r="X14" s="20">
        <v>100.2534367149598</v>
      </c>
      <c r="Y14" s="20">
        <v>3778.5008369851289</v>
      </c>
      <c r="Z14" s="20">
        <v>4.4998082232416516</v>
      </c>
      <c r="AA14" s="20">
        <v>0.36942475552940862</v>
      </c>
      <c r="AB14" s="20">
        <v>12.180581176248319</v>
      </c>
      <c r="AC14" s="20">
        <v>3.9446090126471946E-34</v>
      </c>
      <c r="AD14" s="20">
        <v>2.575040763456089E-30</v>
      </c>
      <c r="AE14" s="20" t="s">
        <v>3844</v>
      </c>
      <c r="AF14" s="20" t="s">
        <v>3845</v>
      </c>
      <c r="AG14" s="20" t="s">
        <v>3846</v>
      </c>
      <c r="AH14" s="20" t="s">
        <v>3847</v>
      </c>
      <c r="AI14" s="20" t="s">
        <v>43</v>
      </c>
      <c r="AJ14" s="20" t="s">
        <v>43</v>
      </c>
      <c r="AK14" s="20" t="s">
        <v>43</v>
      </c>
      <c r="AL14" s="20" t="s">
        <v>43</v>
      </c>
      <c r="AM14" s="20" t="s">
        <v>43</v>
      </c>
      <c r="AN14" s="20" t="s">
        <v>3848</v>
      </c>
      <c r="AO14" s="20" t="s">
        <v>43</v>
      </c>
    </row>
    <row r="15" spans="1:41" s="20" customFormat="1" x14ac:dyDescent="0.3">
      <c r="A15" s="20" t="s">
        <v>3849</v>
      </c>
      <c r="B15" s="20">
        <v>1967</v>
      </c>
      <c r="C15" s="20" t="str">
        <f t="shared" si="0"/>
        <v>Up</v>
      </c>
      <c r="D15" s="21" t="str">
        <f t="shared" si="1"/>
        <v>Sig</v>
      </c>
      <c r="E15" s="21" t="str">
        <f t="shared" si="2"/>
        <v>Larger</v>
      </c>
      <c r="F15" s="22" t="str">
        <f t="shared" si="3"/>
        <v>Y</v>
      </c>
      <c r="G15" s="22" t="str">
        <f t="shared" si="4"/>
        <v>Y</v>
      </c>
      <c r="H15" s="22" t="str">
        <f t="shared" si="5"/>
        <v>Expressed</v>
      </c>
      <c r="I15" s="20">
        <v>6007</v>
      </c>
      <c r="J15" s="20">
        <v>65.613231100891255</v>
      </c>
      <c r="K15" s="20">
        <v>4821</v>
      </c>
      <c r="L15" s="20">
        <v>43.8420184832164</v>
      </c>
      <c r="M15" s="20">
        <v>7811</v>
      </c>
      <c r="N15" s="20">
        <v>51.053613117355617</v>
      </c>
      <c r="O15" s="20">
        <v>6379</v>
      </c>
      <c r="P15" s="20">
        <v>71.395552116137964</v>
      </c>
      <c r="Q15" s="20">
        <v>11445</v>
      </c>
      <c r="R15" s="20">
        <v>138.91113627673209</v>
      </c>
      <c r="S15" s="20">
        <v>23892</v>
      </c>
      <c r="T15" s="20">
        <v>106.88783185226259</v>
      </c>
      <c r="U15" s="20">
        <v>15831</v>
      </c>
      <c r="V15" s="20">
        <v>89.924149507983515</v>
      </c>
      <c r="W15" s="20">
        <v>5844</v>
      </c>
      <c r="X15" s="20">
        <v>149.51777779977661</v>
      </c>
      <c r="Y15" s="20">
        <v>9593.3229254926755</v>
      </c>
      <c r="Z15" s="20">
        <v>1.1917498655703449</v>
      </c>
      <c r="AA15" s="20">
        <v>0.18605943031223221</v>
      </c>
      <c r="AB15" s="20">
        <v>6.4052107628752371</v>
      </c>
      <c r="AC15" s="20">
        <v>1.5016179999906041E-10</v>
      </c>
      <c r="AD15" s="20">
        <v>9.7573183182642894E-8</v>
      </c>
      <c r="AE15" s="20" t="s">
        <v>3850</v>
      </c>
      <c r="AF15" s="20" t="s">
        <v>3851</v>
      </c>
      <c r="AG15" s="20" t="s">
        <v>55</v>
      </c>
      <c r="AH15" s="20" t="s">
        <v>3852</v>
      </c>
      <c r="AI15" s="20" t="s">
        <v>43</v>
      </c>
      <c r="AJ15" s="20" t="s">
        <v>43</v>
      </c>
      <c r="AK15" s="20" t="s">
        <v>43</v>
      </c>
      <c r="AL15" s="20" t="s">
        <v>43</v>
      </c>
      <c r="AM15" s="20" t="s">
        <v>43</v>
      </c>
      <c r="AN15" s="20" t="s">
        <v>3853</v>
      </c>
      <c r="AO15" s="20" t="s">
        <v>43</v>
      </c>
    </row>
    <row r="16" spans="1:41" s="20" customFormat="1" x14ac:dyDescent="0.3">
      <c r="A16" s="20" t="s">
        <v>3854</v>
      </c>
      <c r="B16" s="20">
        <v>770</v>
      </c>
      <c r="C16" s="20" t="str">
        <f t="shared" si="0"/>
        <v>Up</v>
      </c>
      <c r="D16" s="21" t="str">
        <f t="shared" si="1"/>
        <v>Sig</v>
      </c>
      <c r="E16" s="21" t="str">
        <f t="shared" si="2"/>
        <v>Larger</v>
      </c>
      <c r="F16" s="22" t="str">
        <f t="shared" si="3"/>
        <v>Y</v>
      </c>
      <c r="G16" s="22" t="str">
        <f t="shared" si="4"/>
        <v>Y</v>
      </c>
      <c r="H16" s="22" t="str">
        <f t="shared" si="5"/>
        <v>Expressed</v>
      </c>
      <c r="I16" s="20">
        <v>94</v>
      </c>
      <c r="J16" s="20">
        <v>2.622861035305692</v>
      </c>
      <c r="K16" s="20">
        <v>185</v>
      </c>
      <c r="L16" s="20">
        <v>4.2977264823405266</v>
      </c>
      <c r="M16" s="20">
        <v>216</v>
      </c>
      <c r="N16" s="20">
        <v>3.606510750306696</v>
      </c>
      <c r="O16" s="20">
        <v>112</v>
      </c>
      <c r="P16" s="20">
        <v>3.2022129661233509</v>
      </c>
      <c r="Q16" s="20">
        <v>575</v>
      </c>
      <c r="R16" s="20">
        <v>17.82800495961952</v>
      </c>
      <c r="S16" s="20">
        <v>280</v>
      </c>
      <c r="T16" s="20">
        <v>3.1999812071503668</v>
      </c>
      <c r="U16" s="20">
        <v>722</v>
      </c>
      <c r="V16" s="20">
        <v>10.476562843028759</v>
      </c>
      <c r="W16" s="20">
        <v>292</v>
      </c>
      <c r="X16" s="20">
        <v>19.084426457636841</v>
      </c>
      <c r="Y16" s="20">
        <v>330.30323610791248</v>
      </c>
      <c r="Z16" s="20">
        <v>1.913939289620139</v>
      </c>
      <c r="AA16" s="20">
        <v>0.4054858784492984</v>
      </c>
      <c r="AB16" s="20">
        <v>4.720113304413033</v>
      </c>
      <c r="AC16" s="20">
        <v>2.3571330915300852E-6</v>
      </c>
      <c r="AD16" s="20">
        <v>8.6689379276103649E-4</v>
      </c>
      <c r="AE16" s="20" t="s">
        <v>3855</v>
      </c>
      <c r="AF16" s="20" t="s">
        <v>3856</v>
      </c>
      <c r="AG16" s="20" t="s">
        <v>43</v>
      </c>
      <c r="AH16" s="20" t="s">
        <v>43</v>
      </c>
      <c r="AI16" s="20" t="s">
        <v>43</v>
      </c>
      <c r="AJ16" s="20" t="s">
        <v>43</v>
      </c>
      <c r="AK16" s="20" t="s">
        <v>43</v>
      </c>
      <c r="AL16" s="20" t="s">
        <v>43</v>
      </c>
      <c r="AM16" s="20" t="s">
        <v>43</v>
      </c>
      <c r="AN16" s="20" t="s">
        <v>43</v>
      </c>
      <c r="AO16" s="20" t="s">
        <v>43</v>
      </c>
    </row>
    <row r="17" spans="1:41" s="20" customFormat="1" x14ac:dyDescent="0.3">
      <c r="A17" s="20" t="s">
        <v>3857</v>
      </c>
      <c r="B17" s="20">
        <v>2229</v>
      </c>
      <c r="C17" s="20" t="str">
        <f t="shared" si="0"/>
        <v>Up</v>
      </c>
      <c r="D17" s="21" t="str">
        <f t="shared" si="1"/>
        <v>Sig</v>
      </c>
      <c r="E17" s="21" t="str">
        <f t="shared" si="2"/>
        <v>Larger</v>
      </c>
      <c r="F17" s="22" t="str">
        <f t="shared" si="3"/>
        <v>Y</v>
      </c>
      <c r="G17" s="22" t="str">
        <f t="shared" si="4"/>
        <v>Y</v>
      </c>
      <c r="H17" s="22" t="str">
        <f t="shared" si="5"/>
        <v>Expressed</v>
      </c>
      <c r="I17" s="20">
        <v>740</v>
      </c>
      <c r="J17" s="20">
        <v>7.1327960153736676</v>
      </c>
      <c r="K17" s="20">
        <v>539</v>
      </c>
      <c r="L17" s="20">
        <v>4.3255014901017024</v>
      </c>
      <c r="M17" s="20">
        <v>1998</v>
      </c>
      <c r="N17" s="20">
        <v>11.52416905296521</v>
      </c>
      <c r="O17" s="20">
        <v>639</v>
      </c>
      <c r="P17" s="20">
        <v>6.3112255885153186</v>
      </c>
      <c r="Q17" s="20">
        <v>2881</v>
      </c>
      <c r="R17" s="20">
        <v>30.857363498758382</v>
      </c>
      <c r="S17" s="20">
        <v>2263</v>
      </c>
      <c r="T17" s="20">
        <v>8.9341781280388144</v>
      </c>
      <c r="U17" s="20">
        <v>2614</v>
      </c>
      <c r="V17" s="20">
        <v>13.10291322220157</v>
      </c>
      <c r="W17" s="20">
        <v>1358</v>
      </c>
      <c r="X17" s="20">
        <v>30.660320325615238</v>
      </c>
      <c r="Y17" s="20">
        <v>1668.2691065513591</v>
      </c>
      <c r="Z17" s="20">
        <v>1.5853449182064561</v>
      </c>
      <c r="AA17" s="20">
        <v>0.35276621287260362</v>
      </c>
      <c r="AB17" s="20">
        <v>4.4940384321300639</v>
      </c>
      <c r="AC17" s="20">
        <v>6.9885007266581636E-6</v>
      </c>
      <c r="AD17" s="20">
        <v>2.3395350124935641E-3</v>
      </c>
      <c r="AE17" s="20" t="s">
        <v>3858</v>
      </c>
      <c r="AF17" s="20" t="s">
        <v>3859</v>
      </c>
      <c r="AG17" s="20" t="s">
        <v>3860</v>
      </c>
      <c r="AH17" s="20" t="s">
        <v>3861</v>
      </c>
      <c r="AI17" s="20" t="s">
        <v>43</v>
      </c>
      <c r="AJ17" s="20" t="s">
        <v>43</v>
      </c>
      <c r="AK17" s="20" t="s">
        <v>43</v>
      </c>
      <c r="AL17" s="20" t="s">
        <v>43</v>
      </c>
      <c r="AM17" s="20" t="s">
        <v>43</v>
      </c>
      <c r="AN17" s="20" t="s">
        <v>3862</v>
      </c>
      <c r="AO17" s="20" t="s">
        <v>43</v>
      </c>
    </row>
    <row r="18" spans="1:41" s="20" customFormat="1" x14ac:dyDescent="0.3">
      <c r="A18" s="20" t="s">
        <v>3863</v>
      </c>
      <c r="B18" s="20">
        <v>4998</v>
      </c>
      <c r="C18" s="20" t="str">
        <f t="shared" si="0"/>
        <v>Up</v>
      </c>
      <c r="D18" s="21" t="str">
        <f t="shared" si="1"/>
        <v>Sig</v>
      </c>
      <c r="E18" s="21" t="str">
        <f t="shared" si="2"/>
        <v>Larger</v>
      </c>
      <c r="F18" s="22" t="str">
        <f t="shared" si="3"/>
        <v>N</v>
      </c>
      <c r="G18" s="22" t="str">
        <f t="shared" si="4"/>
        <v>Y</v>
      </c>
      <c r="H18" s="22" t="str">
        <f t="shared" si="5"/>
        <v>Expressed</v>
      </c>
      <c r="I18" s="20">
        <v>857</v>
      </c>
      <c r="J18" s="20">
        <v>3.6840263096469918</v>
      </c>
      <c r="K18" s="20">
        <v>384</v>
      </c>
      <c r="L18" s="20">
        <v>1.3743354274666051</v>
      </c>
      <c r="M18" s="20">
        <v>1014</v>
      </c>
      <c r="N18" s="20">
        <v>2.6083502508637371</v>
      </c>
      <c r="O18" s="20">
        <v>387</v>
      </c>
      <c r="P18" s="20">
        <v>1.704659438373737</v>
      </c>
      <c r="Q18" s="20">
        <v>2098</v>
      </c>
      <c r="R18" s="20">
        <v>10.02154910383873</v>
      </c>
      <c r="S18" s="20">
        <v>4696</v>
      </c>
      <c r="T18" s="20">
        <v>8.2682187493276977</v>
      </c>
      <c r="U18" s="20">
        <v>5909</v>
      </c>
      <c r="V18" s="20">
        <v>13.20961281365229</v>
      </c>
      <c r="W18" s="20">
        <v>1995</v>
      </c>
      <c r="X18" s="20">
        <v>20.087858227468271</v>
      </c>
      <c r="Y18" s="20">
        <v>2076.406711101436</v>
      </c>
      <c r="Z18" s="20">
        <v>2.610382422319784</v>
      </c>
      <c r="AA18" s="20">
        <v>0.28452660419623133</v>
      </c>
      <c r="AB18" s="20">
        <v>9.1744757215021799</v>
      </c>
      <c r="AC18" s="20">
        <v>4.537771690981804E-20</v>
      </c>
      <c r="AD18" s="20">
        <v>6.5827941330509372E-17</v>
      </c>
      <c r="AE18" s="20" t="s">
        <v>3864</v>
      </c>
      <c r="AF18" s="20" t="s">
        <v>3865</v>
      </c>
      <c r="AG18" s="20" t="s">
        <v>3866</v>
      </c>
      <c r="AH18" s="20" t="s">
        <v>3867</v>
      </c>
      <c r="AI18" s="20" t="s">
        <v>43</v>
      </c>
      <c r="AJ18" s="20" t="s">
        <v>43</v>
      </c>
      <c r="AK18" s="20" t="s">
        <v>43</v>
      </c>
      <c r="AL18" s="20" t="s">
        <v>43</v>
      </c>
      <c r="AM18" s="20" t="s">
        <v>43</v>
      </c>
      <c r="AN18" s="20" t="s">
        <v>3868</v>
      </c>
      <c r="AO18" s="20" t="s">
        <v>43</v>
      </c>
    </row>
    <row r="19" spans="1:41" s="20" customFormat="1" x14ac:dyDescent="0.3">
      <c r="A19" s="20" t="s">
        <v>3869</v>
      </c>
      <c r="B19" s="20">
        <v>3783</v>
      </c>
      <c r="C19" s="20" t="str">
        <f t="shared" si="0"/>
        <v>Up</v>
      </c>
      <c r="D19" s="21" t="str">
        <f t="shared" si="1"/>
        <v>Sig</v>
      </c>
      <c r="E19" s="21" t="str">
        <f t="shared" si="2"/>
        <v>Larger</v>
      </c>
      <c r="F19" s="22" t="str">
        <f t="shared" si="3"/>
        <v>Y</v>
      </c>
      <c r="G19" s="22" t="str">
        <f t="shared" si="4"/>
        <v>Y</v>
      </c>
      <c r="H19" s="22" t="str">
        <f t="shared" si="5"/>
        <v>Expressed</v>
      </c>
      <c r="I19" s="20">
        <v>4273</v>
      </c>
      <c r="J19" s="20">
        <v>24.268040131869729</v>
      </c>
      <c r="K19" s="20">
        <v>6919</v>
      </c>
      <c r="L19" s="20">
        <v>32.716343441301213</v>
      </c>
      <c r="M19" s="20">
        <v>3634</v>
      </c>
      <c r="N19" s="20">
        <v>12.350165765086</v>
      </c>
      <c r="O19" s="20">
        <v>4405</v>
      </c>
      <c r="P19" s="20">
        <v>25.634950646561421</v>
      </c>
      <c r="Q19" s="20">
        <v>15678</v>
      </c>
      <c r="R19" s="20">
        <v>98.941831558953396</v>
      </c>
      <c r="S19" s="20">
        <v>29484</v>
      </c>
      <c r="T19" s="20">
        <v>68.585164223356827</v>
      </c>
      <c r="U19" s="20">
        <v>25905</v>
      </c>
      <c r="V19" s="20">
        <v>76.510247237227702</v>
      </c>
      <c r="W19" s="20">
        <v>3797</v>
      </c>
      <c r="X19" s="20">
        <v>50.511613590294232</v>
      </c>
      <c r="Y19" s="20">
        <v>10373.1466708723</v>
      </c>
      <c r="Z19" s="20">
        <v>1.7794931876493421</v>
      </c>
      <c r="AA19" s="20">
        <v>0.33043538079274642</v>
      </c>
      <c r="AB19" s="20">
        <v>5.3852985820712238</v>
      </c>
      <c r="AC19" s="20">
        <v>7.2324485568799689E-8</v>
      </c>
      <c r="AD19" s="20">
        <v>3.6318018599471098E-5</v>
      </c>
      <c r="AE19" s="20" t="s">
        <v>3870</v>
      </c>
      <c r="AF19" s="20" t="s">
        <v>3871</v>
      </c>
      <c r="AG19" s="20" t="s">
        <v>3872</v>
      </c>
      <c r="AH19" s="20" t="s">
        <v>3873</v>
      </c>
      <c r="AI19" s="20" t="s">
        <v>43</v>
      </c>
      <c r="AJ19" s="20" t="s">
        <v>43</v>
      </c>
      <c r="AK19" s="20" t="s">
        <v>43</v>
      </c>
      <c r="AL19" s="20" t="s">
        <v>43</v>
      </c>
      <c r="AM19" s="20" t="s">
        <v>43</v>
      </c>
      <c r="AN19" s="20" t="s">
        <v>3874</v>
      </c>
      <c r="AO19" s="20" t="s">
        <v>43</v>
      </c>
    </row>
    <row r="20" spans="1:41" s="20" customFormat="1" x14ac:dyDescent="0.3">
      <c r="A20" s="20" t="s">
        <v>3875</v>
      </c>
      <c r="B20" s="20">
        <v>1297</v>
      </c>
      <c r="C20" s="20" t="str">
        <f t="shared" si="0"/>
        <v>Up</v>
      </c>
      <c r="D20" s="21" t="str">
        <f t="shared" si="1"/>
        <v>Sig</v>
      </c>
      <c r="E20" s="21" t="str">
        <f t="shared" si="2"/>
        <v>Larger</v>
      </c>
      <c r="F20" s="22" t="str">
        <f t="shared" si="3"/>
        <v>Y</v>
      </c>
      <c r="G20" s="22" t="str">
        <f t="shared" si="4"/>
        <v>Y</v>
      </c>
      <c r="H20" s="22" t="str">
        <f t="shared" si="5"/>
        <v>Expressed</v>
      </c>
      <c r="I20" s="20">
        <v>1848</v>
      </c>
      <c r="J20" s="20">
        <v>30.612594848985271</v>
      </c>
      <c r="K20" s="20">
        <v>1648</v>
      </c>
      <c r="L20" s="20">
        <v>22.728721152892678</v>
      </c>
      <c r="M20" s="20">
        <v>3026</v>
      </c>
      <c r="N20" s="20">
        <v>29.995296047965422</v>
      </c>
      <c r="O20" s="20">
        <v>1848</v>
      </c>
      <c r="P20" s="20">
        <v>31.367861013567591</v>
      </c>
      <c r="Q20" s="20">
        <v>2691</v>
      </c>
      <c r="R20" s="20">
        <v>49.533537912478707</v>
      </c>
      <c r="S20" s="20">
        <v>5520</v>
      </c>
      <c r="T20" s="20">
        <v>37.452362933340453</v>
      </c>
      <c r="U20" s="20">
        <v>4163</v>
      </c>
      <c r="V20" s="20">
        <v>35.862353309423959</v>
      </c>
      <c r="W20" s="20">
        <v>1293</v>
      </c>
      <c r="X20" s="20">
        <v>50.170165676027437</v>
      </c>
      <c r="Y20" s="20">
        <v>2530.5644390308821</v>
      </c>
      <c r="Z20" s="20">
        <v>0.72514492203908554</v>
      </c>
      <c r="AA20" s="20">
        <v>0.14574034402941899</v>
      </c>
      <c r="AB20" s="20">
        <v>4.9755949656102683</v>
      </c>
      <c r="AC20" s="20">
        <v>6.504753424759047E-7</v>
      </c>
      <c r="AD20" s="20">
        <v>2.7395503456017459E-4</v>
      </c>
      <c r="AE20" s="20" t="s">
        <v>3876</v>
      </c>
      <c r="AF20" s="20" t="s">
        <v>3877</v>
      </c>
      <c r="AG20" s="20" t="s">
        <v>3878</v>
      </c>
      <c r="AH20" s="20" t="s">
        <v>3879</v>
      </c>
      <c r="AI20" s="20" t="s">
        <v>43</v>
      </c>
      <c r="AJ20" s="20" t="s">
        <v>43</v>
      </c>
      <c r="AK20" s="20" t="s">
        <v>43</v>
      </c>
      <c r="AL20" s="20" t="s">
        <v>43</v>
      </c>
      <c r="AM20" s="20" t="s">
        <v>43</v>
      </c>
      <c r="AN20" s="20" t="s">
        <v>3880</v>
      </c>
      <c r="AO20" s="20" t="s">
        <v>43</v>
      </c>
    </row>
    <row r="21" spans="1:41" s="20" customFormat="1" x14ac:dyDescent="0.3">
      <c r="A21" s="20" t="s">
        <v>3881</v>
      </c>
      <c r="B21" s="20">
        <v>1568</v>
      </c>
      <c r="C21" s="20" t="str">
        <f t="shared" si="0"/>
        <v>Up</v>
      </c>
      <c r="D21" s="21" t="str">
        <f t="shared" si="1"/>
        <v>Sig</v>
      </c>
      <c r="E21" s="21" t="str">
        <f t="shared" si="2"/>
        <v>Larger</v>
      </c>
      <c r="F21" s="22" t="str">
        <f t="shared" si="3"/>
        <v>Y</v>
      </c>
      <c r="G21" s="22" t="str">
        <f t="shared" si="4"/>
        <v>Y</v>
      </c>
      <c r="H21" s="22" t="str">
        <f t="shared" si="5"/>
        <v>Expressed</v>
      </c>
      <c r="I21" s="20">
        <v>3474</v>
      </c>
      <c r="J21" s="20">
        <v>47.601639249226679</v>
      </c>
      <c r="K21" s="20">
        <v>1730</v>
      </c>
      <c r="L21" s="20">
        <v>19.735939903219158</v>
      </c>
      <c r="M21" s="20">
        <v>2879</v>
      </c>
      <c r="N21" s="20">
        <v>23.605859158288439</v>
      </c>
      <c r="O21" s="20">
        <v>2609</v>
      </c>
      <c r="P21" s="20">
        <v>36.631182204549603</v>
      </c>
      <c r="Q21" s="20">
        <v>5776</v>
      </c>
      <c r="R21" s="20">
        <v>87.944108937452299</v>
      </c>
      <c r="S21" s="20">
        <v>8790</v>
      </c>
      <c r="T21" s="20">
        <v>49.33134293995041</v>
      </c>
      <c r="U21" s="20">
        <v>8911</v>
      </c>
      <c r="V21" s="20">
        <v>63.496931046975291</v>
      </c>
      <c r="W21" s="20">
        <v>3754</v>
      </c>
      <c r="X21" s="20">
        <v>120.4856143196025</v>
      </c>
      <c r="Y21" s="20">
        <v>4706.9587896180192</v>
      </c>
      <c r="Z21" s="20">
        <v>1.453534736656849</v>
      </c>
      <c r="AA21" s="20">
        <v>0.26268517980231221</v>
      </c>
      <c r="AB21" s="20">
        <v>5.5333716875490628</v>
      </c>
      <c r="AC21" s="20">
        <v>3.1413280783225917E-8</v>
      </c>
      <c r="AD21" s="20">
        <v>1.7088824746074901E-5</v>
      </c>
      <c r="AE21" s="20" t="s">
        <v>3882</v>
      </c>
      <c r="AF21" s="20" t="s">
        <v>3883</v>
      </c>
      <c r="AG21" s="20" t="s">
        <v>3884</v>
      </c>
      <c r="AH21" s="20" t="s">
        <v>3885</v>
      </c>
      <c r="AI21" s="20" t="s">
        <v>43</v>
      </c>
      <c r="AJ21" s="20" t="s">
        <v>43</v>
      </c>
      <c r="AK21" s="20" t="s">
        <v>43</v>
      </c>
      <c r="AL21" s="20" t="s">
        <v>43</v>
      </c>
      <c r="AM21" s="20" t="s">
        <v>43</v>
      </c>
      <c r="AN21" s="20" t="s">
        <v>3886</v>
      </c>
      <c r="AO21" s="20" t="s">
        <v>43</v>
      </c>
    </row>
    <row r="22" spans="1:41" s="20" customFormat="1" x14ac:dyDescent="0.3">
      <c r="A22" s="20" t="s">
        <v>3887</v>
      </c>
      <c r="B22" s="20">
        <v>1036</v>
      </c>
      <c r="C22" s="20" t="str">
        <f t="shared" si="0"/>
        <v>Up</v>
      </c>
      <c r="D22" s="21" t="str">
        <f t="shared" si="1"/>
        <v>Sig</v>
      </c>
      <c r="E22" s="21" t="str">
        <f t="shared" si="2"/>
        <v>Larger</v>
      </c>
      <c r="F22" s="22" t="str">
        <f t="shared" si="3"/>
        <v>Y</v>
      </c>
      <c r="G22" s="22" t="str">
        <f t="shared" si="4"/>
        <v>Y</v>
      </c>
      <c r="H22" s="22" t="str">
        <f t="shared" si="5"/>
        <v>Expressed</v>
      </c>
      <c r="I22" s="20">
        <v>8348</v>
      </c>
      <c r="J22" s="20">
        <v>173.12541917053699</v>
      </c>
      <c r="K22" s="20">
        <v>7745</v>
      </c>
      <c r="L22" s="20">
        <v>133.72710287180459</v>
      </c>
      <c r="M22" s="20">
        <v>10568</v>
      </c>
      <c r="N22" s="20">
        <v>131.14666594771421</v>
      </c>
      <c r="O22" s="20">
        <v>7148</v>
      </c>
      <c r="P22" s="20">
        <v>151.8964774977961</v>
      </c>
      <c r="Q22" s="20">
        <v>14246</v>
      </c>
      <c r="R22" s="20">
        <v>328.29087487686678</v>
      </c>
      <c r="S22" s="20">
        <v>15751</v>
      </c>
      <c r="T22" s="20">
        <v>133.7914922616022</v>
      </c>
      <c r="U22" s="20">
        <v>17331</v>
      </c>
      <c r="V22" s="20">
        <v>186.911583529034</v>
      </c>
      <c r="W22" s="20">
        <v>9385</v>
      </c>
      <c r="X22" s="20">
        <v>455.89151364173898</v>
      </c>
      <c r="Y22" s="20">
        <v>11610.724893293331</v>
      </c>
      <c r="Z22" s="20">
        <v>0.9767268697102619</v>
      </c>
      <c r="AA22" s="20">
        <v>0.26086580085629268</v>
      </c>
      <c r="AB22" s="20">
        <v>3.7441736958395979</v>
      </c>
      <c r="AC22" s="20">
        <v>1.8098841914590181E-4</v>
      </c>
      <c r="AD22" s="20">
        <v>3.3517514898849562E-2</v>
      </c>
      <c r="AE22" s="20" t="s">
        <v>3888</v>
      </c>
      <c r="AF22" s="20" t="s">
        <v>3889</v>
      </c>
      <c r="AG22" s="20" t="s">
        <v>55</v>
      </c>
      <c r="AH22" s="20" t="s">
        <v>43</v>
      </c>
      <c r="AI22" s="20" t="s">
        <v>43</v>
      </c>
      <c r="AJ22" s="20" t="s">
        <v>43</v>
      </c>
      <c r="AK22" s="20" t="s">
        <v>43</v>
      </c>
      <c r="AL22" s="20" t="s">
        <v>43</v>
      </c>
      <c r="AM22" s="20" t="s">
        <v>43</v>
      </c>
      <c r="AN22" s="20" t="s">
        <v>43</v>
      </c>
      <c r="AO22" s="20" t="s">
        <v>43</v>
      </c>
    </row>
    <row r="23" spans="1:41" s="20" customFormat="1" x14ac:dyDescent="0.3">
      <c r="A23" s="20" t="s">
        <v>3890</v>
      </c>
      <c r="B23" s="20">
        <v>2174</v>
      </c>
      <c r="C23" s="20" t="str">
        <f t="shared" si="0"/>
        <v>Up</v>
      </c>
      <c r="D23" s="21" t="str">
        <f t="shared" si="1"/>
        <v>Sig</v>
      </c>
      <c r="E23" s="21" t="str">
        <f t="shared" si="2"/>
        <v>Larger</v>
      </c>
      <c r="F23" s="22" t="str">
        <f t="shared" si="3"/>
        <v>Y</v>
      </c>
      <c r="G23" s="22" t="str">
        <f t="shared" si="4"/>
        <v>Y</v>
      </c>
      <c r="H23" s="22" t="str">
        <f t="shared" si="5"/>
        <v>Expressed</v>
      </c>
      <c r="I23" s="20">
        <v>873</v>
      </c>
      <c r="J23" s="20">
        <v>8.627656719366394</v>
      </c>
      <c r="K23" s="20">
        <v>628</v>
      </c>
      <c r="L23" s="20">
        <v>5.1672309550227116</v>
      </c>
      <c r="M23" s="20">
        <v>1181</v>
      </c>
      <c r="N23" s="20">
        <v>6.9841661577191738</v>
      </c>
      <c r="O23" s="20">
        <v>634</v>
      </c>
      <c r="P23" s="20">
        <v>6.4202602419917918</v>
      </c>
      <c r="Q23" s="20">
        <v>1040</v>
      </c>
      <c r="R23" s="20">
        <v>11.42087626228016</v>
      </c>
      <c r="S23" s="20">
        <v>2551</v>
      </c>
      <c r="T23" s="20">
        <v>10.325974316219691</v>
      </c>
      <c r="U23" s="20">
        <v>1984</v>
      </c>
      <c r="V23" s="20">
        <v>10.196578758813031</v>
      </c>
      <c r="W23" s="20">
        <v>447</v>
      </c>
      <c r="X23" s="20">
        <v>10.34748891389841</v>
      </c>
      <c r="Y23" s="20">
        <v>1032.6962324481019</v>
      </c>
      <c r="Z23" s="20">
        <v>0.81135905617842319</v>
      </c>
      <c r="AA23" s="20">
        <v>0.16938435917228739</v>
      </c>
      <c r="AB23" s="20">
        <v>4.7900470866566751</v>
      </c>
      <c r="AC23" s="20">
        <v>1.6674218038400929E-6</v>
      </c>
      <c r="AD23" s="20">
        <v>6.4884231778013473E-4</v>
      </c>
      <c r="AE23" s="20" t="s">
        <v>3891</v>
      </c>
      <c r="AF23" s="20" t="s">
        <v>3892</v>
      </c>
      <c r="AG23" s="20" t="s">
        <v>3893</v>
      </c>
      <c r="AH23" s="20" t="s">
        <v>43</v>
      </c>
      <c r="AI23" s="20" t="s">
        <v>43</v>
      </c>
      <c r="AJ23" s="20" t="s">
        <v>43</v>
      </c>
      <c r="AK23" s="20" t="s">
        <v>43</v>
      </c>
      <c r="AL23" s="20" t="s">
        <v>43</v>
      </c>
      <c r="AM23" s="20" t="s">
        <v>43</v>
      </c>
      <c r="AN23" s="20" t="s">
        <v>43</v>
      </c>
      <c r="AO23" s="20" t="s">
        <v>43</v>
      </c>
    </row>
    <row r="24" spans="1:41" s="20" customFormat="1" x14ac:dyDescent="0.3">
      <c r="A24" s="20" t="s">
        <v>3894</v>
      </c>
      <c r="B24" s="20">
        <v>1829</v>
      </c>
      <c r="C24" s="20" t="str">
        <f t="shared" si="0"/>
        <v>Up</v>
      </c>
      <c r="D24" s="21" t="str">
        <f t="shared" si="1"/>
        <v>Sig</v>
      </c>
      <c r="E24" s="21" t="str">
        <f t="shared" si="2"/>
        <v>Larger</v>
      </c>
      <c r="F24" s="22" t="str">
        <f t="shared" si="3"/>
        <v>Y</v>
      </c>
      <c r="G24" s="22" t="str">
        <f t="shared" si="4"/>
        <v>Y</v>
      </c>
      <c r="H24" s="22" t="str">
        <f t="shared" si="5"/>
        <v>Expressed</v>
      </c>
      <c r="I24" s="20">
        <v>2834</v>
      </c>
      <c r="J24" s="20">
        <v>33.290804730077902</v>
      </c>
      <c r="K24" s="20">
        <v>6443</v>
      </c>
      <c r="L24" s="20">
        <v>63.013295786515769</v>
      </c>
      <c r="M24" s="20">
        <v>9950</v>
      </c>
      <c r="N24" s="20">
        <v>69.941280687369016</v>
      </c>
      <c r="O24" s="20">
        <v>11663</v>
      </c>
      <c r="P24" s="20">
        <v>140.38460499687781</v>
      </c>
      <c r="Q24" s="20">
        <v>11132</v>
      </c>
      <c r="R24" s="20">
        <v>145.30652571571349</v>
      </c>
      <c r="S24" s="20">
        <v>49279</v>
      </c>
      <c r="T24" s="20">
        <v>237.09822484674581</v>
      </c>
      <c r="U24" s="20">
        <v>43498</v>
      </c>
      <c r="V24" s="20">
        <v>265.72225753478511</v>
      </c>
      <c r="W24" s="20">
        <v>6448</v>
      </c>
      <c r="X24" s="20">
        <v>177.41825757227289</v>
      </c>
      <c r="Y24" s="20">
        <v>14809.9465172909</v>
      </c>
      <c r="Z24" s="20">
        <v>1.578415921120603</v>
      </c>
      <c r="AA24" s="20">
        <v>0.41833474455477221</v>
      </c>
      <c r="AB24" s="20">
        <v>3.7730930592449088</v>
      </c>
      <c r="AC24" s="20">
        <v>1.6123611273571791E-4</v>
      </c>
      <c r="AD24" s="20">
        <v>3.0508676635906271E-2</v>
      </c>
      <c r="AE24" s="20" t="s">
        <v>3895</v>
      </c>
      <c r="AF24" s="20" t="s">
        <v>3896</v>
      </c>
      <c r="AG24" s="20" t="s">
        <v>3897</v>
      </c>
      <c r="AH24" s="20" t="s">
        <v>3898</v>
      </c>
      <c r="AI24" s="20" t="s">
        <v>43</v>
      </c>
      <c r="AJ24" s="20" t="s">
        <v>43</v>
      </c>
      <c r="AK24" s="20" t="s">
        <v>43</v>
      </c>
      <c r="AL24" s="20" t="s">
        <v>43</v>
      </c>
      <c r="AM24" s="20" t="s">
        <v>43</v>
      </c>
      <c r="AN24" s="20" t="s">
        <v>3899</v>
      </c>
      <c r="AO24" s="20" t="s">
        <v>43</v>
      </c>
    </row>
    <row r="25" spans="1:41" s="20" customFormat="1" x14ac:dyDescent="0.3">
      <c r="A25" s="20" t="s">
        <v>3900</v>
      </c>
      <c r="B25" s="20">
        <v>2532</v>
      </c>
      <c r="C25" s="20" t="str">
        <f t="shared" si="0"/>
        <v>Up</v>
      </c>
      <c r="D25" s="21" t="str">
        <f t="shared" si="1"/>
        <v>Sig</v>
      </c>
      <c r="E25" s="21" t="str">
        <f t="shared" si="2"/>
        <v>Larger</v>
      </c>
      <c r="F25" s="22" t="str">
        <f t="shared" si="3"/>
        <v>Y</v>
      </c>
      <c r="G25" s="22" t="str">
        <f t="shared" si="4"/>
        <v>Y</v>
      </c>
      <c r="H25" s="22" t="str">
        <f t="shared" si="5"/>
        <v>Expressed</v>
      </c>
      <c r="I25" s="20">
        <v>1369</v>
      </c>
      <c r="J25" s="20">
        <v>11.616569624326869</v>
      </c>
      <c r="K25" s="20">
        <v>1234</v>
      </c>
      <c r="L25" s="20">
        <v>8.7178466952528098</v>
      </c>
      <c r="M25" s="20">
        <v>1911</v>
      </c>
      <c r="N25" s="20">
        <v>9.703338697548773</v>
      </c>
      <c r="O25" s="20">
        <v>1268</v>
      </c>
      <c r="P25" s="20">
        <v>11.024996655679431</v>
      </c>
      <c r="Q25" s="20">
        <v>1338</v>
      </c>
      <c r="R25" s="20">
        <v>12.61589421642805</v>
      </c>
      <c r="S25" s="20">
        <v>3515</v>
      </c>
      <c r="T25" s="20">
        <v>12.21635795561502</v>
      </c>
      <c r="U25" s="20">
        <v>3055</v>
      </c>
      <c r="V25" s="20">
        <v>13.480930299260161</v>
      </c>
      <c r="W25" s="20">
        <v>803</v>
      </c>
      <c r="X25" s="20">
        <v>15.960218413920231</v>
      </c>
      <c r="Y25" s="20">
        <v>1640.2567793991891</v>
      </c>
      <c r="Z25" s="20">
        <v>0.55084336177420545</v>
      </c>
      <c r="AA25" s="20">
        <v>0.1463955471601564</v>
      </c>
      <c r="AB25" s="20">
        <v>3.762705713798685</v>
      </c>
      <c r="AC25" s="20">
        <v>1.6808494827256029E-4</v>
      </c>
      <c r="AD25" s="20">
        <v>3.1575785390597813E-2</v>
      </c>
      <c r="AE25" s="20" t="s">
        <v>3901</v>
      </c>
      <c r="AF25" s="20" t="s">
        <v>3902</v>
      </c>
      <c r="AG25" s="20" t="s">
        <v>3903</v>
      </c>
      <c r="AH25" s="20" t="s">
        <v>3904</v>
      </c>
      <c r="AI25" s="20" t="s">
        <v>43</v>
      </c>
      <c r="AJ25" s="20" t="s">
        <v>43</v>
      </c>
      <c r="AK25" s="20" t="s">
        <v>43</v>
      </c>
      <c r="AL25" s="20" t="s">
        <v>43</v>
      </c>
      <c r="AM25" s="20" t="s">
        <v>43</v>
      </c>
      <c r="AN25" s="20" t="s">
        <v>3905</v>
      </c>
      <c r="AO25" s="20" t="s">
        <v>43</v>
      </c>
    </row>
    <row r="26" spans="1:41" s="20" customFormat="1" x14ac:dyDescent="0.3">
      <c r="A26" s="20" t="s">
        <v>3906</v>
      </c>
      <c r="B26" s="20">
        <v>1551</v>
      </c>
      <c r="C26" s="20" t="str">
        <f t="shared" si="0"/>
        <v>Up</v>
      </c>
      <c r="D26" s="21" t="str">
        <f t="shared" si="1"/>
        <v>Sig</v>
      </c>
      <c r="E26" s="21" t="str">
        <f t="shared" si="2"/>
        <v>Larger</v>
      </c>
      <c r="F26" s="22" t="str">
        <f t="shared" si="3"/>
        <v>Y</v>
      </c>
      <c r="G26" s="22" t="str">
        <f t="shared" si="4"/>
        <v>Y</v>
      </c>
      <c r="H26" s="22" t="str">
        <f t="shared" si="5"/>
        <v>Expressed</v>
      </c>
      <c r="I26" s="20">
        <v>522</v>
      </c>
      <c r="J26" s="20">
        <v>7.2309749683167324</v>
      </c>
      <c r="K26" s="20">
        <v>450</v>
      </c>
      <c r="L26" s="20">
        <v>5.1898939694738964</v>
      </c>
      <c r="M26" s="20">
        <v>1114</v>
      </c>
      <c r="N26" s="20">
        <v>9.2341643127435038</v>
      </c>
      <c r="O26" s="20">
        <v>452</v>
      </c>
      <c r="P26" s="20">
        <v>6.4157812973747994</v>
      </c>
      <c r="Q26" s="20">
        <v>1300</v>
      </c>
      <c r="R26" s="20">
        <v>20.01046501788931</v>
      </c>
      <c r="S26" s="20">
        <v>1292</v>
      </c>
      <c r="T26" s="20">
        <v>7.3304534036139604</v>
      </c>
      <c r="U26" s="20">
        <v>1447</v>
      </c>
      <c r="V26" s="20">
        <v>10.42387232441782</v>
      </c>
      <c r="W26" s="20">
        <v>588</v>
      </c>
      <c r="X26" s="20">
        <v>19.07886410658536</v>
      </c>
      <c r="Y26" s="20">
        <v>879.29837685979373</v>
      </c>
      <c r="Z26" s="20">
        <v>1.106202162041044</v>
      </c>
      <c r="AA26" s="20">
        <v>0.26954079758326938</v>
      </c>
      <c r="AB26" s="20">
        <v>4.1040249637879169</v>
      </c>
      <c r="AC26" s="20">
        <v>4.0602362267715773E-5</v>
      </c>
      <c r="AD26" s="20">
        <v>1.019431618783264E-2</v>
      </c>
      <c r="AE26" s="20" t="s">
        <v>3907</v>
      </c>
      <c r="AF26" s="20" t="s">
        <v>3908</v>
      </c>
      <c r="AG26" s="20" t="s">
        <v>2244</v>
      </c>
      <c r="AH26" s="20" t="s">
        <v>2245</v>
      </c>
      <c r="AI26" s="20" t="s">
        <v>43</v>
      </c>
      <c r="AJ26" s="20" t="s">
        <v>43</v>
      </c>
      <c r="AK26" s="20" t="s">
        <v>43</v>
      </c>
      <c r="AL26" s="20" t="s">
        <v>43</v>
      </c>
      <c r="AM26" s="20" t="s">
        <v>43</v>
      </c>
      <c r="AN26" s="20" t="s">
        <v>2246</v>
      </c>
      <c r="AO26" s="20" t="s">
        <v>2247</v>
      </c>
    </row>
    <row r="27" spans="1:41" s="20" customFormat="1" x14ac:dyDescent="0.3">
      <c r="A27" s="20" t="s">
        <v>3909</v>
      </c>
      <c r="B27" s="20">
        <v>1402</v>
      </c>
      <c r="C27" s="20" t="str">
        <f t="shared" si="0"/>
        <v>Up</v>
      </c>
      <c r="D27" s="21" t="str">
        <f t="shared" si="1"/>
        <v>Sig</v>
      </c>
      <c r="E27" s="21" t="str">
        <f t="shared" si="2"/>
        <v>Larger</v>
      </c>
      <c r="F27" s="22" t="str">
        <f t="shared" si="3"/>
        <v>Y</v>
      </c>
      <c r="G27" s="22" t="str">
        <f t="shared" si="4"/>
        <v>Y</v>
      </c>
      <c r="H27" s="22" t="str">
        <f t="shared" si="5"/>
        <v>Expressed</v>
      </c>
      <c r="I27" s="20">
        <v>1867</v>
      </c>
      <c r="J27" s="20">
        <v>28.611093542242909</v>
      </c>
      <c r="K27" s="20">
        <v>1686</v>
      </c>
      <c r="L27" s="20">
        <v>21.511333129907541</v>
      </c>
      <c r="M27" s="20">
        <v>3147</v>
      </c>
      <c r="N27" s="20">
        <v>28.85844555739051</v>
      </c>
      <c r="O27" s="20">
        <v>2276</v>
      </c>
      <c r="P27" s="20">
        <v>35.739391859782543</v>
      </c>
      <c r="Q27" s="20">
        <v>8335</v>
      </c>
      <c r="R27" s="20">
        <v>141.93294601574161</v>
      </c>
      <c r="S27" s="20">
        <v>17329</v>
      </c>
      <c r="T27" s="20">
        <v>108.76911871002061</v>
      </c>
      <c r="U27" s="20">
        <v>15198</v>
      </c>
      <c r="V27" s="20">
        <v>121.1185816937718</v>
      </c>
      <c r="W27" s="20">
        <v>3541</v>
      </c>
      <c r="X27" s="20">
        <v>127.10566276796089</v>
      </c>
      <c r="Y27" s="20">
        <v>6001.604976600006</v>
      </c>
      <c r="Z27" s="20">
        <v>2.263364852483627</v>
      </c>
      <c r="AA27" s="20">
        <v>0.1911030670100102</v>
      </c>
      <c r="AB27" s="20">
        <v>11.84368669690199</v>
      </c>
      <c r="AC27" s="20">
        <v>2.320246010957982E-32</v>
      </c>
      <c r="AD27" s="20">
        <v>1.0097710639689141E-28</v>
      </c>
      <c r="AE27" s="20" t="s">
        <v>3910</v>
      </c>
      <c r="AF27" s="20" t="s">
        <v>3911</v>
      </c>
      <c r="AG27" s="20" t="s">
        <v>3912</v>
      </c>
      <c r="AH27" s="20" t="s">
        <v>3913</v>
      </c>
      <c r="AI27" s="20" t="s">
        <v>43</v>
      </c>
      <c r="AJ27" s="20" t="s">
        <v>43</v>
      </c>
      <c r="AK27" s="20" t="s">
        <v>43</v>
      </c>
      <c r="AL27" s="20" t="s">
        <v>43</v>
      </c>
      <c r="AM27" s="20" t="s">
        <v>43</v>
      </c>
      <c r="AN27" s="20" t="s">
        <v>362</v>
      </c>
      <c r="AO27" s="20" t="s">
        <v>43</v>
      </c>
    </row>
    <row r="28" spans="1:41" s="20" customFormat="1" x14ac:dyDescent="0.3">
      <c r="A28" s="20" t="s">
        <v>221</v>
      </c>
      <c r="B28" s="20">
        <v>1745</v>
      </c>
      <c r="C28" s="20" t="str">
        <f t="shared" si="0"/>
        <v>Up</v>
      </c>
      <c r="D28" s="21" t="str">
        <f t="shared" si="1"/>
        <v>Sig</v>
      </c>
      <c r="E28" s="21" t="str">
        <f t="shared" si="2"/>
        <v>Larger</v>
      </c>
      <c r="F28" s="22" t="str">
        <f t="shared" si="3"/>
        <v>Y</v>
      </c>
      <c r="G28" s="22" t="str">
        <f t="shared" si="4"/>
        <v>Y</v>
      </c>
      <c r="H28" s="22" t="str">
        <f t="shared" si="5"/>
        <v>Expressed</v>
      </c>
      <c r="I28" s="20">
        <v>2628</v>
      </c>
      <c r="J28" s="20">
        <v>32.356987603506582</v>
      </c>
      <c r="K28" s="20">
        <v>2308</v>
      </c>
      <c r="L28" s="20">
        <v>23.659095780550729</v>
      </c>
      <c r="M28" s="20">
        <v>2385</v>
      </c>
      <c r="N28" s="20">
        <v>17.57183664279086</v>
      </c>
      <c r="O28" s="20">
        <v>2152</v>
      </c>
      <c r="P28" s="20">
        <v>27.149994747160449</v>
      </c>
      <c r="Q28" s="20">
        <v>11360</v>
      </c>
      <c r="R28" s="20">
        <v>155.420580523517</v>
      </c>
      <c r="S28" s="20">
        <v>13834</v>
      </c>
      <c r="T28" s="20">
        <v>69.764174816174773</v>
      </c>
      <c r="U28" s="20">
        <v>30092</v>
      </c>
      <c r="V28" s="20">
        <v>192.67615536734519</v>
      </c>
      <c r="W28" s="20">
        <v>6631</v>
      </c>
      <c r="X28" s="20">
        <v>191.23641032549801</v>
      </c>
      <c r="Y28" s="20">
        <v>8539.4675934919269</v>
      </c>
      <c r="Z28" s="20">
        <v>2.7245337750814032</v>
      </c>
      <c r="AA28" s="20">
        <v>0.28364838417624683</v>
      </c>
      <c r="AB28" s="20">
        <v>9.6053209786257607</v>
      </c>
      <c r="AC28" s="20">
        <v>7.5921008856276474E-22</v>
      </c>
      <c r="AD28" s="20">
        <v>1.416035273753637E-18</v>
      </c>
      <c r="AE28" s="20" t="s">
        <v>222</v>
      </c>
      <c r="AF28" s="20" t="s">
        <v>223</v>
      </c>
      <c r="AG28" s="20" t="s">
        <v>224</v>
      </c>
      <c r="AH28" s="20" t="s">
        <v>225</v>
      </c>
      <c r="AI28" s="20" t="s">
        <v>43</v>
      </c>
      <c r="AJ28" s="20" t="s">
        <v>43</v>
      </c>
      <c r="AK28" s="20" t="s">
        <v>43</v>
      </c>
      <c r="AL28" s="20" t="s">
        <v>43</v>
      </c>
      <c r="AM28" s="20" t="s">
        <v>43</v>
      </c>
      <c r="AN28" s="20" t="s">
        <v>226</v>
      </c>
      <c r="AO28" s="20" t="s">
        <v>43</v>
      </c>
    </row>
    <row r="29" spans="1:41" s="20" customFormat="1" x14ac:dyDescent="0.3">
      <c r="A29" s="20" t="s">
        <v>3914</v>
      </c>
      <c r="B29" s="20">
        <v>1644</v>
      </c>
      <c r="C29" s="20" t="str">
        <f t="shared" si="0"/>
        <v>Up</v>
      </c>
      <c r="D29" s="21" t="str">
        <f t="shared" si="1"/>
        <v>Sig</v>
      </c>
      <c r="E29" s="21" t="str">
        <f t="shared" si="2"/>
        <v>Larger</v>
      </c>
      <c r="F29" s="22" t="str">
        <f t="shared" si="3"/>
        <v>Y</v>
      </c>
      <c r="G29" s="22" t="str">
        <f t="shared" si="4"/>
        <v>Y</v>
      </c>
      <c r="H29" s="22" t="str">
        <f t="shared" si="5"/>
        <v>Expressed</v>
      </c>
      <c r="I29" s="20">
        <v>364</v>
      </c>
      <c r="J29" s="20">
        <v>4.7570500787873327</v>
      </c>
      <c r="K29" s="20">
        <v>1623</v>
      </c>
      <c r="L29" s="20">
        <v>17.659340311191489</v>
      </c>
      <c r="M29" s="20">
        <v>425</v>
      </c>
      <c r="N29" s="20">
        <v>3.3236196805382829</v>
      </c>
      <c r="O29" s="20">
        <v>215</v>
      </c>
      <c r="P29" s="20">
        <v>2.8791186378047922</v>
      </c>
      <c r="Q29" s="20">
        <v>2752</v>
      </c>
      <c r="R29" s="20">
        <v>39.964303003948103</v>
      </c>
      <c r="S29" s="20">
        <v>587</v>
      </c>
      <c r="T29" s="20">
        <v>3.1420740046487099</v>
      </c>
      <c r="U29" s="20">
        <v>820</v>
      </c>
      <c r="V29" s="20">
        <v>5.5729402806885764</v>
      </c>
      <c r="W29" s="20">
        <v>217</v>
      </c>
      <c r="X29" s="20">
        <v>6.6427040979371652</v>
      </c>
      <c r="Y29" s="20">
        <v>929.33408992948421</v>
      </c>
      <c r="Z29" s="20">
        <v>0.95930441459438076</v>
      </c>
      <c r="AA29" s="20">
        <v>0.96931609770590377</v>
      </c>
      <c r="AB29" s="20">
        <v>0.98967139498124723</v>
      </c>
    </row>
    <row r="30" spans="1:41" s="20" customFormat="1" x14ac:dyDescent="0.3">
      <c r="A30" s="20" t="s">
        <v>232</v>
      </c>
      <c r="B30" s="20">
        <v>2101</v>
      </c>
      <c r="C30" s="20" t="str">
        <f t="shared" si="0"/>
        <v>Up</v>
      </c>
      <c r="D30" s="21" t="str">
        <f t="shared" si="1"/>
        <v>Sig</v>
      </c>
      <c r="E30" s="21" t="str">
        <f t="shared" si="2"/>
        <v>Larger</v>
      </c>
      <c r="F30" s="22" t="str">
        <f t="shared" si="3"/>
        <v>N</v>
      </c>
      <c r="G30" s="22" t="str">
        <f t="shared" si="4"/>
        <v>Y</v>
      </c>
      <c r="H30" s="22" t="str">
        <f t="shared" si="5"/>
        <v>Expressed</v>
      </c>
      <c r="I30" s="20">
        <v>233</v>
      </c>
      <c r="J30" s="20">
        <v>2.3826926303796272</v>
      </c>
      <c r="K30" s="20">
        <v>215</v>
      </c>
      <c r="L30" s="20">
        <v>1.830501869512521</v>
      </c>
      <c r="M30" s="20">
        <v>249</v>
      </c>
      <c r="N30" s="20">
        <v>1.523693096224688</v>
      </c>
      <c r="O30" s="20">
        <v>346</v>
      </c>
      <c r="P30" s="20">
        <v>3.625542167142275</v>
      </c>
      <c r="Q30" s="20">
        <v>5193</v>
      </c>
      <c r="R30" s="20">
        <v>59.00895135780825</v>
      </c>
      <c r="S30" s="20">
        <v>7374</v>
      </c>
      <c r="T30" s="20">
        <v>30.885682488909431</v>
      </c>
      <c r="U30" s="20">
        <v>12316</v>
      </c>
      <c r="V30" s="20">
        <v>65.496181043291273</v>
      </c>
      <c r="W30" s="20">
        <v>2724</v>
      </c>
      <c r="X30" s="20">
        <v>65.248125169299882</v>
      </c>
      <c r="Y30" s="20">
        <v>3376.35521844614</v>
      </c>
      <c r="Z30" s="20">
        <v>4.6799009177633524</v>
      </c>
      <c r="AA30" s="20">
        <v>0.3034233830921344</v>
      </c>
      <c r="AB30" s="20">
        <v>15.4236660011872</v>
      </c>
      <c r="AC30" s="20">
        <v>1.1347571788400419E-53</v>
      </c>
      <c r="AD30" s="20">
        <v>1.4815389726935589E-49</v>
      </c>
      <c r="AE30" s="20" t="s">
        <v>233</v>
      </c>
      <c r="AF30" s="20" t="s">
        <v>234</v>
      </c>
      <c r="AG30" s="20" t="s">
        <v>235</v>
      </c>
      <c r="AH30" s="20" t="s">
        <v>236</v>
      </c>
      <c r="AI30" s="20" t="s">
        <v>43</v>
      </c>
      <c r="AJ30" s="20" t="s">
        <v>43</v>
      </c>
      <c r="AK30" s="20" t="s">
        <v>43</v>
      </c>
      <c r="AL30" s="20" t="s">
        <v>43</v>
      </c>
      <c r="AM30" s="20" t="s">
        <v>43</v>
      </c>
      <c r="AN30" s="20" t="s">
        <v>237</v>
      </c>
      <c r="AO30" s="20" t="s">
        <v>43</v>
      </c>
    </row>
    <row r="31" spans="1:41" s="20" customFormat="1" x14ac:dyDescent="0.3">
      <c r="A31" s="20" t="s">
        <v>3915</v>
      </c>
      <c r="B31" s="20">
        <v>546</v>
      </c>
      <c r="C31" s="20" t="str">
        <f t="shared" si="0"/>
        <v>Up</v>
      </c>
      <c r="D31" s="21" t="str">
        <f t="shared" si="1"/>
        <v>Sig</v>
      </c>
      <c r="E31" s="21" t="str">
        <f t="shared" si="2"/>
        <v>Larger</v>
      </c>
      <c r="F31" s="22" t="str">
        <f t="shared" si="3"/>
        <v>Y</v>
      </c>
      <c r="G31" s="22" t="str">
        <f t="shared" si="4"/>
        <v>Y</v>
      </c>
      <c r="H31" s="22" t="str">
        <f t="shared" si="5"/>
        <v>Expressed</v>
      </c>
      <c r="I31" s="20">
        <v>1349</v>
      </c>
      <c r="J31" s="20">
        <v>53.083244548419472</v>
      </c>
      <c r="K31" s="20">
        <v>1068</v>
      </c>
      <c r="L31" s="20">
        <v>34.989390654564453</v>
      </c>
      <c r="M31" s="20">
        <v>1757</v>
      </c>
      <c r="N31" s="20">
        <v>41.371695911192738</v>
      </c>
      <c r="O31" s="20">
        <v>1278</v>
      </c>
      <c r="P31" s="20">
        <v>51.530116618317379</v>
      </c>
      <c r="Q31" s="20">
        <v>4385</v>
      </c>
      <c r="R31" s="20">
        <v>191.73552268166051</v>
      </c>
      <c r="S31" s="20">
        <v>3968</v>
      </c>
      <c r="T31" s="20">
        <v>63.952737971473987</v>
      </c>
      <c r="U31" s="20">
        <v>4150</v>
      </c>
      <c r="V31" s="20">
        <v>84.923484229040213</v>
      </c>
      <c r="W31" s="20">
        <v>838</v>
      </c>
      <c r="X31" s="20">
        <v>77.239305886238327</v>
      </c>
      <c r="Y31" s="20">
        <v>2226.6775416277378</v>
      </c>
      <c r="Z31" s="20">
        <v>1.3379302632626759</v>
      </c>
      <c r="AA31" s="20">
        <v>0.30576678447440858</v>
      </c>
      <c r="AB31" s="20">
        <v>4.3756559940363813</v>
      </c>
      <c r="AC31" s="20">
        <v>1.210678225699367E-5</v>
      </c>
      <c r="AD31" s="20">
        <v>3.6337045780990649E-3</v>
      </c>
      <c r="AE31" s="20" t="s">
        <v>3916</v>
      </c>
      <c r="AF31" s="20" t="s">
        <v>3917</v>
      </c>
      <c r="AG31" s="20" t="s">
        <v>43</v>
      </c>
      <c r="AH31" s="20" t="s">
        <v>43</v>
      </c>
      <c r="AI31" s="20" t="s">
        <v>43</v>
      </c>
      <c r="AJ31" s="20" t="s">
        <v>43</v>
      </c>
      <c r="AK31" s="20" t="s">
        <v>43</v>
      </c>
      <c r="AL31" s="20" t="s">
        <v>43</v>
      </c>
      <c r="AM31" s="20" t="s">
        <v>43</v>
      </c>
      <c r="AN31" s="20" t="s">
        <v>43</v>
      </c>
      <c r="AO31" s="20" t="s">
        <v>43</v>
      </c>
    </row>
    <row r="32" spans="1:41" s="20" customFormat="1" x14ac:dyDescent="0.3">
      <c r="A32" s="20" t="s">
        <v>250</v>
      </c>
      <c r="B32" s="20">
        <v>2521</v>
      </c>
      <c r="C32" s="20" t="str">
        <f t="shared" si="0"/>
        <v>Up</v>
      </c>
      <c r="D32" s="21" t="str">
        <f t="shared" si="1"/>
        <v>Sig</v>
      </c>
      <c r="E32" s="21" t="str">
        <f t="shared" si="2"/>
        <v>Larger</v>
      </c>
      <c r="F32" s="22" t="str">
        <f t="shared" si="3"/>
        <v>Y</v>
      </c>
      <c r="G32" s="22" t="str">
        <f t="shared" si="4"/>
        <v>Y</v>
      </c>
      <c r="H32" s="22" t="str">
        <f t="shared" si="5"/>
        <v>Expressed</v>
      </c>
      <c r="I32" s="20">
        <v>9856</v>
      </c>
      <c r="J32" s="20">
        <v>83.997430689692237</v>
      </c>
      <c r="K32" s="20">
        <v>6166</v>
      </c>
      <c r="L32" s="20">
        <v>43.751046340225336</v>
      </c>
      <c r="M32" s="20">
        <v>10213</v>
      </c>
      <c r="N32" s="20">
        <v>52.084043305712321</v>
      </c>
      <c r="O32" s="20">
        <v>6788</v>
      </c>
      <c r="P32" s="20">
        <v>59.277776119223113</v>
      </c>
      <c r="Q32" s="20">
        <v>9993</v>
      </c>
      <c r="R32" s="20">
        <v>94.634320571435026</v>
      </c>
      <c r="S32" s="20">
        <v>23091</v>
      </c>
      <c r="T32" s="20">
        <v>80.602779313506574</v>
      </c>
      <c r="U32" s="20">
        <v>18141</v>
      </c>
      <c r="V32" s="20">
        <v>80.400866204352269</v>
      </c>
      <c r="W32" s="20">
        <v>5823</v>
      </c>
      <c r="X32" s="20">
        <v>116.24142647293</v>
      </c>
      <c r="Y32" s="20">
        <v>10390.16961682785</v>
      </c>
      <c r="Z32" s="20">
        <v>0.78965897029946919</v>
      </c>
      <c r="AA32" s="20">
        <v>0.16494581852647969</v>
      </c>
      <c r="AB32" s="20">
        <v>4.7873839867768524</v>
      </c>
      <c r="AC32" s="20">
        <v>1.689693535885768E-6</v>
      </c>
      <c r="AD32" s="20">
        <v>6.4884231778013473E-4</v>
      </c>
      <c r="AE32" s="20" t="s">
        <v>251</v>
      </c>
      <c r="AF32" s="20" t="s">
        <v>252</v>
      </c>
      <c r="AG32" s="20" t="s">
        <v>253</v>
      </c>
      <c r="AH32" s="20" t="s">
        <v>254</v>
      </c>
      <c r="AI32" s="20" t="s">
        <v>43</v>
      </c>
      <c r="AJ32" s="20" t="s">
        <v>43</v>
      </c>
      <c r="AK32" s="20" t="s">
        <v>43</v>
      </c>
      <c r="AL32" s="20" t="s">
        <v>43</v>
      </c>
      <c r="AM32" s="20" t="s">
        <v>43</v>
      </c>
      <c r="AN32" s="20" t="s">
        <v>255</v>
      </c>
      <c r="AO32" s="20" t="s">
        <v>43</v>
      </c>
    </row>
    <row r="33" spans="1:41" s="20" customFormat="1" x14ac:dyDescent="0.3">
      <c r="A33" s="20" t="s">
        <v>257</v>
      </c>
      <c r="B33" s="20">
        <v>2772</v>
      </c>
      <c r="C33" s="20" t="str">
        <f t="shared" si="0"/>
        <v>Up</v>
      </c>
      <c r="D33" s="21" t="str">
        <f t="shared" si="1"/>
        <v>Sig</v>
      </c>
      <c r="E33" s="21" t="str">
        <f t="shared" si="2"/>
        <v>Larger</v>
      </c>
      <c r="F33" s="22" t="str">
        <f t="shared" si="3"/>
        <v>Y</v>
      </c>
      <c r="G33" s="22" t="str">
        <f t="shared" si="4"/>
        <v>Y</v>
      </c>
      <c r="H33" s="22" t="str">
        <f t="shared" si="5"/>
        <v>Expressed</v>
      </c>
      <c r="I33" s="20">
        <v>669</v>
      </c>
      <c r="J33" s="20">
        <v>5.1852660538401523</v>
      </c>
      <c r="K33" s="20">
        <v>346</v>
      </c>
      <c r="L33" s="20">
        <v>2.232752797131865</v>
      </c>
      <c r="M33" s="20">
        <v>708</v>
      </c>
      <c r="N33" s="20">
        <v>3.2837057757422081</v>
      </c>
      <c r="O33" s="20">
        <v>391</v>
      </c>
      <c r="P33" s="20">
        <v>3.1053206095094992</v>
      </c>
      <c r="Q33" s="20">
        <v>1565</v>
      </c>
      <c r="R33" s="20">
        <v>13.47866075449495</v>
      </c>
      <c r="S33" s="20">
        <v>1080</v>
      </c>
      <c r="T33" s="20">
        <v>3.428551293375393</v>
      </c>
      <c r="U33" s="20">
        <v>2272</v>
      </c>
      <c r="V33" s="20">
        <v>9.157721906494821</v>
      </c>
      <c r="W33" s="20">
        <v>446</v>
      </c>
      <c r="X33" s="20">
        <v>8.0970835236929535</v>
      </c>
      <c r="Y33" s="20">
        <v>898.20000099782283</v>
      </c>
      <c r="Z33" s="20">
        <v>1.454521097600973</v>
      </c>
      <c r="AA33" s="20">
        <v>0.33174657064039698</v>
      </c>
      <c r="AB33" s="20">
        <v>4.3844344639138058</v>
      </c>
      <c r="AC33" s="20">
        <v>1.1628748376916491E-5</v>
      </c>
      <c r="AD33" s="20">
        <v>3.5308125304423662E-3</v>
      </c>
      <c r="AE33" s="20" t="s">
        <v>258</v>
      </c>
      <c r="AF33" s="20" t="s">
        <v>259</v>
      </c>
      <c r="AG33" s="20" t="s">
        <v>260</v>
      </c>
      <c r="AH33" s="20" t="s">
        <v>261</v>
      </c>
      <c r="AI33" s="20" t="s">
        <v>43</v>
      </c>
      <c r="AJ33" s="20" t="s">
        <v>43</v>
      </c>
      <c r="AK33" s="20" t="s">
        <v>43</v>
      </c>
      <c r="AL33" s="20" t="s">
        <v>43</v>
      </c>
      <c r="AM33" s="20" t="s">
        <v>43</v>
      </c>
      <c r="AN33" s="20" t="s">
        <v>262</v>
      </c>
      <c r="AO33" s="20" t="s">
        <v>43</v>
      </c>
    </row>
    <row r="34" spans="1:41" s="20" customFormat="1" x14ac:dyDescent="0.3">
      <c r="A34" s="20" t="s">
        <v>3918</v>
      </c>
      <c r="B34" s="20">
        <v>3048</v>
      </c>
      <c r="C34" s="20" t="str">
        <f t="shared" si="0"/>
        <v>Up</v>
      </c>
      <c r="D34" s="21" t="str">
        <f t="shared" si="1"/>
        <v>Sig</v>
      </c>
      <c r="E34" s="21" t="str">
        <f t="shared" si="2"/>
        <v>Larger</v>
      </c>
      <c r="F34" s="22" t="str">
        <f t="shared" si="3"/>
        <v>Y</v>
      </c>
      <c r="G34" s="22" t="str">
        <f t="shared" si="4"/>
        <v>Y</v>
      </c>
      <c r="H34" s="22" t="str">
        <f t="shared" si="5"/>
        <v>Expressed</v>
      </c>
      <c r="I34" s="20">
        <v>2830</v>
      </c>
      <c r="J34" s="20">
        <v>19.94847155454093</v>
      </c>
      <c r="K34" s="20">
        <v>2966</v>
      </c>
      <c r="L34" s="20">
        <v>17.406600154108929</v>
      </c>
      <c r="M34" s="20">
        <v>4777</v>
      </c>
      <c r="N34" s="20">
        <v>20.149509738847598</v>
      </c>
      <c r="O34" s="20">
        <v>2896</v>
      </c>
      <c r="P34" s="20">
        <v>20.917342570707319</v>
      </c>
      <c r="Q34" s="20">
        <v>4788</v>
      </c>
      <c r="R34" s="20">
        <v>37.502896020156832</v>
      </c>
      <c r="S34" s="20">
        <v>11296</v>
      </c>
      <c r="T34" s="20">
        <v>32.612931830354</v>
      </c>
      <c r="U34" s="20">
        <v>12116</v>
      </c>
      <c r="V34" s="20">
        <v>44.413669043560219</v>
      </c>
      <c r="W34" s="20">
        <v>3164</v>
      </c>
      <c r="X34" s="20">
        <v>52.240641168486277</v>
      </c>
      <c r="Y34" s="20">
        <v>5121.9379602354566</v>
      </c>
      <c r="Z34" s="20">
        <v>1.2200641166770381</v>
      </c>
      <c r="AA34" s="20">
        <v>0.164449526138289</v>
      </c>
      <c r="AB34" s="20">
        <v>7.419079551807652</v>
      </c>
      <c r="AC34" s="20">
        <v>1.1793706297309831E-13</v>
      </c>
      <c r="AD34" s="20">
        <v>1.0265241961178479E-10</v>
      </c>
      <c r="AE34" s="20" t="s">
        <v>3919</v>
      </c>
      <c r="AF34" s="20" t="s">
        <v>3920</v>
      </c>
      <c r="AG34" s="20" t="s">
        <v>3921</v>
      </c>
      <c r="AH34" s="20" t="s">
        <v>3922</v>
      </c>
      <c r="AI34" s="20" t="s">
        <v>43</v>
      </c>
      <c r="AJ34" s="20" t="s">
        <v>43</v>
      </c>
      <c r="AK34" s="20" t="s">
        <v>43</v>
      </c>
      <c r="AL34" s="20" t="s">
        <v>43</v>
      </c>
      <c r="AM34" s="20" t="s">
        <v>43</v>
      </c>
      <c r="AN34" s="20" t="s">
        <v>3923</v>
      </c>
      <c r="AO34" s="20" t="s">
        <v>43</v>
      </c>
    </row>
    <row r="35" spans="1:41" s="20" customFormat="1" x14ac:dyDescent="0.3">
      <c r="A35" s="20" t="s">
        <v>3924</v>
      </c>
      <c r="B35" s="20">
        <v>1123</v>
      </c>
      <c r="C35" s="20" t="str">
        <f t="shared" si="0"/>
        <v>Up</v>
      </c>
      <c r="D35" s="21" t="str">
        <f t="shared" si="1"/>
        <v>Sig</v>
      </c>
      <c r="E35" s="21" t="str">
        <f t="shared" si="2"/>
        <v>Larger</v>
      </c>
      <c r="F35" s="22" t="str">
        <f t="shared" si="3"/>
        <v>Y</v>
      </c>
      <c r="G35" s="22" t="str">
        <f t="shared" si="4"/>
        <v>Y</v>
      </c>
      <c r="H35" s="22" t="str">
        <f t="shared" si="5"/>
        <v>Expressed</v>
      </c>
      <c r="I35" s="20">
        <v>527</v>
      </c>
      <c r="J35" s="20">
        <v>10.082518136419321</v>
      </c>
      <c r="K35" s="20">
        <v>300</v>
      </c>
      <c r="L35" s="20">
        <v>4.7785844741193308</v>
      </c>
      <c r="M35" s="20">
        <v>1358</v>
      </c>
      <c r="N35" s="20">
        <v>15.54691480807732</v>
      </c>
      <c r="O35" s="20">
        <v>231</v>
      </c>
      <c r="P35" s="20">
        <v>4.5285079847058292</v>
      </c>
      <c r="Q35" s="20">
        <v>3809</v>
      </c>
      <c r="R35" s="20">
        <v>80.976097543407604</v>
      </c>
      <c r="S35" s="20">
        <v>2583</v>
      </c>
      <c r="T35" s="20">
        <v>20.240664745940201</v>
      </c>
      <c r="U35" s="20">
        <v>988</v>
      </c>
      <c r="V35" s="20">
        <v>9.8299099272360575</v>
      </c>
      <c r="W35" s="20">
        <v>3335</v>
      </c>
      <c r="X35" s="20">
        <v>149.45246014799071</v>
      </c>
      <c r="Y35" s="20">
        <v>2109.1391943208669</v>
      </c>
      <c r="Z35" s="20">
        <v>2.9117640835796572</v>
      </c>
      <c r="AA35" s="20">
        <v>0.7628152824647193</v>
      </c>
      <c r="AB35" s="20">
        <v>3.8171286686489898</v>
      </c>
      <c r="AC35" s="20">
        <v>1.3501376865747799E-4</v>
      </c>
      <c r="AD35" s="20">
        <v>2.6912057459420349E-2</v>
      </c>
      <c r="AE35" s="20" t="s">
        <v>3925</v>
      </c>
      <c r="AF35" s="20" t="s">
        <v>3926</v>
      </c>
      <c r="AG35" s="20" t="s">
        <v>43</v>
      </c>
      <c r="AH35" s="20" t="s">
        <v>43</v>
      </c>
      <c r="AI35" s="20" t="s">
        <v>43</v>
      </c>
      <c r="AJ35" s="20" t="s">
        <v>43</v>
      </c>
      <c r="AK35" s="20" t="s">
        <v>43</v>
      </c>
      <c r="AL35" s="20" t="s">
        <v>43</v>
      </c>
      <c r="AM35" s="20" t="s">
        <v>43</v>
      </c>
      <c r="AN35" s="20" t="s">
        <v>43</v>
      </c>
      <c r="AO35" s="20" t="s">
        <v>43</v>
      </c>
    </row>
    <row r="36" spans="1:41" s="20" customFormat="1" x14ac:dyDescent="0.3">
      <c r="A36" s="20" t="s">
        <v>3927</v>
      </c>
      <c r="B36" s="20">
        <v>1606</v>
      </c>
      <c r="C36" s="20" t="str">
        <f t="shared" si="0"/>
        <v>Up</v>
      </c>
      <c r="D36" s="21" t="str">
        <f t="shared" si="1"/>
        <v>Sig</v>
      </c>
      <c r="E36" s="21" t="str">
        <f t="shared" si="2"/>
        <v>Larger</v>
      </c>
      <c r="F36" s="22" t="str">
        <f t="shared" si="3"/>
        <v>N</v>
      </c>
      <c r="G36" s="22" t="str">
        <f t="shared" si="4"/>
        <v>Y</v>
      </c>
      <c r="H36" s="22" t="str">
        <f t="shared" si="5"/>
        <v>Expressed</v>
      </c>
      <c r="I36" s="20">
        <v>147</v>
      </c>
      <c r="J36" s="20">
        <v>1.966572431746981</v>
      </c>
      <c r="K36" s="20">
        <v>204</v>
      </c>
      <c r="L36" s="20">
        <v>2.272178236498434</v>
      </c>
      <c r="M36" s="20">
        <v>409</v>
      </c>
      <c r="N36" s="20">
        <v>3.2741756336022552</v>
      </c>
      <c r="O36" s="20">
        <v>161</v>
      </c>
      <c r="P36" s="20">
        <v>2.2070046555901519</v>
      </c>
      <c r="Q36" s="20">
        <v>264</v>
      </c>
      <c r="R36" s="20">
        <v>3.924497101295636</v>
      </c>
      <c r="S36" s="20">
        <v>663</v>
      </c>
      <c r="T36" s="20">
        <v>3.6328553772957068</v>
      </c>
      <c r="U36" s="20">
        <v>629</v>
      </c>
      <c r="V36" s="20">
        <v>4.3760014227844666</v>
      </c>
      <c r="W36" s="20">
        <v>169</v>
      </c>
      <c r="X36" s="20">
        <v>5.2957582331076152</v>
      </c>
      <c r="Y36" s="20">
        <v>296.55803232983499</v>
      </c>
      <c r="Z36" s="20">
        <v>0.94822426789474457</v>
      </c>
      <c r="AA36" s="20">
        <v>0.23374923557973759</v>
      </c>
      <c r="AB36" s="20">
        <v>4.0565876741499842</v>
      </c>
      <c r="AC36" s="20">
        <v>4.9794875703118842E-5</v>
      </c>
      <c r="AD36" s="20">
        <v>1.192884215009027E-2</v>
      </c>
      <c r="AE36" s="20" t="s">
        <v>3928</v>
      </c>
      <c r="AF36" s="20" t="s">
        <v>3929</v>
      </c>
      <c r="AG36" s="20" t="s">
        <v>3930</v>
      </c>
      <c r="AH36" s="20" t="s">
        <v>3931</v>
      </c>
      <c r="AI36" s="20" t="s">
        <v>43</v>
      </c>
      <c r="AJ36" s="20" t="s">
        <v>43</v>
      </c>
      <c r="AK36" s="20" t="s">
        <v>43</v>
      </c>
      <c r="AL36" s="20" t="s">
        <v>43</v>
      </c>
      <c r="AM36" s="20" t="s">
        <v>43</v>
      </c>
      <c r="AN36" s="20" t="s">
        <v>3932</v>
      </c>
      <c r="AO36" s="20" t="s">
        <v>43</v>
      </c>
    </row>
    <row r="37" spans="1:41" s="20" customFormat="1" x14ac:dyDescent="0.3">
      <c r="A37" s="20" t="s">
        <v>3933</v>
      </c>
      <c r="B37" s="20">
        <v>1240</v>
      </c>
      <c r="C37" s="20" t="str">
        <f t="shared" si="0"/>
        <v>Up</v>
      </c>
      <c r="D37" s="21" t="str">
        <f t="shared" si="1"/>
        <v>Sig</v>
      </c>
      <c r="E37" s="21" t="str">
        <f t="shared" si="2"/>
        <v>Larger</v>
      </c>
      <c r="F37" s="22" t="str">
        <f t="shared" si="3"/>
        <v>Y</v>
      </c>
      <c r="G37" s="22" t="str">
        <f t="shared" si="4"/>
        <v>Y</v>
      </c>
      <c r="H37" s="22" t="str">
        <f t="shared" si="5"/>
        <v>Expressed</v>
      </c>
      <c r="I37" s="20">
        <v>697</v>
      </c>
      <c r="J37" s="20">
        <v>12.07672691350559</v>
      </c>
      <c r="K37" s="20">
        <v>717</v>
      </c>
      <c r="L37" s="20">
        <v>10.34320755725973</v>
      </c>
      <c r="M37" s="20">
        <v>1098</v>
      </c>
      <c r="N37" s="20">
        <v>11.384261420826981</v>
      </c>
      <c r="O37" s="20">
        <v>682</v>
      </c>
      <c r="P37" s="20">
        <v>12.108367778153919</v>
      </c>
      <c r="Q37" s="20">
        <v>1066</v>
      </c>
      <c r="R37" s="20">
        <v>20.523959370203219</v>
      </c>
      <c r="S37" s="20">
        <v>2191</v>
      </c>
      <c r="T37" s="20">
        <v>15.548940942244149</v>
      </c>
      <c r="U37" s="20">
        <v>1765</v>
      </c>
      <c r="V37" s="20">
        <v>15.90359745757555</v>
      </c>
      <c r="W37" s="20">
        <v>363</v>
      </c>
      <c r="X37" s="20">
        <v>14.73234655096684</v>
      </c>
      <c r="Y37" s="20">
        <v>957.07011591984349</v>
      </c>
      <c r="Z37" s="20">
        <v>0.69535611068964143</v>
      </c>
      <c r="AA37" s="20">
        <v>0.18321094057103429</v>
      </c>
      <c r="AB37" s="20">
        <v>3.7953853002574309</v>
      </c>
      <c r="AC37" s="20">
        <v>1.4741433681055889E-4</v>
      </c>
      <c r="AD37" s="20">
        <v>2.851320861331344E-2</v>
      </c>
      <c r="AE37" s="20" t="s">
        <v>3934</v>
      </c>
      <c r="AF37" s="20" t="s">
        <v>3935</v>
      </c>
      <c r="AG37" s="20" t="s">
        <v>3936</v>
      </c>
      <c r="AH37" s="20" t="s">
        <v>3937</v>
      </c>
      <c r="AI37" s="20" t="s">
        <v>43</v>
      </c>
      <c r="AJ37" s="20" t="s">
        <v>43</v>
      </c>
      <c r="AK37" s="20" t="s">
        <v>43</v>
      </c>
      <c r="AL37" s="20" t="s">
        <v>43</v>
      </c>
      <c r="AM37" s="20" t="s">
        <v>43</v>
      </c>
      <c r="AN37" s="20" t="s">
        <v>3938</v>
      </c>
      <c r="AO37" s="20" t="s">
        <v>43</v>
      </c>
    </row>
    <row r="38" spans="1:41" s="20" customFormat="1" x14ac:dyDescent="0.3">
      <c r="A38" s="20" t="s">
        <v>292</v>
      </c>
      <c r="B38" s="20">
        <v>4754</v>
      </c>
      <c r="C38" s="20" t="str">
        <f t="shared" si="0"/>
        <v>Up</v>
      </c>
      <c r="D38" s="21" t="str">
        <f t="shared" si="1"/>
        <v>Sig</v>
      </c>
      <c r="E38" s="21" t="str">
        <f t="shared" si="2"/>
        <v>Larger</v>
      </c>
      <c r="F38" s="22" t="str">
        <f t="shared" si="3"/>
        <v>Y</v>
      </c>
      <c r="G38" s="22" t="str">
        <f t="shared" si="4"/>
        <v>Y</v>
      </c>
      <c r="H38" s="22" t="str">
        <f t="shared" si="5"/>
        <v>Expressed</v>
      </c>
      <c r="I38" s="20">
        <v>3731</v>
      </c>
      <c r="J38" s="20">
        <v>16.86181129104866</v>
      </c>
      <c r="K38" s="20">
        <v>4335</v>
      </c>
      <c r="L38" s="20">
        <v>16.31126688390836</v>
      </c>
      <c r="M38" s="20">
        <v>9104</v>
      </c>
      <c r="N38" s="20">
        <v>24.620523146697099</v>
      </c>
      <c r="O38" s="20">
        <v>4931</v>
      </c>
      <c r="P38" s="20">
        <v>22.834880297577921</v>
      </c>
      <c r="Q38" s="20">
        <v>5550</v>
      </c>
      <c r="R38" s="20">
        <v>27.87144160338535</v>
      </c>
      <c r="S38" s="20">
        <v>16754</v>
      </c>
      <c r="T38" s="20">
        <v>31.01269123846075</v>
      </c>
      <c r="U38" s="20">
        <v>14376</v>
      </c>
      <c r="V38" s="20">
        <v>33.787124859475007</v>
      </c>
      <c r="W38" s="20">
        <v>4084</v>
      </c>
      <c r="X38" s="20">
        <v>43.232817780557852</v>
      </c>
      <c r="Y38" s="20">
        <v>7053.0721631501028</v>
      </c>
      <c r="Z38" s="20">
        <v>0.88275124229761226</v>
      </c>
      <c r="AA38" s="20">
        <v>0.2178462954880509</v>
      </c>
      <c r="AB38" s="20">
        <v>4.0521746781139649</v>
      </c>
      <c r="AC38" s="20">
        <v>5.074375557208195E-5</v>
      </c>
      <c r="AD38" s="20">
        <v>1.204564495907458E-2</v>
      </c>
      <c r="AE38" s="20" t="s">
        <v>293</v>
      </c>
      <c r="AF38" s="20" t="s">
        <v>294</v>
      </c>
      <c r="AG38" s="20" t="s">
        <v>295</v>
      </c>
      <c r="AH38" s="20" t="s">
        <v>296</v>
      </c>
      <c r="AI38" s="20" t="s">
        <v>43</v>
      </c>
      <c r="AJ38" s="20" t="s">
        <v>43</v>
      </c>
      <c r="AK38" s="20" t="s">
        <v>43</v>
      </c>
      <c r="AL38" s="20" t="s">
        <v>43</v>
      </c>
      <c r="AM38" s="20" t="s">
        <v>43</v>
      </c>
      <c r="AN38" s="20" t="s">
        <v>297</v>
      </c>
      <c r="AO38" s="20" t="s">
        <v>43</v>
      </c>
    </row>
    <row r="39" spans="1:41" s="20" customFormat="1" x14ac:dyDescent="0.3">
      <c r="A39" s="20" t="s">
        <v>3180</v>
      </c>
      <c r="B39" s="20">
        <v>1764</v>
      </c>
      <c r="C39" s="20" t="str">
        <f t="shared" si="0"/>
        <v>Up</v>
      </c>
      <c r="D39" s="21" t="str">
        <f t="shared" si="1"/>
        <v>Sig</v>
      </c>
      <c r="E39" s="21" t="str">
        <f t="shared" si="2"/>
        <v>Larger</v>
      </c>
      <c r="F39" s="22" t="str">
        <f t="shared" si="3"/>
        <v>Y</v>
      </c>
      <c r="G39" s="22" t="str">
        <f t="shared" si="4"/>
        <v>Y</v>
      </c>
      <c r="H39" s="22" t="str">
        <f t="shared" si="5"/>
        <v>Expressed</v>
      </c>
      <c r="I39" s="20">
        <v>11802</v>
      </c>
      <c r="J39" s="20">
        <v>143.74580603067179</v>
      </c>
      <c r="K39" s="20">
        <v>10256</v>
      </c>
      <c r="L39" s="20">
        <v>104.00092467433051</v>
      </c>
      <c r="M39" s="20">
        <v>25567</v>
      </c>
      <c r="N39" s="20">
        <v>186.3397016247803</v>
      </c>
      <c r="O39" s="20">
        <v>9418</v>
      </c>
      <c r="P39" s="20">
        <v>117.5392782257819</v>
      </c>
      <c r="Q39" s="20">
        <v>26469</v>
      </c>
      <c r="R39" s="20">
        <v>358.23216673829262</v>
      </c>
      <c r="S39" s="20">
        <v>31794</v>
      </c>
      <c r="T39" s="20">
        <v>158.60859233298279</v>
      </c>
      <c r="U39" s="20">
        <v>40634</v>
      </c>
      <c r="V39" s="20">
        <v>257.37321374708353</v>
      </c>
      <c r="W39" s="20">
        <v>10299</v>
      </c>
      <c r="X39" s="20">
        <v>293.82142707099638</v>
      </c>
      <c r="Y39" s="20">
        <v>19343.636309973968</v>
      </c>
      <c r="Z39" s="20">
        <v>1.0777478920030861</v>
      </c>
      <c r="AA39" s="20">
        <v>0.23407285447777351</v>
      </c>
      <c r="AB39" s="20">
        <v>4.6043266931041078</v>
      </c>
      <c r="AC39" s="20">
        <v>4.138024462401713E-6</v>
      </c>
      <c r="AD39" s="20">
        <v>1.421738088976757E-3</v>
      </c>
      <c r="AE39" s="20" t="s">
        <v>3181</v>
      </c>
      <c r="AF39" s="20" t="s">
        <v>3182</v>
      </c>
      <c r="AG39" s="20" t="s">
        <v>3183</v>
      </c>
      <c r="AH39" s="20" t="s">
        <v>3184</v>
      </c>
      <c r="AI39" s="20" t="s">
        <v>43</v>
      </c>
      <c r="AJ39" s="20" t="s">
        <v>43</v>
      </c>
      <c r="AK39" s="20" t="s">
        <v>43</v>
      </c>
      <c r="AL39" s="20" t="s">
        <v>43</v>
      </c>
      <c r="AM39" s="20" t="s">
        <v>43</v>
      </c>
      <c r="AN39" s="20" t="s">
        <v>3185</v>
      </c>
      <c r="AO39" s="20" t="s">
        <v>43</v>
      </c>
    </row>
    <row r="40" spans="1:41" s="20" customFormat="1" x14ac:dyDescent="0.3">
      <c r="A40" s="20" t="s">
        <v>3939</v>
      </c>
      <c r="B40" s="20">
        <v>1393</v>
      </c>
      <c r="C40" s="20" t="str">
        <f t="shared" si="0"/>
        <v>Up</v>
      </c>
      <c r="D40" s="21" t="str">
        <f t="shared" si="1"/>
        <v>Sig</v>
      </c>
      <c r="E40" s="21" t="str">
        <f t="shared" si="2"/>
        <v>Larger</v>
      </c>
      <c r="F40" s="22" t="str">
        <f t="shared" si="3"/>
        <v>N</v>
      </c>
      <c r="G40" s="22" t="str">
        <f t="shared" si="4"/>
        <v>Y</v>
      </c>
      <c r="H40" s="22" t="str">
        <f t="shared" si="5"/>
        <v>Expressed</v>
      </c>
      <c r="I40" s="20">
        <v>116</v>
      </c>
      <c r="J40" s="20">
        <v>1.7891428851972959</v>
      </c>
      <c r="K40" s="20">
        <v>104</v>
      </c>
      <c r="L40" s="20">
        <v>1.3354880064640939</v>
      </c>
      <c r="M40" s="20">
        <v>186</v>
      </c>
      <c r="N40" s="20">
        <v>1.716666898177811</v>
      </c>
      <c r="O40" s="20">
        <v>109</v>
      </c>
      <c r="P40" s="20">
        <v>1.722654947228059</v>
      </c>
      <c r="Q40" s="20">
        <v>207</v>
      </c>
      <c r="R40" s="20">
        <v>3.5476833989996628</v>
      </c>
      <c r="S40" s="20">
        <v>406</v>
      </c>
      <c r="T40" s="20">
        <v>2.5648090579923788</v>
      </c>
      <c r="U40" s="20">
        <v>337</v>
      </c>
      <c r="V40" s="20">
        <v>2.703031672149363</v>
      </c>
      <c r="W40" s="20">
        <v>69</v>
      </c>
      <c r="X40" s="20">
        <v>2.4927857922052672</v>
      </c>
      <c r="Y40" s="20">
        <v>170.98304616377581</v>
      </c>
      <c r="Z40" s="20">
        <v>0.95314336127680532</v>
      </c>
      <c r="AA40" s="20">
        <v>0.215257337883175</v>
      </c>
      <c r="AB40" s="20">
        <v>4.4279250623925188</v>
      </c>
      <c r="AC40" s="20">
        <v>9.5143943649764293E-6</v>
      </c>
      <c r="AD40" s="20">
        <v>3.0297544592471281E-3</v>
      </c>
      <c r="AE40" s="20" t="s">
        <v>3940</v>
      </c>
      <c r="AF40" s="20" t="s">
        <v>3941</v>
      </c>
      <c r="AG40" s="20" t="s">
        <v>3942</v>
      </c>
      <c r="AH40" s="20" t="s">
        <v>3943</v>
      </c>
      <c r="AI40" s="20" t="s">
        <v>43</v>
      </c>
      <c r="AJ40" s="20" t="s">
        <v>43</v>
      </c>
      <c r="AK40" s="20" t="s">
        <v>43</v>
      </c>
      <c r="AL40" s="20" t="s">
        <v>43</v>
      </c>
      <c r="AM40" s="20" t="s">
        <v>43</v>
      </c>
      <c r="AN40" s="20" t="s">
        <v>1042</v>
      </c>
      <c r="AO40" s="20" t="s">
        <v>43</v>
      </c>
    </row>
    <row r="41" spans="1:41" s="20" customFormat="1" x14ac:dyDescent="0.3">
      <c r="A41" s="20" t="s">
        <v>310</v>
      </c>
      <c r="B41" s="20">
        <v>1219</v>
      </c>
      <c r="C41" s="20" t="str">
        <f t="shared" si="0"/>
        <v>Up</v>
      </c>
      <c r="D41" s="21" t="str">
        <f t="shared" si="1"/>
        <v>Sig</v>
      </c>
      <c r="E41" s="21" t="str">
        <f t="shared" si="2"/>
        <v>Larger</v>
      </c>
      <c r="F41" s="22" t="str">
        <f t="shared" si="3"/>
        <v>Y</v>
      </c>
      <c r="G41" s="22" t="str">
        <f t="shared" si="4"/>
        <v>Y</v>
      </c>
      <c r="H41" s="22" t="str">
        <f t="shared" si="5"/>
        <v>Expressed</v>
      </c>
      <c r="I41" s="20">
        <v>567</v>
      </c>
      <c r="J41" s="20">
        <v>9.9934974552223821</v>
      </c>
      <c r="K41" s="20">
        <v>379</v>
      </c>
      <c r="L41" s="20">
        <v>5.5615170580291142</v>
      </c>
      <c r="M41" s="20">
        <v>652</v>
      </c>
      <c r="N41" s="20">
        <v>6.8765102584236244</v>
      </c>
      <c r="O41" s="20">
        <v>434</v>
      </c>
      <c r="P41" s="20">
        <v>7.8380663967764956</v>
      </c>
      <c r="Q41" s="20">
        <v>1676</v>
      </c>
      <c r="R41" s="20">
        <v>32.824334929540512</v>
      </c>
      <c r="S41" s="20">
        <v>2124</v>
      </c>
      <c r="T41" s="20">
        <v>15.3331339056319</v>
      </c>
      <c r="U41" s="20">
        <v>4506</v>
      </c>
      <c r="V41" s="20">
        <v>41.300930070092242</v>
      </c>
      <c r="W41" s="20">
        <v>1101</v>
      </c>
      <c r="X41" s="20">
        <v>45.453842184787632</v>
      </c>
      <c r="Y41" s="20">
        <v>1376.387251180103</v>
      </c>
      <c r="Z41" s="20">
        <v>2.2876919400442008</v>
      </c>
      <c r="AA41" s="20">
        <v>0.27698269689752197</v>
      </c>
      <c r="AB41" s="20">
        <v>8.2593315960476801</v>
      </c>
      <c r="AC41" s="20">
        <v>1.4649044891691099E-16</v>
      </c>
      <c r="AD41" s="20">
        <v>1.6631124357036429E-13</v>
      </c>
      <c r="AE41" s="20" t="s">
        <v>311</v>
      </c>
      <c r="AF41" s="20" t="s">
        <v>312</v>
      </c>
      <c r="AG41" s="20" t="s">
        <v>313</v>
      </c>
      <c r="AH41" s="20" t="s">
        <v>314</v>
      </c>
      <c r="AI41" s="20" t="s">
        <v>43</v>
      </c>
      <c r="AJ41" s="20" t="s">
        <v>43</v>
      </c>
      <c r="AK41" s="20" t="s">
        <v>43</v>
      </c>
      <c r="AL41" s="20" t="s">
        <v>43</v>
      </c>
      <c r="AM41" s="20" t="s">
        <v>43</v>
      </c>
      <c r="AN41" s="20" t="s">
        <v>315</v>
      </c>
      <c r="AO41" s="20" t="s">
        <v>43</v>
      </c>
    </row>
    <row r="42" spans="1:41" s="20" customFormat="1" x14ac:dyDescent="0.3">
      <c r="A42" s="20" t="s">
        <v>3944</v>
      </c>
      <c r="B42" s="20">
        <v>1370</v>
      </c>
      <c r="C42" s="20" t="str">
        <f t="shared" si="0"/>
        <v>Up</v>
      </c>
      <c r="D42" s="21" t="str">
        <f t="shared" si="1"/>
        <v>Sig</v>
      </c>
      <c r="E42" s="21" t="str">
        <f t="shared" si="2"/>
        <v>Larger</v>
      </c>
      <c r="F42" s="22" t="str">
        <f t="shared" si="3"/>
        <v>N</v>
      </c>
      <c r="G42" s="22" t="str">
        <f t="shared" si="4"/>
        <v>Y</v>
      </c>
      <c r="H42" s="22" t="str">
        <f t="shared" si="5"/>
        <v>Expressed</v>
      </c>
      <c r="I42" s="20">
        <v>116</v>
      </c>
      <c r="J42" s="20">
        <v>1.8191795905692221</v>
      </c>
      <c r="K42" s="20">
        <v>123</v>
      </c>
      <c r="L42" s="20">
        <v>1.60598806526917</v>
      </c>
      <c r="M42" s="20">
        <v>199</v>
      </c>
      <c r="N42" s="20">
        <v>1.867483246382452</v>
      </c>
      <c r="O42" s="20">
        <v>123</v>
      </c>
      <c r="P42" s="20">
        <v>1.976548422976685</v>
      </c>
      <c r="Q42" s="20">
        <v>147</v>
      </c>
      <c r="R42" s="20">
        <v>2.5616653524333008</v>
      </c>
      <c r="S42" s="20">
        <v>335</v>
      </c>
      <c r="T42" s="20">
        <v>2.1518121803556749</v>
      </c>
      <c r="U42" s="20">
        <v>397</v>
      </c>
      <c r="V42" s="20">
        <v>3.2377423777073639</v>
      </c>
      <c r="W42" s="20">
        <v>99</v>
      </c>
      <c r="X42" s="20">
        <v>3.6366509070734341</v>
      </c>
      <c r="Y42" s="20">
        <v>176.0618914429368</v>
      </c>
      <c r="Z42" s="20">
        <v>0.80490177947862951</v>
      </c>
      <c r="AA42" s="20">
        <v>0.22078088985183819</v>
      </c>
      <c r="AB42" s="20">
        <v>3.6457040281827999</v>
      </c>
      <c r="AC42" s="20">
        <v>2.6666074791213917E-4</v>
      </c>
      <c r="AD42" s="20">
        <v>4.580950953606433E-2</v>
      </c>
      <c r="AE42" s="20" t="s">
        <v>3945</v>
      </c>
      <c r="AF42" s="20" t="s">
        <v>3946</v>
      </c>
      <c r="AG42" s="20" t="s">
        <v>43</v>
      </c>
      <c r="AH42" s="20" t="s">
        <v>3947</v>
      </c>
      <c r="AI42" s="20" t="s">
        <v>43</v>
      </c>
      <c r="AJ42" s="20" t="s">
        <v>43</v>
      </c>
      <c r="AK42" s="20" t="s">
        <v>43</v>
      </c>
      <c r="AL42" s="20" t="s">
        <v>43</v>
      </c>
      <c r="AM42" s="20" t="s">
        <v>43</v>
      </c>
      <c r="AN42" s="20" t="s">
        <v>3948</v>
      </c>
      <c r="AO42" s="20" t="s">
        <v>43</v>
      </c>
    </row>
    <row r="43" spans="1:41" s="20" customFormat="1" x14ac:dyDescent="0.3">
      <c r="A43" s="20" t="s">
        <v>3949</v>
      </c>
      <c r="B43" s="20">
        <v>2741</v>
      </c>
      <c r="C43" s="20" t="str">
        <f t="shared" si="0"/>
        <v>Up</v>
      </c>
      <c r="D43" s="21" t="str">
        <f t="shared" si="1"/>
        <v>Sig</v>
      </c>
      <c r="E43" s="21" t="str">
        <f t="shared" si="2"/>
        <v>Larger</v>
      </c>
      <c r="F43" s="22" t="str">
        <f t="shared" si="3"/>
        <v>Y</v>
      </c>
      <c r="G43" s="22" t="str">
        <f t="shared" si="4"/>
        <v>Y</v>
      </c>
      <c r="H43" s="22" t="str">
        <f t="shared" si="5"/>
        <v>Expressed</v>
      </c>
      <c r="I43" s="20">
        <v>1525</v>
      </c>
      <c r="J43" s="20">
        <v>11.953606661288809</v>
      </c>
      <c r="K43" s="20">
        <v>1774</v>
      </c>
      <c r="L43" s="20">
        <v>11.577168364963491</v>
      </c>
      <c r="M43" s="20">
        <v>1768</v>
      </c>
      <c r="N43" s="20">
        <v>8.292728179492352</v>
      </c>
      <c r="O43" s="20">
        <v>1560</v>
      </c>
      <c r="P43" s="20">
        <v>12.52963665146769</v>
      </c>
      <c r="Q43" s="20">
        <v>3381</v>
      </c>
      <c r="R43" s="20">
        <v>29.44840396029673</v>
      </c>
      <c r="S43" s="20">
        <v>4493</v>
      </c>
      <c r="T43" s="20">
        <v>14.424723750546571</v>
      </c>
      <c r="U43" s="20">
        <v>4663</v>
      </c>
      <c r="V43" s="20">
        <v>19.007663283575859</v>
      </c>
      <c r="W43" s="20">
        <v>969</v>
      </c>
      <c r="X43" s="20">
        <v>17.79105604998248</v>
      </c>
      <c r="Y43" s="20">
        <v>2343.6192688685678</v>
      </c>
      <c r="Z43" s="20">
        <v>0.9919341014855898</v>
      </c>
      <c r="AA43" s="20">
        <v>0.24089266758758399</v>
      </c>
      <c r="AB43" s="20">
        <v>4.1177430239753612</v>
      </c>
      <c r="AC43" s="20">
        <v>3.8260097734342073E-5</v>
      </c>
      <c r="AD43" s="20">
        <v>9.6994919615450512E-3</v>
      </c>
      <c r="AE43" s="20" t="s">
        <v>3950</v>
      </c>
      <c r="AF43" s="20" t="s">
        <v>3951</v>
      </c>
      <c r="AG43" s="20" t="s">
        <v>3952</v>
      </c>
      <c r="AH43" s="20" t="s">
        <v>43</v>
      </c>
      <c r="AI43" s="20" t="s">
        <v>43</v>
      </c>
      <c r="AJ43" s="20" t="s">
        <v>43</v>
      </c>
      <c r="AK43" s="20" t="s">
        <v>43</v>
      </c>
      <c r="AL43" s="20" t="s">
        <v>43</v>
      </c>
      <c r="AM43" s="20" t="s">
        <v>43</v>
      </c>
      <c r="AN43" s="20" t="s">
        <v>43</v>
      </c>
      <c r="AO43" s="20" t="s">
        <v>43</v>
      </c>
    </row>
    <row r="44" spans="1:41" s="20" customFormat="1" x14ac:dyDescent="0.3">
      <c r="A44" s="20" t="s">
        <v>3953</v>
      </c>
      <c r="B44" s="20">
        <v>2235</v>
      </c>
      <c r="C44" s="20" t="str">
        <f t="shared" si="0"/>
        <v>Up</v>
      </c>
      <c r="D44" s="21" t="str">
        <f t="shared" si="1"/>
        <v>Sig</v>
      </c>
      <c r="E44" s="21" t="str">
        <f t="shared" si="2"/>
        <v>Larger</v>
      </c>
      <c r="F44" s="22" t="str">
        <f t="shared" si="3"/>
        <v>Y</v>
      </c>
      <c r="G44" s="22" t="str">
        <f t="shared" si="4"/>
        <v>Y</v>
      </c>
      <c r="H44" s="22" t="str">
        <f t="shared" si="5"/>
        <v>Expressed</v>
      </c>
      <c r="I44" s="20">
        <v>925</v>
      </c>
      <c r="J44" s="20">
        <v>8.8920594621185138</v>
      </c>
      <c r="K44" s="20">
        <v>906</v>
      </c>
      <c r="L44" s="20">
        <v>7.251175883935904</v>
      </c>
      <c r="M44" s="20">
        <v>932</v>
      </c>
      <c r="N44" s="20">
        <v>5.3612071730261359</v>
      </c>
      <c r="O44" s="20">
        <v>729</v>
      </c>
      <c r="P44" s="20">
        <v>7.1808013913151987</v>
      </c>
      <c r="Q44" s="20">
        <v>908</v>
      </c>
      <c r="R44" s="20">
        <v>9.6991560724190897</v>
      </c>
      <c r="S44" s="20">
        <v>3825</v>
      </c>
      <c r="T44" s="20">
        <v>15.060314238350299</v>
      </c>
      <c r="U44" s="20">
        <v>3042</v>
      </c>
      <c r="V44" s="20">
        <v>15.20736718767777</v>
      </c>
      <c r="W44" s="20">
        <v>544</v>
      </c>
      <c r="X44" s="20">
        <v>12.24921785200411</v>
      </c>
      <c r="Y44" s="20">
        <v>1261.711855075625</v>
      </c>
      <c r="Z44" s="20">
        <v>1.05593904097309</v>
      </c>
      <c r="AA44" s="20">
        <v>0.25993036837001038</v>
      </c>
      <c r="AB44" s="20">
        <v>4.0623919690290409</v>
      </c>
      <c r="AC44" s="20">
        <v>4.8572428211864983E-5</v>
      </c>
      <c r="AD44" s="20">
        <v>1.174373375433535E-2</v>
      </c>
      <c r="AE44" s="20" t="s">
        <v>3954</v>
      </c>
      <c r="AF44" s="20" t="s">
        <v>3955</v>
      </c>
      <c r="AG44" s="20" t="s">
        <v>3956</v>
      </c>
      <c r="AH44" s="20" t="s">
        <v>3957</v>
      </c>
      <c r="AI44" s="20" t="s">
        <v>43</v>
      </c>
      <c r="AJ44" s="20" t="s">
        <v>43</v>
      </c>
      <c r="AK44" s="20" t="s">
        <v>43</v>
      </c>
      <c r="AL44" s="20" t="s">
        <v>43</v>
      </c>
      <c r="AM44" s="20" t="s">
        <v>43</v>
      </c>
      <c r="AN44" s="20" t="s">
        <v>291</v>
      </c>
      <c r="AO44" s="20" t="s">
        <v>43</v>
      </c>
    </row>
    <row r="45" spans="1:41" s="20" customFormat="1" x14ac:dyDescent="0.3">
      <c r="A45" s="20" t="s">
        <v>3958</v>
      </c>
      <c r="B45" s="20">
        <v>1424</v>
      </c>
      <c r="C45" s="20" t="str">
        <f t="shared" si="0"/>
        <v>Up</v>
      </c>
      <c r="D45" s="21" t="str">
        <f t="shared" si="1"/>
        <v>Sig</v>
      </c>
      <c r="E45" s="21" t="str">
        <f t="shared" si="2"/>
        <v>Larger</v>
      </c>
      <c r="F45" s="22" t="str">
        <f t="shared" si="3"/>
        <v>N</v>
      </c>
      <c r="G45" s="22" t="str">
        <f t="shared" si="4"/>
        <v>Y</v>
      </c>
      <c r="H45" s="22" t="str">
        <f t="shared" si="5"/>
        <v>Expressed</v>
      </c>
      <c r="I45" s="20">
        <v>14</v>
      </c>
      <c r="J45" s="20">
        <v>0.211230291959982</v>
      </c>
      <c r="K45" s="20">
        <v>18</v>
      </c>
      <c r="L45" s="20">
        <v>0.22611026816443849</v>
      </c>
      <c r="M45" s="20">
        <v>25</v>
      </c>
      <c r="N45" s="20">
        <v>0.22571177936239831</v>
      </c>
      <c r="O45" s="20">
        <v>71</v>
      </c>
      <c r="P45" s="20">
        <v>1.0976686826467421</v>
      </c>
      <c r="Q45" s="20">
        <v>3424</v>
      </c>
      <c r="R45" s="20">
        <v>57.404956663333742</v>
      </c>
      <c r="S45" s="20">
        <v>6462</v>
      </c>
      <c r="T45" s="20">
        <v>39.933473343866282</v>
      </c>
      <c r="U45" s="20">
        <v>9427</v>
      </c>
      <c r="V45" s="20">
        <v>73.966636060246117</v>
      </c>
      <c r="W45" s="20">
        <v>2213</v>
      </c>
      <c r="X45" s="20">
        <v>78.20930219735493</v>
      </c>
      <c r="Y45" s="20">
        <v>2514.131715911491</v>
      </c>
      <c r="Z45" s="20">
        <v>7.2456381970577208</v>
      </c>
      <c r="AA45" s="20">
        <v>0.6443602829525108</v>
      </c>
      <c r="AB45" s="20">
        <v>11.24470019141717</v>
      </c>
      <c r="AC45" s="20">
        <v>2.4593082919745329E-29</v>
      </c>
      <c r="AD45" s="20">
        <v>8.0271822650048759E-26</v>
      </c>
    </row>
    <row r="46" spans="1:41" s="20" customFormat="1" x14ac:dyDescent="0.3">
      <c r="A46" s="20" t="s">
        <v>3959</v>
      </c>
      <c r="B46" s="20">
        <v>916</v>
      </c>
      <c r="C46" s="20" t="str">
        <f t="shared" si="0"/>
        <v>Up</v>
      </c>
      <c r="D46" s="21" t="str">
        <f t="shared" si="1"/>
        <v>Sig</v>
      </c>
      <c r="E46" s="21" t="str">
        <f t="shared" si="2"/>
        <v>Larger</v>
      </c>
      <c r="F46" s="22" t="str">
        <f t="shared" si="3"/>
        <v>Y</v>
      </c>
      <c r="G46" s="22" t="str">
        <f t="shared" si="4"/>
        <v>Y</v>
      </c>
      <c r="H46" s="22" t="str">
        <f t="shared" si="5"/>
        <v>Expressed</v>
      </c>
      <c r="I46" s="20">
        <v>11483</v>
      </c>
      <c r="J46" s="20">
        <v>269.33825625615242</v>
      </c>
      <c r="K46" s="20">
        <v>11138</v>
      </c>
      <c r="L46" s="20">
        <v>217.50513231109269</v>
      </c>
      <c r="M46" s="20">
        <v>15387</v>
      </c>
      <c r="N46" s="20">
        <v>215.9646576526678</v>
      </c>
      <c r="O46" s="20">
        <v>11622</v>
      </c>
      <c r="P46" s="20">
        <v>279.32403794701241</v>
      </c>
      <c r="Q46" s="20">
        <v>18005</v>
      </c>
      <c r="R46" s="20">
        <v>469.27052697820591</v>
      </c>
      <c r="S46" s="20">
        <v>27868</v>
      </c>
      <c r="T46" s="20">
        <v>267.72593861613831</v>
      </c>
      <c r="U46" s="20">
        <v>25157</v>
      </c>
      <c r="V46" s="20">
        <v>306.85678188074939</v>
      </c>
      <c r="W46" s="20">
        <v>8162</v>
      </c>
      <c r="X46" s="20">
        <v>448.42323060121652</v>
      </c>
      <c r="Y46" s="20">
        <v>15284.84293056038</v>
      </c>
      <c r="Z46" s="20">
        <v>0.71790121492871395</v>
      </c>
      <c r="AA46" s="20">
        <v>0.16944751764106961</v>
      </c>
      <c r="AB46" s="20">
        <v>4.2367172144085368</v>
      </c>
      <c r="AC46" s="20">
        <v>2.2681149643152611E-5</v>
      </c>
      <c r="AD46" s="20">
        <v>6.1692727029375111E-3</v>
      </c>
      <c r="AE46" s="20" t="s">
        <v>3960</v>
      </c>
      <c r="AF46" s="20" t="s">
        <v>3961</v>
      </c>
      <c r="AG46" s="20" t="s">
        <v>3962</v>
      </c>
      <c r="AH46" s="20" t="s">
        <v>913</v>
      </c>
      <c r="AI46" s="20" t="s">
        <v>43</v>
      </c>
      <c r="AJ46" s="20" t="s">
        <v>43</v>
      </c>
      <c r="AK46" s="20" t="s">
        <v>43</v>
      </c>
      <c r="AL46" s="20" t="s">
        <v>43</v>
      </c>
      <c r="AM46" s="20" t="s">
        <v>43</v>
      </c>
      <c r="AN46" s="20" t="s">
        <v>914</v>
      </c>
      <c r="AO46" s="20" t="s">
        <v>43</v>
      </c>
    </row>
    <row r="47" spans="1:41" s="20" customFormat="1" x14ac:dyDescent="0.3">
      <c r="A47" s="20" t="s">
        <v>329</v>
      </c>
      <c r="B47" s="20">
        <v>1968</v>
      </c>
      <c r="C47" s="20" t="str">
        <f t="shared" si="0"/>
        <v>Up</v>
      </c>
      <c r="D47" s="21" t="str">
        <f t="shared" si="1"/>
        <v>Sig</v>
      </c>
      <c r="E47" s="21" t="str">
        <f t="shared" si="2"/>
        <v>Larger</v>
      </c>
      <c r="F47" s="22" t="str">
        <f t="shared" si="3"/>
        <v>N</v>
      </c>
      <c r="G47" s="22" t="str">
        <f t="shared" si="4"/>
        <v>Y</v>
      </c>
      <c r="H47" s="22" t="str">
        <f t="shared" si="5"/>
        <v>Expressed</v>
      </c>
      <c r="I47" s="20">
        <v>145</v>
      </c>
      <c r="J47" s="20">
        <v>1.5830005329521299</v>
      </c>
      <c r="K47" s="20">
        <v>156</v>
      </c>
      <c r="L47" s="20">
        <v>1.417938104424149</v>
      </c>
      <c r="M47" s="20">
        <v>170</v>
      </c>
      <c r="N47" s="20">
        <v>1.1105753566676699</v>
      </c>
      <c r="O47" s="20">
        <v>107</v>
      </c>
      <c r="P47" s="20">
        <v>1.1969654030510619</v>
      </c>
      <c r="Q47" s="20">
        <v>953</v>
      </c>
      <c r="R47" s="20">
        <v>11.56094761348391</v>
      </c>
      <c r="S47" s="20">
        <v>1001</v>
      </c>
      <c r="T47" s="20">
        <v>4.4759899735686854</v>
      </c>
      <c r="U47" s="20">
        <v>4192</v>
      </c>
      <c r="V47" s="20">
        <v>23.799538183823412</v>
      </c>
      <c r="W47" s="20">
        <v>345</v>
      </c>
      <c r="X47" s="20">
        <v>8.8222830501573597</v>
      </c>
      <c r="Y47" s="20">
        <v>762.38590578702394</v>
      </c>
      <c r="Z47" s="20">
        <v>3.3780584002930931</v>
      </c>
      <c r="AA47" s="20">
        <v>0.41949103034664198</v>
      </c>
      <c r="AB47" s="20">
        <v>8.0527547811967981</v>
      </c>
      <c r="AC47" s="20">
        <v>8.0950991119728874E-16</v>
      </c>
      <c r="AD47" s="20">
        <v>8.4551691204734414E-13</v>
      </c>
    </row>
    <row r="48" spans="1:41" s="20" customFormat="1" x14ac:dyDescent="0.3">
      <c r="A48" s="20" t="s">
        <v>3963</v>
      </c>
      <c r="B48" s="20">
        <v>2881</v>
      </c>
      <c r="C48" s="20" t="str">
        <f t="shared" si="0"/>
        <v>Up</v>
      </c>
      <c r="D48" s="21" t="str">
        <f t="shared" si="1"/>
        <v>Sig</v>
      </c>
      <c r="E48" s="21" t="str">
        <f t="shared" si="2"/>
        <v>Larger</v>
      </c>
      <c r="F48" s="22" t="str">
        <f t="shared" si="3"/>
        <v>N</v>
      </c>
      <c r="G48" s="22" t="str">
        <f t="shared" si="4"/>
        <v>Y</v>
      </c>
      <c r="H48" s="22" t="str">
        <f t="shared" si="5"/>
        <v>Expressed</v>
      </c>
      <c r="I48" s="20">
        <v>313</v>
      </c>
      <c r="J48" s="20">
        <v>2.3342062748566348</v>
      </c>
      <c r="K48" s="20">
        <v>356</v>
      </c>
      <c r="L48" s="20">
        <v>2.210367615109591</v>
      </c>
      <c r="M48" s="20">
        <v>459</v>
      </c>
      <c r="N48" s="20">
        <v>2.0483003176637742</v>
      </c>
      <c r="O48" s="20">
        <v>232</v>
      </c>
      <c r="P48" s="20">
        <v>1.772832239141529</v>
      </c>
      <c r="Q48" s="20">
        <v>381</v>
      </c>
      <c r="R48" s="20">
        <v>3.1572381660978688</v>
      </c>
      <c r="S48" s="20">
        <v>784</v>
      </c>
      <c r="T48" s="20">
        <v>2.3947099904950329</v>
      </c>
      <c r="U48" s="20">
        <v>635</v>
      </c>
      <c r="V48" s="20">
        <v>2.4626507042024839</v>
      </c>
      <c r="W48" s="20">
        <v>209</v>
      </c>
      <c r="X48" s="20">
        <v>3.650816580320162</v>
      </c>
      <c r="Y48" s="20">
        <v>389.85440767459909</v>
      </c>
      <c r="Z48" s="20">
        <v>0.59949911483270124</v>
      </c>
      <c r="AA48" s="20">
        <v>0.1554072767462597</v>
      </c>
      <c r="AB48" s="20">
        <v>3.8576000261012862</v>
      </c>
      <c r="AC48" s="20">
        <v>1.145058246981861E-4</v>
      </c>
      <c r="AD48" s="20">
        <v>2.317810925983748E-2</v>
      </c>
    </row>
    <row r="49" spans="1:41" s="20" customFormat="1" x14ac:dyDescent="0.3">
      <c r="A49" s="20" t="s">
        <v>3964</v>
      </c>
      <c r="B49" s="20">
        <v>2706</v>
      </c>
      <c r="C49" s="20" t="str">
        <f t="shared" si="0"/>
        <v>Up</v>
      </c>
      <c r="D49" s="21" t="str">
        <f t="shared" si="1"/>
        <v>Sig</v>
      </c>
      <c r="E49" s="21" t="str">
        <f t="shared" si="2"/>
        <v>Larger</v>
      </c>
      <c r="F49" s="22" t="str">
        <f t="shared" si="3"/>
        <v>Y</v>
      </c>
      <c r="G49" s="22" t="str">
        <f t="shared" si="4"/>
        <v>Y</v>
      </c>
      <c r="H49" s="22" t="str">
        <f t="shared" si="5"/>
        <v>Expressed</v>
      </c>
      <c r="I49" s="20">
        <v>1013</v>
      </c>
      <c r="J49" s="20">
        <v>8.0430321749492553</v>
      </c>
      <c r="K49" s="20">
        <v>894</v>
      </c>
      <c r="L49" s="20">
        <v>5.9097280436139341</v>
      </c>
      <c r="M49" s="20">
        <v>1719</v>
      </c>
      <c r="N49" s="20">
        <v>8.1671830507453471</v>
      </c>
      <c r="O49" s="20">
        <v>1087</v>
      </c>
      <c r="P49" s="20">
        <v>8.8435098937400465</v>
      </c>
      <c r="Q49" s="20">
        <v>1382</v>
      </c>
      <c r="R49" s="20">
        <v>12.19286814983098</v>
      </c>
      <c r="S49" s="20">
        <v>2919</v>
      </c>
      <c r="T49" s="20">
        <v>9.4926271785283749</v>
      </c>
      <c r="U49" s="20">
        <v>2073</v>
      </c>
      <c r="V49" s="20">
        <v>8.5594105924819459</v>
      </c>
      <c r="W49" s="20">
        <v>729</v>
      </c>
      <c r="X49" s="20">
        <v>13.55772193636831</v>
      </c>
      <c r="Y49" s="20">
        <v>1367.0431764489131</v>
      </c>
      <c r="Z49" s="20">
        <v>0.62453972781598255</v>
      </c>
      <c r="AA49" s="20">
        <v>0.16730187627049231</v>
      </c>
      <c r="AB49" s="20">
        <v>3.733010900644246</v>
      </c>
      <c r="AC49" s="20">
        <v>1.8920440299501569E-4</v>
      </c>
      <c r="AD49" s="20">
        <v>3.4464168273442848E-2</v>
      </c>
      <c r="AE49" s="20" t="s">
        <v>3965</v>
      </c>
      <c r="AF49" s="20" t="s">
        <v>3966</v>
      </c>
      <c r="AG49" s="20" t="s">
        <v>55</v>
      </c>
      <c r="AH49" s="20" t="s">
        <v>3967</v>
      </c>
      <c r="AI49" s="20" t="s">
        <v>43</v>
      </c>
      <c r="AJ49" s="20" t="s">
        <v>43</v>
      </c>
      <c r="AK49" s="20" t="s">
        <v>43</v>
      </c>
      <c r="AL49" s="20" t="s">
        <v>43</v>
      </c>
      <c r="AM49" s="20" t="s">
        <v>43</v>
      </c>
      <c r="AN49" s="20" t="s">
        <v>3968</v>
      </c>
      <c r="AO49" s="20" t="s">
        <v>243</v>
      </c>
    </row>
    <row r="50" spans="1:41" s="20" customFormat="1" x14ac:dyDescent="0.3">
      <c r="A50" s="20" t="s">
        <v>3969</v>
      </c>
      <c r="B50" s="20">
        <v>1980</v>
      </c>
      <c r="C50" s="20" t="str">
        <f t="shared" si="0"/>
        <v>Up</v>
      </c>
      <c r="D50" s="21" t="str">
        <f t="shared" si="1"/>
        <v>Sig</v>
      </c>
      <c r="E50" s="21" t="str">
        <f t="shared" si="2"/>
        <v>Larger</v>
      </c>
      <c r="F50" s="22" t="str">
        <f t="shared" si="3"/>
        <v>Y</v>
      </c>
      <c r="G50" s="22" t="str">
        <f t="shared" si="4"/>
        <v>Y</v>
      </c>
      <c r="H50" s="22" t="str">
        <f t="shared" si="5"/>
        <v>Expressed</v>
      </c>
      <c r="I50" s="20">
        <v>4537</v>
      </c>
      <c r="J50" s="20">
        <v>49.231349657372022</v>
      </c>
      <c r="K50" s="20">
        <v>3165</v>
      </c>
      <c r="L50" s="20">
        <v>28.59343249737368</v>
      </c>
      <c r="M50" s="20">
        <v>5038</v>
      </c>
      <c r="N50" s="20">
        <v>32.712759290204723</v>
      </c>
      <c r="O50" s="20">
        <v>3673</v>
      </c>
      <c r="P50" s="20">
        <v>40.839334113093983</v>
      </c>
      <c r="Q50" s="20">
        <v>9306</v>
      </c>
      <c r="R50" s="20">
        <v>112.2079129545444</v>
      </c>
      <c r="S50" s="20">
        <v>14762</v>
      </c>
      <c r="T50" s="20">
        <v>65.608503583269041</v>
      </c>
      <c r="U50" s="20">
        <v>12964</v>
      </c>
      <c r="V50" s="20">
        <v>73.155365103045071</v>
      </c>
      <c r="W50" s="20">
        <v>4989</v>
      </c>
      <c r="X50" s="20">
        <v>126.804685156022</v>
      </c>
      <c r="Y50" s="20">
        <v>7067.1736513980204</v>
      </c>
      <c r="Z50" s="20">
        <v>1.439213296209054</v>
      </c>
      <c r="AA50" s="20">
        <v>0.18674957740099371</v>
      </c>
      <c r="AB50" s="20">
        <v>7.7066482090009556</v>
      </c>
      <c r="AC50" s="20">
        <v>1.291652147176548E-14</v>
      </c>
      <c r="AD50" s="20">
        <v>1.297216187195155E-11</v>
      </c>
      <c r="AE50" s="20" t="s">
        <v>3970</v>
      </c>
      <c r="AF50" s="20" t="s">
        <v>3971</v>
      </c>
      <c r="AG50" s="20" t="s">
        <v>3972</v>
      </c>
      <c r="AH50" s="20" t="s">
        <v>3973</v>
      </c>
      <c r="AI50" s="20" t="s">
        <v>43</v>
      </c>
      <c r="AJ50" s="20" t="s">
        <v>43</v>
      </c>
      <c r="AK50" s="20" t="s">
        <v>43</v>
      </c>
      <c r="AL50" s="20" t="s">
        <v>43</v>
      </c>
      <c r="AM50" s="20" t="s">
        <v>43</v>
      </c>
      <c r="AN50" s="20" t="s">
        <v>3974</v>
      </c>
      <c r="AO50" s="20" t="s">
        <v>43</v>
      </c>
    </row>
    <row r="51" spans="1:41" s="20" customFormat="1" x14ac:dyDescent="0.3">
      <c r="A51" s="20" t="s">
        <v>357</v>
      </c>
      <c r="B51" s="20">
        <v>1700</v>
      </c>
      <c r="C51" s="20" t="str">
        <f t="shared" si="0"/>
        <v>Up</v>
      </c>
      <c r="D51" s="21" t="str">
        <f t="shared" si="1"/>
        <v>Sig</v>
      </c>
      <c r="E51" s="21" t="str">
        <f t="shared" si="2"/>
        <v>Larger</v>
      </c>
      <c r="F51" s="22" t="str">
        <f t="shared" si="3"/>
        <v>N</v>
      </c>
      <c r="G51" s="22" t="str">
        <f t="shared" si="4"/>
        <v>Y</v>
      </c>
      <c r="H51" s="22" t="str">
        <f t="shared" si="5"/>
        <v>Expressed</v>
      </c>
      <c r="I51" s="20">
        <v>336</v>
      </c>
      <c r="J51" s="20">
        <v>4.2464743870731443</v>
      </c>
      <c r="K51" s="20">
        <v>135</v>
      </c>
      <c r="L51" s="20">
        <v>1.420504508233061</v>
      </c>
      <c r="M51" s="20">
        <v>217</v>
      </c>
      <c r="N51" s="20">
        <v>1.641099894522728</v>
      </c>
      <c r="O51" s="20">
        <v>596</v>
      </c>
      <c r="P51" s="20">
        <v>7.7182750757002534</v>
      </c>
      <c r="Q51" s="20">
        <v>9261</v>
      </c>
      <c r="R51" s="20">
        <v>130.0572568050107</v>
      </c>
      <c r="S51" s="20">
        <v>17961</v>
      </c>
      <c r="T51" s="20">
        <v>92.97404221733899</v>
      </c>
      <c r="U51" s="20">
        <v>22547</v>
      </c>
      <c r="V51" s="20">
        <v>148.18771229001339</v>
      </c>
      <c r="W51" s="20">
        <v>5187</v>
      </c>
      <c r="X51" s="20">
        <v>153.55158829076751</v>
      </c>
      <c r="Y51" s="20">
        <v>6457.8810674138685</v>
      </c>
      <c r="Z51" s="20">
        <v>5.2642830054090766</v>
      </c>
      <c r="AA51" s="20">
        <v>0.60808016231833817</v>
      </c>
      <c r="AB51" s="20">
        <v>8.657218787303826</v>
      </c>
      <c r="AC51" s="20">
        <v>4.8341428089526176E-18</v>
      </c>
      <c r="AD51" s="20">
        <v>6.010911287017654E-15</v>
      </c>
      <c r="AE51" s="20" t="s">
        <v>358</v>
      </c>
      <c r="AF51" s="20" t="s">
        <v>359</v>
      </c>
      <c r="AG51" s="20" t="s">
        <v>360</v>
      </c>
      <c r="AH51" s="20" t="s">
        <v>361</v>
      </c>
      <c r="AI51" s="20" t="s">
        <v>43</v>
      </c>
      <c r="AJ51" s="20" t="s">
        <v>43</v>
      </c>
      <c r="AK51" s="20" t="s">
        <v>43</v>
      </c>
      <c r="AL51" s="20" t="s">
        <v>43</v>
      </c>
      <c r="AM51" s="20" t="s">
        <v>43</v>
      </c>
      <c r="AN51" s="20" t="s">
        <v>362</v>
      </c>
      <c r="AO51" s="20" t="s">
        <v>43</v>
      </c>
    </row>
    <row r="52" spans="1:41" s="20" customFormat="1" x14ac:dyDescent="0.3">
      <c r="A52" s="20" t="s">
        <v>363</v>
      </c>
      <c r="B52" s="20">
        <v>684</v>
      </c>
      <c r="C52" s="20" t="str">
        <f t="shared" si="0"/>
        <v>Up</v>
      </c>
      <c r="D52" s="21" t="str">
        <f t="shared" si="1"/>
        <v>Sig</v>
      </c>
      <c r="E52" s="21" t="str">
        <f t="shared" si="2"/>
        <v>Larger</v>
      </c>
      <c r="F52" s="22" t="str">
        <f t="shared" si="3"/>
        <v>Y</v>
      </c>
      <c r="G52" s="22" t="str">
        <f t="shared" si="4"/>
        <v>Y</v>
      </c>
      <c r="H52" s="22" t="str">
        <f t="shared" si="5"/>
        <v>Expressed</v>
      </c>
      <c r="I52" s="20">
        <v>425</v>
      </c>
      <c r="J52" s="20">
        <v>13.34968386530714</v>
      </c>
      <c r="K52" s="20">
        <v>556</v>
      </c>
      <c r="L52" s="20">
        <v>14.54040352157125</v>
      </c>
      <c r="M52" s="20">
        <v>613</v>
      </c>
      <c r="N52" s="20">
        <v>11.522018757122209</v>
      </c>
      <c r="O52" s="20">
        <v>1107</v>
      </c>
      <c r="P52" s="20">
        <v>35.629886045763932</v>
      </c>
      <c r="Q52" s="20">
        <v>4996</v>
      </c>
      <c r="R52" s="20">
        <v>174.37810536297869</v>
      </c>
      <c r="S52" s="20">
        <v>8951</v>
      </c>
      <c r="T52" s="20">
        <v>115.15838802530421</v>
      </c>
      <c r="U52" s="20">
        <v>11878</v>
      </c>
      <c r="V52" s="20">
        <v>194.02583863073579</v>
      </c>
      <c r="W52" s="20">
        <v>3213</v>
      </c>
      <c r="X52" s="20">
        <v>236.39680916275199</v>
      </c>
      <c r="Y52" s="20">
        <v>3775.6362720164921</v>
      </c>
      <c r="Z52" s="20">
        <v>3.35358344663842</v>
      </c>
      <c r="AA52" s="20">
        <v>0.36001799407298901</v>
      </c>
      <c r="AB52" s="20">
        <v>9.3150439751589893</v>
      </c>
      <c r="AC52" s="20">
        <v>1.2190203162197749E-20</v>
      </c>
      <c r="AD52" s="20">
        <v>1.9894411560706721E-17</v>
      </c>
      <c r="AE52" s="20" t="s">
        <v>364</v>
      </c>
      <c r="AF52" s="20" t="s">
        <v>365</v>
      </c>
      <c r="AG52" s="20" t="s">
        <v>120</v>
      </c>
      <c r="AH52" s="20" t="s">
        <v>43</v>
      </c>
      <c r="AI52" s="20" t="s">
        <v>43</v>
      </c>
      <c r="AJ52" s="20" t="s">
        <v>43</v>
      </c>
      <c r="AK52" s="20" t="s">
        <v>43</v>
      </c>
      <c r="AL52" s="20" t="s">
        <v>43</v>
      </c>
      <c r="AM52" s="20" t="s">
        <v>43</v>
      </c>
      <c r="AN52" s="20" t="s">
        <v>43</v>
      </c>
      <c r="AO52" s="20" t="s">
        <v>43</v>
      </c>
    </row>
    <row r="53" spans="1:41" s="20" customFormat="1" x14ac:dyDescent="0.3">
      <c r="A53" s="20" t="s">
        <v>3975</v>
      </c>
      <c r="B53" s="20">
        <v>1001</v>
      </c>
      <c r="C53" s="20" t="str">
        <f t="shared" si="0"/>
        <v>Up</v>
      </c>
      <c r="D53" s="21" t="str">
        <f t="shared" si="1"/>
        <v>Sig</v>
      </c>
      <c r="E53" s="21" t="str">
        <f t="shared" si="2"/>
        <v>Larger</v>
      </c>
      <c r="F53" s="22" t="str">
        <f t="shared" si="3"/>
        <v>Y</v>
      </c>
      <c r="G53" s="22" t="str">
        <f t="shared" si="4"/>
        <v>Y</v>
      </c>
      <c r="H53" s="22" t="str">
        <f t="shared" si="5"/>
        <v>Expressed</v>
      </c>
      <c r="I53" s="20">
        <v>617</v>
      </c>
      <c r="J53" s="20">
        <v>13.24308722408847</v>
      </c>
      <c r="K53" s="20">
        <v>637</v>
      </c>
      <c r="L53" s="20">
        <v>11.383167439712739</v>
      </c>
      <c r="M53" s="20">
        <v>928</v>
      </c>
      <c r="N53" s="20">
        <v>11.918952906996489</v>
      </c>
      <c r="O53" s="20">
        <v>793</v>
      </c>
      <c r="P53" s="20">
        <v>17.440624190493249</v>
      </c>
      <c r="Q53" s="20">
        <v>1364</v>
      </c>
      <c r="R53" s="20">
        <v>32.531637143707052</v>
      </c>
      <c r="S53" s="20">
        <v>2642</v>
      </c>
      <c r="T53" s="20">
        <v>23.226237223327661</v>
      </c>
      <c r="U53" s="20">
        <v>3256</v>
      </c>
      <c r="V53" s="20">
        <v>36.343158551994073</v>
      </c>
      <c r="W53" s="20">
        <v>757</v>
      </c>
      <c r="X53" s="20">
        <v>38.058247703980747</v>
      </c>
      <c r="Y53" s="20">
        <v>1267.913638607394</v>
      </c>
      <c r="Z53" s="20">
        <v>1.3986954403489049</v>
      </c>
      <c r="AA53" s="20">
        <v>0.21437825777657829</v>
      </c>
      <c r="AB53" s="20">
        <v>6.5244276861630413</v>
      </c>
      <c r="AC53" s="20">
        <v>6.8261673445033388E-11</v>
      </c>
      <c r="AD53" s="20">
        <v>4.8174292351262478E-8</v>
      </c>
      <c r="AE53" s="20" t="s">
        <v>3976</v>
      </c>
      <c r="AF53" s="20" t="s">
        <v>3977</v>
      </c>
      <c r="AG53" s="20" t="s">
        <v>3978</v>
      </c>
      <c r="AH53" s="20" t="s">
        <v>3979</v>
      </c>
      <c r="AI53" s="20" t="s">
        <v>43</v>
      </c>
      <c r="AJ53" s="20" t="s">
        <v>43</v>
      </c>
      <c r="AK53" s="20" t="s">
        <v>43</v>
      </c>
      <c r="AL53" s="20" t="s">
        <v>43</v>
      </c>
      <c r="AM53" s="20" t="s">
        <v>43</v>
      </c>
      <c r="AN53" s="20" t="s">
        <v>3980</v>
      </c>
      <c r="AO53" s="20" t="s">
        <v>43</v>
      </c>
    </row>
    <row r="54" spans="1:41" s="20" customFormat="1" x14ac:dyDescent="0.3">
      <c r="A54" s="20" t="s">
        <v>3981</v>
      </c>
      <c r="B54" s="20">
        <v>2627</v>
      </c>
      <c r="C54" s="20" t="str">
        <f t="shared" si="0"/>
        <v>Up</v>
      </c>
      <c r="D54" s="21" t="str">
        <f t="shared" si="1"/>
        <v>Sig</v>
      </c>
      <c r="E54" s="21" t="str">
        <f t="shared" si="2"/>
        <v>Larger</v>
      </c>
      <c r="F54" s="22" t="str">
        <f t="shared" si="3"/>
        <v>N</v>
      </c>
      <c r="G54" s="22" t="str">
        <f t="shared" si="4"/>
        <v>Y</v>
      </c>
      <c r="H54" s="22" t="str">
        <f t="shared" si="5"/>
        <v>Expressed</v>
      </c>
      <c r="I54" s="20">
        <v>10</v>
      </c>
      <c r="J54" s="20">
        <v>8.1785832767147321E-2</v>
      </c>
      <c r="K54" s="20">
        <v>46</v>
      </c>
      <c r="L54" s="20">
        <v>0.31322435828455319</v>
      </c>
      <c r="M54" s="20">
        <v>35</v>
      </c>
      <c r="N54" s="20">
        <v>0.1712900659828234</v>
      </c>
      <c r="O54" s="20">
        <v>16</v>
      </c>
      <c r="P54" s="20">
        <v>0.1340858112956104</v>
      </c>
      <c r="Q54" s="20">
        <v>660</v>
      </c>
      <c r="R54" s="20">
        <v>5.998041820213925</v>
      </c>
      <c r="S54" s="20">
        <v>779</v>
      </c>
      <c r="T54" s="20">
        <v>2.609501233733488</v>
      </c>
      <c r="U54" s="20">
        <v>2197</v>
      </c>
      <c r="V54" s="20">
        <v>9.3442044926189052</v>
      </c>
      <c r="W54" s="20">
        <v>320</v>
      </c>
      <c r="X54" s="20">
        <v>6.1302317336324554</v>
      </c>
      <c r="Y54" s="20">
        <v>461.74638174569338</v>
      </c>
      <c r="Z54" s="20">
        <v>5.1951407498004096</v>
      </c>
      <c r="AA54" s="20">
        <v>0.44475745204875089</v>
      </c>
      <c r="AB54" s="20">
        <v>11.680840255445471</v>
      </c>
      <c r="AC54" s="20">
        <v>1.5970890560156051E-31</v>
      </c>
      <c r="AD54" s="20">
        <v>5.9575984900970671E-28</v>
      </c>
    </row>
    <row r="55" spans="1:41" s="20" customFormat="1" x14ac:dyDescent="0.3">
      <c r="A55" s="20" t="s">
        <v>3982</v>
      </c>
      <c r="B55" s="20">
        <v>426</v>
      </c>
      <c r="C55" s="20" t="str">
        <f t="shared" si="0"/>
        <v>Up</v>
      </c>
      <c r="D55" s="21" t="str">
        <f t="shared" si="1"/>
        <v>Sig</v>
      </c>
      <c r="E55" s="21" t="str">
        <f t="shared" si="2"/>
        <v>Larger</v>
      </c>
      <c r="F55" s="22" t="str">
        <f t="shared" si="3"/>
        <v>Y</v>
      </c>
      <c r="G55" s="22" t="str">
        <f t="shared" si="4"/>
        <v>Y</v>
      </c>
      <c r="H55" s="22" t="str">
        <f t="shared" si="5"/>
        <v>Expressed</v>
      </c>
      <c r="I55" s="20">
        <v>228</v>
      </c>
      <c r="J55" s="20">
        <v>11.49908808706091</v>
      </c>
      <c r="K55" s="20">
        <v>163</v>
      </c>
      <c r="L55" s="20">
        <v>6.8444061768628277</v>
      </c>
      <c r="M55" s="20">
        <v>278</v>
      </c>
      <c r="N55" s="20">
        <v>8.3899505652348658</v>
      </c>
      <c r="O55" s="20">
        <v>144</v>
      </c>
      <c r="P55" s="20">
        <v>7.4417625269063787</v>
      </c>
      <c r="Q55" s="20">
        <v>322</v>
      </c>
      <c r="R55" s="20">
        <v>18.045623799502199</v>
      </c>
      <c r="S55" s="20">
        <v>587</v>
      </c>
      <c r="T55" s="20">
        <v>12.12575038413727</v>
      </c>
      <c r="U55" s="20">
        <v>482</v>
      </c>
      <c r="V55" s="20">
        <v>12.641825437821691</v>
      </c>
      <c r="W55" s="20">
        <v>134</v>
      </c>
      <c r="X55" s="20">
        <v>15.83004632049464</v>
      </c>
      <c r="Y55" s="20">
        <v>267.9219702744316</v>
      </c>
      <c r="Z55" s="20">
        <v>0.93201737767302306</v>
      </c>
      <c r="AA55" s="20">
        <v>0.1806537671447786</v>
      </c>
      <c r="AB55" s="20">
        <v>5.1591361331872507</v>
      </c>
      <c r="AC55" s="20">
        <v>2.4809187776124378E-7</v>
      </c>
      <c r="AD55" s="20">
        <v>1.131807249701321E-4</v>
      </c>
      <c r="AE55" s="20" t="s">
        <v>3983</v>
      </c>
      <c r="AF55" s="20" t="s">
        <v>3984</v>
      </c>
      <c r="AG55" s="20" t="s">
        <v>43</v>
      </c>
      <c r="AH55" s="20" t="s">
        <v>3957</v>
      </c>
      <c r="AI55" s="20" t="s">
        <v>43</v>
      </c>
      <c r="AJ55" s="20" t="s">
        <v>43</v>
      </c>
      <c r="AK55" s="20" t="s">
        <v>43</v>
      </c>
      <c r="AL55" s="20" t="s">
        <v>43</v>
      </c>
      <c r="AM55" s="20" t="s">
        <v>43</v>
      </c>
      <c r="AN55" s="20" t="s">
        <v>291</v>
      </c>
      <c r="AO55" s="20" t="s">
        <v>43</v>
      </c>
    </row>
    <row r="56" spans="1:41" s="20" customFormat="1" x14ac:dyDescent="0.3">
      <c r="A56" s="20" t="s">
        <v>3985</v>
      </c>
      <c r="B56" s="20">
        <v>1585</v>
      </c>
      <c r="C56" s="20" t="str">
        <f t="shared" si="0"/>
        <v>Up</v>
      </c>
      <c r="D56" s="21" t="str">
        <f t="shared" si="1"/>
        <v>Sig</v>
      </c>
      <c r="E56" s="21" t="str">
        <f t="shared" si="2"/>
        <v>Larger</v>
      </c>
      <c r="F56" s="22" t="str">
        <f t="shared" si="3"/>
        <v>Y</v>
      </c>
      <c r="G56" s="22" t="str">
        <f t="shared" si="4"/>
        <v>Y</v>
      </c>
      <c r="H56" s="22" t="str">
        <f t="shared" si="5"/>
        <v>Expressed</v>
      </c>
      <c r="I56" s="20">
        <v>1229</v>
      </c>
      <c r="J56" s="20">
        <v>16.659454215322071</v>
      </c>
      <c r="K56" s="20">
        <v>1023</v>
      </c>
      <c r="L56" s="20">
        <v>11.545271131057911</v>
      </c>
      <c r="M56" s="20">
        <v>2024</v>
      </c>
      <c r="N56" s="20">
        <v>16.41744033805929</v>
      </c>
      <c r="O56" s="20">
        <v>1407</v>
      </c>
      <c r="P56" s="20">
        <v>19.542843090177879</v>
      </c>
      <c r="Q56" s="20">
        <v>2304</v>
      </c>
      <c r="R56" s="20">
        <v>34.703944083129109</v>
      </c>
      <c r="S56" s="20">
        <v>3692</v>
      </c>
      <c r="T56" s="20">
        <v>20.498049966055309</v>
      </c>
      <c r="U56" s="20">
        <v>3341</v>
      </c>
      <c r="V56" s="20">
        <v>23.55155349501516</v>
      </c>
      <c r="W56" s="20">
        <v>885</v>
      </c>
      <c r="X56" s="20">
        <v>28.099655178161331</v>
      </c>
      <c r="Y56" s="20">
        <v>1841.9231081781361</v>
      </c>
      <c r="Z56" s="20">
        <v>0.86610726879807398</v>
      </c>
      <c r="AA56" s="20">
        <v>0.200883598724204</v>
      </c>
      <c r="AB56" s="20">
        <v>4.3114882165525383</v>
      </c>
      <c r="AC56" s="20">
        <v>1.6215941754558421E-5</v>
      </c>
      <c r="AD56" s="20">
        <v>4.6530842977475784E-3</v>
      </c>
      <c r="AE56" s="20" t="s">
        <v>3986</v>
      </c>
      <c r="AF56" s="20" t="s">
        <v>3987</v>
      </c>
      <c r="AG56" s="20" t="s">
        <v>43</v>
      </c>
      <c r="AH56" s="20" t="s">
        <v>320</v>
      </c>
      <c r="AI56" s="20" t="s">
        <v>43</v>
      </c>
      <c r="AJ56" s="20" t="s">
        <v>43</v>
      </c>
      <c r="AK56" s="20" t="s">
        <v>43</v>
      </c>
      <c r="AL56" s="20" t="s">
        <v>43</v>
      </c>
      <c r="AM56" s="20" t="s">
        <v>43</v>
      </c>
      <c r="AN56" s="20" t="s">
        <v>321</v>
      </c>
      <c r="AO56" s="20" t="s">
        <v>322</v>
      </c>
    </row>
    <row r="57" spans="1:41" s="20" customFormat="1" x14ac:dyDescent="0.3">
      <c r="A57" s="20" t="s">
        <v>3988</v>
      </c>
      <c r="B57" s="20">
        <v>1784</v>
      </c>
      <c r="C57" s="20" t="str">
        <f t="shared" si="0"/>
        <v>Up</v>
      </c>
      <c r="D57" s="21" t="str">
        <f t="shared" si="1"/>
        <v>Sig</v>
      </c>
      <c r="E57" s="21" t="str">
        <f t="shared" si="2"/>
        <v>Larger</v>
      </c>
      <c r="F57" s="22" t="str">
        <f t="shared" si="3"/>
        <v>Y</v>
      </c>
      <c r="G57" s="22" t="str">
        <f t="shared" si="4"/>
        <v>Y</v>
      </c>
      <c r="H57" s="22" t="str">
        <f t="shared" si="5"/>
        <v>Expressed</v>
      </c>
      <c r="I57" s="20">
        <v>3882</v>
      </c>
      <c r="J57" s="20">
        <v>46.751853562837837</v>
      </c>
      <c r="K57" s="20">
        <v>6185</v>
      </c>
      <c r="L57" s="20">
        <v>62.015838946256927</v>
      </c>
      <c r="M57" s="20">
        <v>6366</v>
      </c>
      <c r="N57" s="20">
        <v>45.877103383128762</v>
      </c>
      <c r="O57" s="20">
        <v>4857</v>
      </c>
      <c r="P57" s="20">
        <v>59.937160923862201</v>
      </c>
      <c r="Q57" s="20">
        <v>6261</v>
      </c>
      <c r="R57" s="20">
        <v>83.786583223022916</v>
      </c>
      <c r="S57" s="20">
        <v>18265</v>
      </c>
      <c r="T57" s="20">
        <v>90.095883440949535</v>
      </c>
      <c r="U57" s="20">
        <v>23160</v>
      </c>
      <c r="V57" s="20">
        <v>145.0494395335426</v>
      </c>
      <c r="W57" s="20">
        <v>3067</v>
      </c>
      <c r="X57" s="20">
        <v>86.517888610500094</v>
      </c>
      <c r="Y57" s="20">
        <v>7764.9592005872519</v>
      </c>
      <c r="Z57" s="20">
        <v>1.07958916761668</v>
      </c>
      <c r="AA57" s="20">
        <v>0.28563440827952019</v>
      </c>
      <c r="AB57" s="20">
        <v>3.7796187585362628</v>
      </c>
      <c r="AC57" s="20">
        <v>1.5706866581520799E-4</v>
      </c>
      <c r="AD57" s="20">
        <v>3.0088815806825629E-2</v>
      </c>
      <c r="AE57" s="20" t="s">
        <v>3989</v>
      </c>
      <c r="AF57" s="20" t="s">
        <v>3990</v>
      </c>
      <c r="AG57" s="20" t="s">
        <v>43</v>
      </c>
      <c r="AH57" s="20" t="s">
        <v>3991</v>
      </c>
      <c r="AI57" s="20" t="s">
        <v>43</v>
      </c>
      <c r="AJ57" s="20" t="s">
        <v>43</v>
      </c>
      <c r="AK57" s="20" t="s">
        <v>43</v>
      </c>
      <c r="AL57" s="20" t="s">
        <v>43</v>
      </c>
      <c r="AM57" s="20" t="s">
        <v>43</v>
      </c>
      <c r="AN57" s="20" t="s">
        <v>3992</v>
      </c>
      <c r="AO57" s="20" t="s">
        <v>43</v>
      </c>
    </row>
    <row r="58" spans="1:41" s="20" customFormat="1" x14ac:dyDescent="0.3">
      <c r="A58" s="20" t="s">
        <v>3993</v>
      </c>
      <c r="B58" s="20">
        <v>2773</v>
      </c>
      <c r="C58" s="20" t="str">
        <f t="shared" si="0"/>
        <v>Up</v>
      </c>
      <c r="D58" s="21" t="str">
        <f t="shared" si="1"/>
        <v>Sig</v>
      </c>
      <c r="E58" s="21" t="str">
        <f t="shared" si="2"/>
        <v>Larger</v>
      </c>
      <c r="F58" s="22" t="str">
        <f t="shared" si="3"/>
        <v>Y</v>
      </c>
      <c r="G58" s="22" t="str">
        <f t="shared" si="4"/>
        <v>Y</v>
      </c>
      <c r="H58" s="22" t="str">
        <f t="shared" si="5"/>
        <v>Expressed</v>
      </c>
      <c r="I58" s="20">
        <v>369</v>
      </c>
      <c r="J58" s="20">
        <v>2.859003253107113</v>
      </c>
      <c r="K58" s="20">
        <v>336</v>
      </c>
      <c r="L58" s="20">
        <v>2.1674404645396068</v>
      </c>
      <c r="M58" s="20">
        <v>920</v>
      </c>
      <c r="N58" s="20">
        <v>4.2654235543756318</v>
      </c>
      <c r="O58" s="20">
        <v>457</v>
      </c>
      <c r="P58" s="20">
        <v>3.6281835062887851</v>
      </c>
      <c r="Q58" s="20">
        <v>798</v>
      </c>
      <c r="R58" s="20">
        <v>6.8703466203532884</v>
      </c>
      <c r="S58" s="20">
        <v>1801</v>
      </c>
      <c r="T58" s="20">
        <v>5.715364920199776</v>
      </c>
      <c r="U58" s="20">
        <v>1510</v>
      </c>
      <c r="V58" s="20">
        <v>6.0841432059988527</v>
      </c>
      <c r="W58" s="20">
        <v>309</v>
      </c>
      <c r="X58" s="20">
        <v>5.6078397698273648</v>
      </c>
      <c r="Y58" s="20">
        <v>712.44397784171395</v>
      </c>
      <c r="Z58" s="20">
        <v>1.064811976965939</v>
      </c>
      <c r="AA58" s="20">
        <v>0.24473690435365719</v>
      </c>
      <c r="AB58" s="20">
        <v>4.3508435304355713</v>
      </c>
      <c r="AC58" s="20">
        <v>1.3561480424037251E-5</v>
      </c>
      <c r="AD58" s="20">
        <v>3.9788469307018041E-3</v>
      </c>
      <c r="AE58" s="20" t="s">
        <v>3994</v>
      </c>
      <c r="AF58" s="20" t="s">
        <v>3995</v>
      </c>
      <c r="AG58" s="20" t="s">
        <v>43</v>
      </c>
      <c r="AH58" s="20" t="s">
        <v>3996</v>
      </c>
      <c r="AI58" s="20" t="s">
        <v>43</v>
      </c>
      <c r="AJ58" s="20" t="s">
        <v>43</v>
      </c>
      <c r="AK58" s="20" t="s">
        <v>43</v>
      </c>
      <c r="AL58" s="20" t="s">
        <v>43</v>
      </c>
      <c r="AM58" s="20" t="s">
        <v>43</v>
      </c>
      <c r="AN58" s="20" t="s">
        <v>371</v>
      </c>
      <c r="AO58" s="20" t="s">
        <v>43</v>
      </c>
    </row>
    <row r="59" spans="1:41" s="20" customFormat="1" x14ac:dyDescent="0.3">
      <c r="A59" s="20" t="s">
        <v>397</v>
      </c>
      <c r="B59" s="20">
        <v>1622</v>
      </c>
      <c r="C59" s="20" t="str">
        <f t="shared" si="0"/>
        <v>Up</v>
      </c>
      <c r="D59" s="21" t="str">
        <f t="shared" si="1"/>
        <v>Sig</v>
      </c>
      <c r="E59" s="21" t="str">
        <f t="shared" si="2"/>
        <v>Larger</v>
      </c>
      <c r="F59" s="22" t="str">
        <f t="shared" si="3"/>
        <v>Y</v>
      </c>
      <c r="G59" s="22" t="str">
        <f t="shared" si="4"/>
        <v>Y</v>
      </c>
      <c r="H59" s="22" t="str">
        <f t="shared" si="5"/>
        <v>Expressed</v>
      </c>
      <c r="I59" s="20">
        <v>4112</v>
      </c>
      <c r="J59" s="20">
        <v>54.467872107106359</v>
      </c>
      <c r="K59" s="20">
        <v>3984</v>
      </c>
      <c r="L59" s="20">
        <v>43.936580049143153</v>
      </c>
      <c r="M59" s="20">
        <v>6008</v>
      </c>
      <c r="N59" s="20">
        <v>47.621522847418667</v>
      </c>
      <c r="O59" s="20">
        <v>3042</v>
      </c>
      <c r="P59" s="20">
        <v>41.288706177720243</v>
      </c>
      <c r="Q59" s="20">
        <v>4307</v>
      </c>
      <c r="R59" s="20">
        <v>63.394217946745911</v>
      </c>
      <c r="S59" s="20">
        <v>10396</v>
      </c>
      <c r="T59" s="20">
        <v>56.40213485278781</v>
      </c>
      <c r="U59" s="20">
        <v>8369</v>
      </c>
      <c r="V59" s="20">
        <v>57.649436687416888</v>
      </c>
      <c r="W59" s="20">
        <v>2820</v>
      </c>
      <c r="X59" s="20">
        <v>87.495404815027626</v>
      </c>
      <c r="Y59" s="20">
        <v>4952.4609557155654</v>
      </c>
      <c r="Z59" s="20">
        <v>0.63072849234360295</v>
      </c>
      <c r="AA59" s="20">
        <v>0.1223134369318286</v>
      </c>
      <c r="AB59" s="20">
        <v>5.1566574218263499</v>
      </c>
      <c r="AC59" s="20">
        <v>2.5139713726515258E-7</v>
      </c>
      <c r="AD59" s="20">
        <v>1.131807249701321E-4</v>
      </c>
      <c r="AE59" s="20" t="s">
        <v>398</v>
      </c>
      <c r="AF59" s="20" t="s">
        <v>399</v>
      </c>
      <c r="AG59" s="20" t="s">
        <v>400</v>
      </c>
      <c r="AH59" s="20" t="s">
        <v>401</v>
      </c>
      <c r="AI59" s="20" t="s">
        <v>43</v>
      </c>
      <c r="AJ59" s="20" t="s">
        <v>43</v>
      </c>
      <c r="AK59" s="20" t="s">
        <v>43</v>
      </c>
      <c r="AL59" s="20" t="s">
        <v>43</v>
      </c>
      <c r="AM59" s="20" t="s">
        <v>43</v>
      </c>
      <c r="AN59" s="20" t="s">
        <v>402</v>
      </c>
      <c r="AO59" s="20" t="s">
        <v>43</v>
      </c>
    </row>
    <row r="60" spans="1:41" s="20" customFormat="1" x14ac:dyDescent="0.3">
      <c r="A60" s="20" t="s">
        <v>3997</v>
      </c>
      <c r="B60" s="20">
        <v>1177</v>
      </c>
      <c r="C60" s="20" t="str">
        <f t="shared" si="0"/>
        <v>Up</v>
      </c>
      <c r="D60" s="21" t="str">
        <f t="shared" si="1"/>
        <v>Sig</v>
      </c>
      <c r="E60" s="21" t="str">
        <f t="shared" si="2"/>
        <v>Larger</v>
      </c>
      <c r="F60" s="22" t="str">
        <f t="shared" si="3"/>
        <v>Y</v>
      </c>
      <c r="G60" s="22" t="str">
        <f t="shared" si="4"/>
        <v>Y</v>
      </c>
      <c r="H60" s="22" t="str">
        <f t="shared" si="5"/>
        <v>Expressed</v>
      </c>
      <c r="I60" s="20">
        <v>227</v>
      </c>
      <c r="J60" s="20">
        <v>4.1436927670518431</v>
      </c>
      <c r="K60" s="20">
        <v>230</v>
      </c>
      <c r="L60" s="20">
        <v>3.4954986797515768</v>
      </c>
      <c r="M60" s="20">
        <v>366</v>
      </c>
      <c r="N60" s="20">
        <v>3.997871470355554</v>
      </c>
      <c r="O60" s="20">
        <v>173</v>
      </c>
      <c r="P60" s="20">
        <v>3.235881093103619</v>
      </c>
      <c r="Q60" s="20">
        <v>302</v>
      </c>
      <c r="R60" s="20">
        <v>6.1257054018099408</v>
      </c>
      <c r="S60" s="20">
        <v>579</v>
      </c>
      <c r="T60" s="20">
        <v>4.3289465395795848</v>
      </c>
      <c r="U60" s="20">
        <v>479</v>
      </c>
      <c r="V60" s="20">
        <v>4.5470674932916646</v>
      </c>
      <c r="W60" s="20">
        <v>166</v>
      </c>
      <c r="X60" s="20">
        <v>7.0977158954596122</v>
      </c>
      <c r="Y60" s="20">
        <v>293.32619808527062</v>
      </c>
      <c r="Z60" s="20">
        <v>0.68294304760676472</v>
      </c>
      <c r="AA60" s="20">
        <v>0.15944668252740579</v>
      </c>
      <c r="AB60" s="20">
        <v>4.2832063783414256</v>
      </c>
      <c r="AC60" s="20">
        <v>1.842191527235773E-5</v>
      </c>
      <c r="AD60" s="20">
        <v>5.1723984042129582E-3</v>
      </c>
      <c r="AE60" s="20" t="s">
        <v>3998</v>
      </c>
      <c r="AF60" s="20" t="s">
        <v>3999</v>
      </c>
      <c r="AG60" s="20" t="s">
        <v>4000</v>
      </c>
      <c r="AH60" s="20" t="s">
        <v>4001</v>
      </c>
      <c r="AI60" s="20" t="s">
        <v>43</v>
      </c>
      <c r="AJ60" s="20" t="s">
        <v>43</v>
      </c>
      <c r="AK60" s="20" t="s">
        <v>43</v>
      </c>
      <c r="AL60" s="20" t="s">
        <v>43</v>
      </c>
      <c r="AM60" s="20" t="s">
        <v>43</v>
      </c>
      <c r="AN60" s="20" t="s">
        <v>4002</v>
      </c>
      <c r="AO60" s="20" t="s">
        <v>43</v>
      </c>
    </row>
    <row r="61" spans="1:41" s="20" customFormat="1" x14ac:dyDescent="0.3">
      <c r="A61" s="20" t="s">
        <v>403</v>
      </c>
      <c r="B61" s="20">
        <v>2752</v>
      </c>
      <c r="C61" s="20" t="str">
        <f t="shared" si="0"/>
        <v>Up</v>
      </c>
      <c r="D61" s="21" t="str">
        <f t="shared" si="1"/>
        <v>Sig</v>
      </c>
      <c r="E61" s="21" t="str">
        <f t="shared" si="2"/>
        <v>Larger</v>
      </c>
      <c r="F61" s="22" t="str">
        <f t="shared" si="3"/>
        <v>Y</v>
      </c>
      <c r="G61" s="22" t="str">
        <f t="shared" si="4"/>
        <v>Y</v>
      </c>
      <c r="H61" s="22" t="str">
        <f t="shared" si="5"/>
        <v>Expressed</v>
      </c>
      <c r="I61" s="20">
        <v>4415</v>
      </c>
      <c r="J61" s="20">
        <v>34.468345004690839</v>
      </c>
      <c r="K61" s="20">
        <v>3871</v>
      </c>
      <c r="L61" s="20">
        <v>25.161267273173191</v>
      </c>
      <c r="M61" s="20">
        <v>5483</v>
      </c>
      <c r="N61" s="20">
        <v>25.614980017608989</v>
      </c>
      <c r="O61" s="20">
        <v>4991</v>
      </c>
      <c r="P61" s="20">
        <v>39.926574775876198</v>
      </c>
      <c r="Q61" s="20">
        <v>5702</v>
      </c>
      <c r="R61" s="20">
        <v>49.465728573943302</v>
      </c>
      <c r="S61" s="20">
        <v>18286</v>
      </c>
      <c r="T61" s="20">
        <v>58.472331022299016</v>
      </c>
      <c r="U61" s="20">
        <v>15745</v>
      </c>
      <c r="V61" s="20">
        <v>63.924388967120173</v>
      </c>
      <c r="W61" s="20">
        <v>2610</v>
      </c>
      <c r="X61" s="20">
        <v>47.728640505426647</v>
      </c>
      <c r="Y61" s="20">
        <v>6606.3818424506526</v>
      </c>
      <c r="Z61" s="20">
        <v>0.99068985269217935</v>
      </c>
      <c r="AA61" s="20">
        <v>0.2475190773257647</v>
      </c>
      <c r="AB61" s="20">
        <v>4.002478772124352</v>
      </c>
      <c r="AC61" s="20">
        <v>6.2682293408896145E-5</v>
      </c>
      <c r="AD61" s="20">
        <v>1.4232696047766049E-2</v>
      </c>
      <c r="AE61" s="20" t="s">
        <v>404</v>
      </c>
      <c r="AF61" s="20" t="s">
        <v>405</v>
      </c>
      <c r="AG61" s="20" t="s">
        <v>406</v>
      </c>
      <c r="AH61" s="20" t="s">
        <v>407</v>
      </c>
      <c r="AI61" s="20" t="s">
        <v>43</v>
      </c>
      <c r="AJ61" s="20" t="s">
        <v>43</v>
      </c>
      <c r="AK61" s="20" t="s">
        <v>43</v>
      </c>
      <c r="AL61" s="20" t="s">
        <v>43</v>
      </c>
      <c r="AM61" s="20" t="s">
        <v>43</v>
      </c>
      <c r="AN61" s="20" t="s">
        <v>408</v>
      </c>
      <c r="AO61" s="20" t="s">
        <v>43</v>
      </c>
    </row>
    <row r="62" spans="1:41" s="20" customFormat="1" x14ac:dyDescent="0.3">
      <c r="A62" s="20" t="s">
        <v>4003</v>
      </c>
      <c r="B62" s="20">
        <v>536</v>
      </c>
      <c r="C62" s="20" t="str">
        <f t="shared" si="0"/>
        <v>Up</v>
      </c>
      <c r="D62" s="21" t="str">
        <f t="shared" si="1"/>
        <v>Sig</v>
      </c>
      <c r="E62" s="21" t="str">
        <f t="shared" si="2"/>
        <v>Larger</v>
      </c>
      <c r="F62" s="22" t="str">
        <f t="shared" si="3"/>
        <v>N</v>
      </c>
      <c r="G62" s="22" t="str">
        <f t="shared" si="4"/>
        <v>Y</v>
      </c>
      <c r="H62" s="22" t="str">
        <f t="shared" si="5"/>
        <v>Expressed</v>
      </c>
      <c r="I62" s="20">
        <v>74</v>
      </c>
      <c r="J62" s="20">
        <v>2.9662317757962509</v>
      </c>
      <c r="K62" s="20">
        <v>58</v>
      </c>
      <c r="L62" s="20">
        <v>1.9356238876697049</v>
      </c>
      <c r="M62" s="20">
        <v>83</v>
      </c>
      <c r="N62" s="20">
        <v>1.990845270626908</v>
      </c>
      <c r="O62" s="20">
        <v>68</v>
      </c>
      <c r="P62" s="20">
        <v>2.792974928475124</v>
      </c>
      <c r="Q62" s="20">
        <v>187</v>
      </c>
      <c r="R62" s="20">
        <v>8.3291837577404753</v>
      </c>
      <c r="S62" s="20">
        <v>138</v>
      </c>
      <c r="T62" s="20">
        <v>2.2656583360327689</v>
      </c>
      <c r="U62" s="20">
        <v>222</v>
      </c>
      <c r="V62" s="20">
        <v>4.6276503193537231</v>
      </c>
      <c r="W62" s="20">
        <v>73</v>
      </c>
      <c r="X62" s="20">
        <v>6.8540150990580084</v>
      </c>
      <c r="Y62" s="20">
        <v>113.8768315061412</v>
      </c>
      <c r="Z62" s="20">
        <v>1.2804808680649269</v>
      </c>
      <c r="AA62" s="20">
        <v>0.34251699709662442</v>
      </c>
      <c r="AB62" s="20">
        <v>3.7384447455718579</v>
      </c>
      <c r="AC62" s="20">
        <v>1.851621764938143E-4</v>
      </c>
      <c r="AD62" s="20">
        <v>3.4048977131031548E-2</v>
      </c>
      <c r="AE62" s="20" t="s">
        <v>4004</v>
      </c>
      <c r="AF62" s="20" t="s">
        <v>4005</v>
      </c>
      <c r="AG62" s="20" t="s">
        <v>43</v>
      </c>
      <c r="AH62" s="20" t="s">
        <v>43</v>
      </c>
      <c r="AI62" s="20" t="s">
        <v>43</v>
      </c>
      <c r="AJ62" s="20" t="s">
        <v>43</v>
      </c>
      <c r="AK62" s="20" t="s">
        <v>43</v>
      </c>
      <c r="AL62" s="20" t="s">
        <v>43</v>
      </c>
      <c r="AM62" s="20" t="s">
        <v>43</v>
      </c>
      <c r="AN62" s="20" t="s">
        <v>43</v>
      </c>
      <c r="AO62" s="20" t="s">
        <v>43</v>
      </c>
    </row>
    <row r="63" spans="1:41" s="20" customFormat="1" x14ac:dyDescent="0.3">
      <c r="A63" s="20" t="s">
        <v>4006</v>
      </c>
      <c r="B63" s="20">
        <v>1093</v>
      </c>
      <c r="C63" s="20" t="str">
        <f t="shared" si="0"/>
        <v>Up</v>
      </c>
      <c r="D63" s="21" t="str">
        <f t="shared" si="1"/>
        <v>Sig</v>
      </c>
      <c r="E63" s="21" t="str">
        <f t="shared" si="2"/>
        <v>Larger</v>
      </c>
      <c r="F63" s="22" t="str">
        <f t="shared" si="3"/>
        <v>Y</v>
      </c>
      <c r="G63" s="22" t="str">
        <f t="shared" si="4"/>
        <v>Y</v>
      </c>
      <c r="H63" s="22" t="str">
        <f t="shared" si="5"/>
        <v>Expressed</v>
      </c>
      <c r="I63" s="20">
        <v>2232</v>
      </c>
      <c r="J63" s="20">
        <v>43.874500104317363</v>
      </c>
      <c r="K63" s="20">
        <v>1777</v>
      </c>
      <c r="L63" s="20">
        <v>29.082051227821861</v>
      </c>
      <c r="M63" s="20">
        <v>2877</v>
      </c>
      <c r="N63" s="20">
        <v>33.841055877668161</v>
      </c>
      <c r="O63" s="20">
        <v>1674</v>
      </c>
      <c r="P63" s="20">
        <v>33.717720470148322</v>
      </c>
      <c r="Q63" s="20">
        <v>2943</v>
      </c>
      <c r="R63" s="20">
        <v>64.282939367585641</v>
      </c>
      <c r="S63" s="20">
        <v>4742</v>
      </c>
      <c r="T63" s="20">
        <v>38.1787327830232</v>
      </c>
      <c r="U63" s="20">
        <v>4885</v>
      </c>
      <c r="V63" s="20">
        <v>49.936345499958847</v>
      </c>
      <c r="W63" s="20">
        <v>1448</v>
      </c>
      <c r="X63" s="20">
        <v>66.670757006626147</v>
      </c>
      <c r="Y63" s="20">
        <v>2646.751969220054</v>
      </c>
      <c r="Z63" s="20">
        <v>0.77142886246595455</v>
      </c>
      <c r="AA63" s="20">
        <v>0.14674380302177739</v>
      </c>
      <c r="AB63" s="20">
        <v>5.256977443548136</v>
      </c>
      <c r="AC63" s="20">
        <v>1.4644226595853569E-7</v>
      </c>
      <c r="AD63" s="20">
        <v>6.9525462703805144E-5</v>
      </c>
      <c r="AE63" s="20" t="s">
        <v>4007</v>
      </c>
      <c r="AF63" s="20" t="s">
        <v>4008</v>
      </c>
      <c r="AG63" s="20" t="s">
        <v>4009</v>
      </c>
      <c r="AH63" s="20" t="s">
        <v>4010</v>
      </c>
      <c r="AI63" s="20" t="s">
        <v>43</v>
      </c>
      <c r="AJ63" s="20" t="s">
        <v>43</v>
      </c>
      <c r="AK63" s="20" t="s">
        <v>43</v>
      </c>
      <c r="AL63" s="20" t="s">
        <v>43</v>
      </c>
      <c r="AM63" s="20" t="s">
        <v>43</v>
      </c>
      <c r="AN63" s="20" t="s">
        <v>4011</v>
      </c>
      <c r="AO63" s="20" t="s">
        <v>542</v>
      </c>
    </row>
    <row r="64" spans="1:41" s="20" customFormat="1" x14ac:dyDescent="0.3">
      <c r="A64" s="20" t="s">
        <v>4012</v>
      </c>
      <c r="B64" s="20">
        <v>1867</v>
      </c>
      <c r="C64" s="20" t="str">
        <f t="shared" si="0"/>
        <v>Up</v>
      </c>
      <c r="D64" s="21" t="str">
        <f t="shared" si="1"/>
        <v>Sig</v>
      </c>
      <c r="E64" s="21" t="str">
        <f t="shared" si="2"/>
        <v>Larger</v>
      </c>
      <c r="F64" s="22" t="str">
        <f t="shared" si="3"/>
        <v>Y</v>
      </c>
      <c r="G64" s="22" t="str">
        <f t="shared" si="4"/>
        <v>Y</v>
      </c>
      <c r="H64" s="22" t="str">
        <f t="shared" si="5"/>
        <v>Expressed</v>
      </c>
      <c r="I64" s="20">
        <v>1791</v>
      </c>
      <c r="J64" s="20">
        <v>20.610542387713931</v>
      </c>
      <c r="K64" s="20">
        <v>1042</v>
      </c>
      <c r="L64" s="20">
        <v>9.9834620241783973</v>
      </c>
      <c r="M64" s="20">
        <v>1561</v>
      </c>
      <c r="N64" s="20">
        <v>10.74936451463563</v>
      </c>
      <c r="O64" s="20">
        <v>1058</v>
      </c>
      <c r="P64" s="20">
        <v>12.475681072490479</v>
      </c>
      <c r="Q64" s="20">
        <v>3763</v>
      </c>
      <c r="R64" s="20">
        <v>48.118881861668008</v>
      </c>
      <c r="S64" s="20">
        <v>4050</v>
      </c>
      <c r="T64" s="20">
        <v>19.089336204947621</v>
      </c>
      <c r="U64" s="20">
        <v>3353</v>
      </c>
      <c r="V64" s="20">
        <v>20.066035927814688</v>
      </c>
      <c r="W64" s="20">
        <v>1257</v>
      </c>
      <c r="X64" s="20">
        <v>33.882694976341291</v>
      </c>
      <c r="Y64" s="20">
        <v>2188.000728814533</v>
      </c>
      <c r="Z64" s="20">
        <v>1.3014207413156389</v>
      </c>
      <c r="AA64" s="20">
        <v>0.27110648118764041</v>
      </c>
      <c r="AB64" s="20">
        <v>4.8004043858135939</v>
      </c>
      <c r="AC64" s="20">
        <v>1.583455625073679E-6</v>
      </c>
      <c r="AD64" s="20">
        <v>6.2647262548369532E-4</v>
      </c>
      <c r="AE64" s="20" t="s">
        <v>4013</v>
      </c>
      <c r="AF64" s="20" t="s">
        <v>4014</v>
      </c>
      <c r="AG64" s="20" t="s">
        <v>4015</v>
      </c>
      <c r="AH64" s="20" t="s">
        <v>4016</v>
      </c>
      <c r="AI64" s="20" t="s">
        <v>43</v>
      </c>
      <c r="AJ64" s="20" t="s">
        <v>43</v>
      </c>
      <c r="AK64" s="20" t="s">
        <v>43</v>
      </c>
      <c r="AL64" s="20" t="s">
        <v>43</v>
      </c>
      <c r="AM64" s="20" t="s">
        <v>43</v>
      </c>
      <c r="AN64" s="20" t="s">
        <v>4017</v>
      </c>
      <c r="AO64" s="20" t="s">
        <v>43</v>
      </c>
    </row>
    <row r="65" spans="1:41" s="20" customFormat="1" x14ac:dyDescent="0.3">
      <c r="A65" s="20" t="s">
        <v>409</v>
      </c>
      <c r="B65" s="20">
        <v>2056</v>
      </c>
      <c r="C65" s="20" t="str">
        <f t="shared" si="0"/>
        <v>Up</v>
      </c>
      <c r="D65" s="21" t="str">
        <f t="shared" si="1"/>
        <v>Sig</v>
      </c>
      <c r="E65" s="21" t="str">
        <f t="shared" si="2"/>
        <v>Larger</v>
      </c>
      <c r="F65" s="22" t="str">
        <f t="shared" si="3"/>
        <v>N</v>
      </c>
      <c r="G65" s="22" t="str">
        <f t="shared" si="4"/>
        <v>Y</v>
      </c>
      <c r="H65" s="22" t="str">
        <f t="shared" si="5"/>
        <v>Expressed</v>
      </c>
      <c r="I65" s="20">
        <v>403</v>
      </c>
      <c r="J65" s="20">
        <v>4.2113378997935937</v>
      </c>
      <c r="K65" s="20">
        <v>212</v>
      </c>
      <c r="L65" s="20">
        <v>1.844465430059069</v>
      </c>
      <c r="M65" s="20">
        <v>281</v>
      </c>
      <c r="N65" s="20">
        <v>1.7571442459375</v>
      </c>
      <c r="O65" s="20">
        <v>297</v>
      </c>
      <c r="P65" s="20">
        <v>3.1802133269470412</v>
      </c>
      <c r="Q65" s="20">
        <v>2108</v>
      </c>
      <c r="R65" s="20">
        <v>24.477841761339889</v>
      </c>
      <c r="S65" s="20">
        <v>5133</v>
      </c>
      <c r="T65" s="20">
        <v>21.96990988561906</v>
      </c>
      <c r="U65" s="20">
        <v>8421</v>
      </c>
      <c r="V65" s="20">
        <v>45.762833521428931</v>
      </c>
      <c r="W65" s="20">
        <v>1941</v>
      </c>
      <c r="X65" s="20">
        <v>47.510479270145353</v>
      </c>
      <c r="Y65" s="20">
        <v>2165.9806708896781</v>
      </c>
      <c r="Z65" s="20">
        <v>3.8325081996376711</v>
      </c>
      <c r="AA65" s="20">
        <v>0.31639679322870973</v>
      </c>
      <c r="AB65" s="20">
        <v>12.112980541074309</v>
      </c>
      <c r="AC65" s="20">
        <v>9.0157429329035773E-34</v>
      </c>
      <c r="AD65" s="20">
        <v>4.7083815892795639E-30</v>
      </c>
      <c r="AE65" s="20" t="s">
        <v>410</v>
      </c>
      <c r="AF65" s="20" t="s">
        <v>411</v>
      </c>
      <c r="AG65" s="20" t="s">
        <v>412</v>
      </c>
      <c r="AH65" s="20" t="s">
        <v>413</v>
      </c>
      <c r="AI65" s="20" t="s">
        <v>43</v>
      </c>
      <c r="AJ65" s="20" t="s">
        <v>43</v>
      </c>
      <c r="AK65" s="20" t="s">
        <v>43</v>
      </c>
      <c r="AL65" s="20" t="s">
        <v>43</v>
      </c>
      <c r="AM65" s="20" t="s">
        <v>43</v>
      </c>
      <c r="AN65" s="20" t="s">
        <v>414</v>
      </c>
      <c r="AO65" s="20" t="s">
        <v>43</v>
      </c>
    </row>
    <row r="66" spans="1:41" s="20" customFormat="1" x14ac:dyDescent="0.3">
      <c r="A66" s="20" t="s">
        <v>428</v>
      </c>
      <c r="B66" s="20">
        <v>1450</v>
      </c>
      <c r="C66" s="20" t="str">
        <f t="shared" ref="C66:C117" si="6">IF(Z66&lt;0, "Down", "Up")</f>
        <v>Up</v>
      </c>
      <c r="D66" s="21" t="str">
        <f t="shared" ref="D66:D117" si="7">IF(AD66&lt;0.05, "Sig", "N")</f>
        <v>Sig</v>
      </c>
      <c r="E66" s="21" t="str">
        <f t="shared" ref="E66:E117" si="8">IF(AVERAGE(J66,L66,N66,P66) &gt; AVERAGE(R66,T66,V66,X66), "Smaller", IF(AVERAGE(J66,L66,N66,P66) &lt; AVERAGE(R66,T66,V66,X66), "Larger", "Equal"))</f>
        <v>Larger</v>
      </c>
      <c r="F66" s="22" t="str">
        <f t="shared" ref="F66:F117" si="9">IF(AND(J66&gt;2,L66&gt;2,N66&gt;2,P66&gt;2),"Y","N")</f>
        <v>Y</v>
      </c>
      <c r="G66" s="22" t="str">
        <f t="shared" ref="G66:G117" si="10">IF(AND(R66&gt;2,T66&gt;2,V66&gt;2,X66&gt;2),"Y","N")</f>
        <v>Y</v>
      </c>
      <c r="H66" s="22" t="str">
        <f t="shared" ref="H66:H117" si="11">IF(OR(F66="Y", G66="Y"), "Expressed", "N")</f>
        <v>Expressed</v>
      </c>
      <c r="I66" s="20">
        <v>429</v>
      </c>
      <c r="J66" s="20">
        <v>6.3566374599598614</v>
      </c>
      <c r="K66" s="20">
        <v>663</v>
      </c>
      <c r="L66" s="20">
        <v>8.1790581416576398</v>
      </c>
      <c r="M66" s="20">
        <v>1289</v>
      </c>
      <c r="N66" s="20">
        <v>11.429023355689351</v>
      </c>
      <c r="O66" s="20">
        <v>1611</v>
      </c>
      <c r="P66" s="20">
        <v>24.459662057186161</v>
      </c>
      <c r="Q66" s="20">
        <v>2940</v>
      </c>
      <c r="R66" s="20">
        <v>48.406641832187901</v>
      </c>
      <c r="S66" s="20">
        <v>11461</v>
      </c>
      <c r="T66" s="20">
        <v>69.556005304595502</v>
      </c>
      <c r="U66" s="20">
        <v>10813</v>
      </c>
      <c r="V66" s="20">
        <v>83.32024739391143</v>
      </c>
      <c r="W66" s="20">
        <v>1839</v>
      </c>
      <c r="X66" s="20">
        <v>63.826453464354039</v>
      </c>
      <c r="Y66" s="20">
        <v>3279.3518362561972</v>
      </c>
      <c r="Z66" s="20">
        <v>2.5381132000428561</v>
      </c>
      <c r="AA66" s="20">
        <v>0.40866917755645132</v>
      </c>
      <c r="AB66" s="20">
        <v>6.2106792961949164</v>
      </c>
      <c r="AC66" s="20">
        <v>5.2756043796872409E-10</v>
      </c>
      <c r="AD66" s="20">
        <v>3.2036414316835641E-7</v>
      </c>
      <c r="AE66" s="20" t="s">
        <v>429</v>
      </c>
      <c r="AF66" s="20" t="s">
        <v>430</v>
      </c>
      <c r="AG66" s="20" t="s">
        <v>431</v>
      </c>
      <c r="AH66" s="20" t="s">
        <v>432</v>
      </c>
      <c r="AI66" s="20" t="s">
        <v>43</v>
      </c>
      <c r="AJ66" s="20" t="s">
        <v>43</v>
      </c>
      <c r="AK66" s="20" t="s">
        <v>43</v>
      </c>
      <c r="AL66" s="20" t="s">
        <v>43</v>
      </c>
      <c r="AM66" s="20" t="s">
        <v>43</v>
      </c>
      <c r="AN66" s="20" t="s">
        <v>371</v>
      </c>
      <c r="AO66" s="20" t="s">
        <v>43</v>
      </c>
    </row>
    <row r="67" spans="1:41" s="20" customFormat="1" x14ac:dyDescent="0.3">
      <c r="A67" s="20" t="s">
        <v>4018</v>
      </c>
      <c r="B67" s="20">
        <v>1115</v>
      </c>
      <c r="C67" s="20" t="str">
        <f t="shared" si="6"/>
        <v>Up</v>
      </c>
      <c r="D67" s="21" t="str">
        <f t="shared" si="7"/>
        <v>Sig</v>
      </c>
      <c r="E67" s="21" t="str">
        <f t="shared" si="8"/>
        <v>Larger</v>
      </c>
      <c r="F67" s="22" t="str">
        <f t="shared" si="9"/>
        <v>Y</v>
      </c>
      <c r="G67" s="22" t="str">
        <f t="shared" si="10"/>
        <v>Y</v>
      </c>
      <c r="H67" s="22" t="str">
        <f t="shared" si="11"/>
        <v>Expressed</v>
      </c>
      <c r="I67" s="20">
        <v>560</v>
      </c>
      <c r="J67" s="20">
        <v>10.790742089722491</v>
      </c>
      <c r="K67" s="20">
        <v>585</v>
      </c>
      <c r="L67" s="20">
        <v>9.3850970499105077</v>
      </c>
      <c r="M67" s="20">
        <v>1014</v>
      </c>
      <c r="N67" s="20">
        <v>11.691959241091441</v>
      </c>
      <c r="O67" s="20">
        <v>500</v>
      </c>
      <c r="P67" s="20">
        <v>9.8722933372636934</v>
      </c>
      <c r="Q67" s="20">
        <v>1106</v>
      </c>
      <c r="R67" s="20">
        <v>23.681318906158971</v>
      </c>
      <c r="S67" s="20">
        <v>1590</v>
      </c>
      <c r="T67" s="20">
        <v>12.548805227143481</v>
      </c>
      <c r="U67" s="20">
        <v>1050</v>
      </c>
      <c r="V67" s="20">
        <v>10.521721002433139</v>
      </c>
      <c r="W67" s="20">
        <v>629</v>
      </c>
      <c r="X67" s="20">
        <v>28.389828202676</v>
      </c>
      <c r="Y67" s="20">
        <v>867.93747040389451</v>
      </c>
      <c r="Z67" s="20">
        <v>0.92444538992745362</v>
      </c>
      <c r="AA67" s="20">
        <v>0.2428389888126353</v>
      </c>
      <c r="AB67" s="20">
        <v>3.8068244084178682</v>
      </c>
      <c r="AC67" s="20">
        <v>1.4076261183124049E-4</v>
      </c>
      <c r="AD67" s="20">
        <v>2.7845403940434488E-2</v>
      </c>
      <c r="AE67" s="20" t="s">
        <v>4019</v>
      </c>
      <c r="AF67" s="20" t="s">
        <v>4020</v>
      </c>
      <c r="AG67" s="20" t="s">
        <v>4021</v>
      </c>
      <c r="AH67" s="20" t="s">
        <v>4022</v>
      </c>
      <c r="AI67" s="20" t="s">
        <v>43</v>
      </c>
      <c r="AJ67" s="20" t="s">
        <v>43</v>
      </c>
      <c r="AK67" s="20" t="s">
        <v>43</v>
      </c>
      <c r="AL67" s="20" t="s">
        <v>43</v>
      </c>
      <c r="AM67" s="20" t="s">
        <v>43</v>
      </c>
      <c r="AN67" s="20" t="s">
        <v>4023</v>
      </c>
      <c r="AO67" s="20" t="s">
        <v>43</v>
      </c>
    </row>
    <row r="68" spans="1:41" s="20" customFormat="1" x14ac:dyDescent="0.3">
      <c r="A68" s="20" t="s">
        <v>4024</v>
      </c>
      <c r="B68" s="20">
        <v>2018</v>
      </c>
      <c r="C68" s="20" t="str">
        <f t="shared" si="6"/>
        <v>Up</v>
      </c>
      <c r="D68" s="21" t="str">
        <f t="shared" si="7"/>
        <v>Sig</v>
      </c>
      <c r="E68" s="21" t="str">
        <f t="shared" si="8"/>
        <v>Larger</v>
      </c>
      <c r="F68" s="22" t="str">
        <f t="shared" si="9"/>
        <v>N</v>
      </c>
      <c r="G68" s="22" t="str">
        <f t="shared" si="10"/>
        <v>Y</v>
      </c>
      <c r="H68" s="22" t="str">
        <f t="shared" si="11"/>
        <v>Expressed</v>
      </c>
      <c r="I68" s="20">
        <v>134</v>
      </c>
      <c r="J68" s="20">
        <v>1.426664285382838</v>
      </c>
      <c r="K68" s="20">
        <v>192</v>
      </c>
      <c r="L68" s="20">
        <v>1.701914882675444</v>
      </c>
      <c r="M68" s="20">
        <v>265</v>
      </c>
      <c r="N68" s="20">
        <v>1.688297265811588</v>
      </c>
      <c r="O68" s="20">
        <v>148</v>
      </c>
      <c r="P68" s="20">
        <v>1.614594496050797</v>
      </c>
      <c r="Q68" s="20">
        <v>246</v>
      </c>
      <c r="R68" s="20">
        <v>2.9103121467239439</v>
      </c>
      <c r="S68" s="20">
        <v>554</v>
      </c>
      <c r="T68" s="20">
        <v>2.4158430966767011</v>
      </c>
      <c r="U68" s="20">
        <v>418</v>
      </c>
      <c r="V68" s="20">
        <v>2.3143416431186061</v>
      </c>
      <c r="W68" s="20">
        <v>119</v>
      </c>
      <c r="X68" s="20">
        <v>2.967650726192459</v>
      </c>
      <c r="Y68" s="20">
        <v>235.4659054612186</v>
      </c>
      <c r="Z68" s="20">
        <v>0.84939178548439564</v>
      </c>
      <c r="AA68" s="20">
        <v>0.19353760378567181</v>
      </c>
      <c r="AB68" s="20">
        <v>4.3887687398725506</v>
      </c>
      <c r="AC68" s="20">
        <v>1.139942084511275E-5</v>
      </c>
      <c r="AD68" s="20">
        <v>3.5308125304423662E-3</v>
      </c>
      <c r="AE68" s="20" t="s">
        <v>4025</v>
      </c>
      <c r="AF68" s="20" t="s">
        <v>4026</v>
      </c>
      <c r="AG68" s="20" t="s">
        <v>4027</v>
      </c>
      <c r="AH68" s="20" t="s">
        <v>4028</v>
      </c>
      <c r="AI68" s="20" t="s">
        <v>43</v>
      </c>
      <c r="AJ68" s="20" t="s">
        <v>43</v>
      </c>
      <c r="AK68" s="20" t="s">
        <v>43</v>
      </c>
      <c r="AL68" s="20" t="s">
        <v>43</v>
      </c>
      <c r="AM68" s="20" t="s">
        <v>43</v>
      </c>
      <c r="AN68" s="20" t="s">
        <v>4029</v>
      </c>
      <c r="AO68" s="20" t="s">
        <v>43</v>
      </c>
    </row>
    <row r="69" spans="1:41" s="20" customFormat="1" x14ac:dyDescent="0.3">
      <c r="A69" s="20" t="s">
        <v>4030</v>
      </c>
      <c r="B69" s="20">
        <v>807</v>
      </c>
      <c r="C69" s="20" t="str">
        <f t="shared" si="6"/>
        <v>Up</v>
      </c>
      <c r="D69" s="21" t="str">
        <f t="shared" si="7"/>
        <v>Sig</v>
      </c>
      <c r="E69" s="21" t="str">
        <f t="shared" si="8"/>
        <v>Larger</v>
      </c>
      <c r="F69" s="22" t="str">
        <f t="shared" si="9"/>
        <v>Y</v>
      </c>
      <c r="G69" s="22" t="str">
        <f t="shared" si="10"/>
        <v>Y</v>
      </c>
      <c r="H69" s="22" t="str">
        <f t="shared" si="11"/>
        <v>Expressed</v>
      </c>
      <c r="I69" s="20">
        <v>1872</v>
      </c>
      <c r="J69" s="20">
        <v>49.839131149398042</v>
      </c>
      <c r="K69" s="20">
        <v>1445</v>
      </c>
      <c r="L69" s="20">
        <v>32.029641786906367</v>
      </c>
      <c r="M69" s="20">
        <v>3577</v>
      </c>
      <c r="N69" s="20">
        <v>56.98618852667763</v>
      </c>
      <c r="O69" s="20">
        <v>2125</v>
      </c>
      <c r="P69" s="20">
        <v>57.970669209365958</v>
      </c>
      <c r="Q69" s="20">
        <v>4448</v>
      </c>
      <c r="R69" s="20">
        <v>131.58817707343019</v>
      </c>
      <c r="S69" s="20">
        <v>5426</v>
      </c>
      <c r="T69" s="20">
        <v>59.167930089831721</v>
      </c>
      <c r="U69" s="20">
        <v>5991</v>
      </c>
      <c r="V69" s="20">
        <v>82.946513289689378</v>
      </c>
      <c r="W69" s="20">
        <v>2482</v>
      </c>
      <c r="X69" s="20">
        <v>154.78013775121829</v>
      </c>
      <c r="Y69" s="20">
        <v>3377.7626782710249</v>
      </c>
      <c r="Z69" s="20">
        <v>1.212171532866849</v>
      </c>
      <c r="AA69" s="20">
        <v>0.25354991851549302</v>
      </c>
      <c r="AB69" s="20">
        <v>4.780800325095667</v>
      </c>
      <c r="AC69" s="20">
        <v>1.745987140458017E-6</v>
      </c>
      <c r="AD69" s="20">
        <v>6.6074226393680782E-4</v>
      </c>
      <c r="AE69" s="20" t="s">
        <v>4031</v>
      </c>
      <c r="AF69" s="20" t="s">
        <v>4032</v>
      </c>
      <c r="AG69" s="20" t="s">
        <v>4033</v>
      </c>
      <c r="AH69" s="20" t="s">
        <v>4034</v>
      </c>
      <c r="AI69" s="20" t="s">
        <v>43</v>
      </c>
      <c r="AJ69" s="20" t="s">
        <v>43</v>
      </c>
      <c r="AK69" s="20" t="s">
        <v>43</v>
      </c>
      <c r="AL69" s="20" t="s">
        <v>43</v>
      </c>
      <c r="AM69" s="20" t="s">
        <v>43</v>
      </c>
      <c r="AN69" s="20" t="s">
        <v>4035</v>
      </c>
      <c r="AO69" s="20" t="s">
        <v>43</v>
      </c>
    </row>
    <row r="70" spans="1:41" s="20" customFormat="1" x14ac:dyDescent="0.3">
      <c r="A70" s="20" t="s">
        <v>462</v>
      </c>
      <c r="B70" s="20">
        <v>1092</v>
      </c>
      <c r="C70" s="20" t="str">
        <f t="shared" si="6"/>
        <v>Up</v>
      </c>
      <c r="D70" s="21" t="str">
        <f t="shared" si="7"/>
        <v>Sig</v>
      </c>
      <c r="E70" s="21" t="str">
        <f t="shared" si="8"/>
        <v>Larger</v>
      </c>
      <c r="F70" s="22" t="str">
        <f t="shared" si="9"/>
        <v>Y</v>
      </c>
      <c r="G70" s="22" t="str">
        <f t="shared" si="10"/>
        <v>Y</v>
      </c>
      <c r="H70" s="22" t="str">
        <f t="shared" si="11"/>
        <v>Expressed</v>
      </c>
      <c r="I70" s="20">
        <v>698</v>
      </c>
      <c r="J70" s="20">
        <v>13.73317446063632</v>
      </c>
      <c r="K70" s="20">
        <v>831</v>
      </c>
      <c r="L70" s="20">
        <v>13.612445521508921</v>
      </c>
      <c r="M70" s="20">
        <v>1499</v>
      </c>
      <c r="N70" s="20">
        <v>17.648313082207711</v>
      </c>
      <c r="O70" s="20">
        <v>422</v>
      </c>
      <c r="P70" s="20">
        <v>8.5077109596752489</v>
      </c>
      <c r="Q70" s="20">
        <v>1584</v>
      </c>
      <c r="R70" s="20">
        <v>34.630452443301053</v>
      </c>
      <c r="S70" s="20">
        <v>2596</v>
      </c>
      <c r="T70" s="20">
        <v>20.920023661031561</v>
      </c>
      <c r="U70" s="20">
        <v>1476</v>
      </c>
      <c r="V70" s="20">
        <v>15.10205574964619</v>
      </c>
      <c r="W70" s="20">
        <v>912</v>
      </c>
      <c r="X70" s="20">
        <v>42.029980291318232</v>
      </c>
      <c r="Y70" s="20">
        <v>1213.86245076917</v>
      </c>
      <c r="Z70" s="20">
        <v>1.159480530446114</v>
      </c>
      <c r="AA70" s="20">
        <v>0.28033724223065493</v>
      </c>
      <c r="AB70" s="20">
        <v>4.136020320454322</v>
      </c>
      <c r="AC70" s="20">
        <v>3.533809121525517E-5</v>
      </c>
      <c r="AD70" s="20">
        <v>9.1361211664628024E-3</v>
      </c>
    </row>
    <row r="71" spans="1:41" s="20" customFormat="1" x14ac:dyDescent="0.3">
      <c r="A71" s="20" t="s">
        <v>4036</v>
      </c>
      <c r="B71" s="20">
        <v>2467</v>
      </c>
      <c r="C71" s="20" t="str">
        <f t="shared" si="6"/>
        <v>Up</v>
      </c>
      <c r="D71" s="21" t="str">
        <f t="shared" si="7"/>
        <v>Sig</v>
      </c>
      <c r="E71" s="21" t="str">
        <f t="shared" si="8"/>
        <v>Larger</v>
      </c>
      <c r="F71" s="22" t="str">
        <f t="shared" si="9"/>
        <v>N</v>
      </c>
      <c r="G71" s="22" t="str">
        <f t="shared" si="10"/>
        <v>Y</v>
      </c>
      <c r="H71" s="22" t="str">
        <f t="shared" si="11"/>
        <v>Expressed</v>
      </c>
      <c r="I71" s="20">
        <v>327</v>
      </c>
      <c r="J71" s="20">
        <v>2.8478476747519168</v>
      </c>
      <c r="K71" s="20">
        <v>120</v>
      </c>
      <c r="L71" s="20">
        <v>0.87010139674681941</v>
      </c>
      <c r="M71" s="20">
        <v>329</v>
      </c>
      <c r="N71" s="20">
        <v>1.7145531541818591</v>
      </c>
      <c r="O71" s="20">
        <v>91</v>
      </c>
      <c r="P71" s="20">
        <v>0.81207316049084766</v>
      </c>
      <c r="Q71" s="20">
        <v>639</v>
      </c>
      <c r="R71" s="20">
        <v>6.1838270599965393</v>
      </c>
      <c r="S71" s="20">
        <v>856</v>
      </c>
      <c r="T71" s="20">
        <v>3.053407280758802</v>
      </c>
      <c r="U71" s="20">
        <v>1024</v>
      </c>
      <c r="V71" s="20">
        <v>4.6377053956948151</v>
      </c>
      <c r="W71" s="20">
        <v>317</v>
      </c>
      <c r="X71" s="20">
        <v>6.4666163967724328</v>
      </c>
      <c r="Y71" s="20">
        <v>442.09755608976548</v>
      </c>
      <c r="Z71" s="20">
        <v>1.8692252550298629</v>
      </c>
      <c r="AA71" s="20">
        <v>0.33136265077428589</v>
      </c>
      <c r="AB71" s="20">
        <v>5.6410257784397126</v>
      </c>
      <c r="AC71" s="20">
        <v>1.6904004889072422E-8</v>
      </c>
      <c r="AD71" s="20">
        <v>9.3914335247544476E-6</v>
      </c>
    </row>
    <row r="72" spans="1:41" s="20" customFormat="1" x14ac:dyDescent="0.3">
      <c r="A72" s="20" t="s">
        <v>4037</v>
      </c>
      <c r="B72" s="20">
        <v>795</v>
      </c>
      <c r="C72" s="20" t="str">
        <f t="shared" si="6"/>
        <v>Up</v>
      </c>
      <c r="D72" s="21" t="str">
        <f t="shared" si="7"/>
        <v>Sig</v>
      </c>
      <c r="E72" s="21" t="str">
        <f t="shared" si="8"/>
        <v>Larger</v>
      </c>
      <c r="F72" s="22" t="str">
        <f t="shared" si="9"/>
        <v>Y</v>
      </c>
      <c r="G72" s="22" t="str">
        <f t="shared" si="10"/>
        <v>Y</v>
      </c>
      <c r="H72" s="22" t="str">
        <f t="shared" si="11"/>
        <v>Expressed</v>
      </c>
      <c r="I72" s="20">
        <v>423</v>
      </c>
      <c r="J72" s="20">
        <v>11.431715078407819</v>
      </c>
      <c r="K72" s="20">
        <v>507</v>
      </c>
      <c r="L72" s="20">
        <v>11.407713353329379</v>
      </c>
      <c r="M72" s="20">
        <v>611</v>
      </c>
      <c r="N72" s="20">
        <v>9.8809405584485877</v>
      </c>
      <c r="O72" s="20">
        <v>459</v>
      </c>
      <c r="P72" s="20">
        <v>12.71067080656981</v>
      </c>
      <c r="Q72" s="20">
        <v>716</v>
      </c>
      <c r="R72" s="20">
        <v>21.501636739048251</v>
      </c>
      <c r="S72" s="20">
        <v>1201</v>
      </c>
      <c r="T72" s="20">
        <v>13.294009977252671</v>
      </c>
      <c r="U72" s="20">
        <v>1302</v>
      </c>
      <c r="V72" s="20">
        <v>18.298530135803851</v>
      </c>
      <c r="W72" s="20">
        <v>274</v>
      </c>
      <c r="X72" s="20">
        <v>17.344844895460589</v>
      </c>
      <c r="Y72" s="20">
        <v>629.83866424690575</v>
      </c>
      <c r="Z72" s="20">
        <v>0.7687356025132136</v>
      </c>
      <c r="AA72" s="20">
        <v>0.19841304805406021</v>
      </c>
      <c r="AB72" s="20">
        <v>3.874420609191799</v>
      </c>
      <c r="AC72" s="20">
        <v>1.0687867844746219E-4</v>
      </c>
      <c r="AD72" s="20">
        <v>2.1974929540316011E-2</v>
      </c>
      <c r="AE72" s="20" t="s">
        <v>4038</v>
      </c>
      <c r="AF72" s="20" t="s">
        <v>4039</v>
      </c>
      <c r="AG72" s="20" t="s">
        <v>4040</v>
      </c>
      <c r="AH72" s="20" t="s">
        <v>43</v>
      </c>
      <c r="AI72" s="20" t="s">
        <v>43</v>
      </c>
      <c r="AJ72" s="20" t="s">
        <v>43</v>
      </c>
      <c r="AK72" s="20" t="s">
        <v>43</v>
      </c>
      <c r="AL72" s="20" t="s">
        <v>43</v>
      </c>
      <c r="AM72" s="20" t="s">
        <v>43</v>
      </c>
      <c r="AN72" s="20" t="s">
        <v>43</v>
      </c>
      <c r="AO72" s="20" t="s">
        <v>43</v>
      </c>
    </row>
    <row r="73" spans="1:41" s="20" customFormat="1" x14ac:dyDescent="0.3">
      <c r="A73" s="20" t="s">
        <v>4041</v>
      </c>
      <c r="B73" s="20">
        <v>1689</v>
      </c>
      <c r="C73" s="20" t="str">
        <f t="shared" si="6"/>
        <v>Up</v>
      </c>
      <c r="D73" s="21" t="str">
        <f t="shared" si="7"/>
        <v>Sig</v>
      </c>
      <c r="E73" s="21" t="str">
        <f t="shared" si="8"/>
        <v>Larger</v>
      </c>
      <c r="F73" s="22" t="str">
        <f t="shared" si="9"/>
        <v>Y</v>
      </c>
      <c r="G73" s="22" t="str">
        <f t="shared" si="10"/>
        <v>Y</v>
      </c>
      <c r="H73" s="22" t="str">
        <f t="shared" si="11"/>
        <v>Expressed</v>
      </c>
      <c r="I73" s="20">
        <v>986</v>
      </c>
      <c r="J73" s="20">
        <v>12.542537792882531</v>
      </c>
      <c r="K73" s="20">
        <v>965</v>
      </c>
      <c r="L73" s="20">
        <v>10.22010677260854</v>
      </c>
      <c r="M73" s="20">
        <v>1651</v>
      </c>
      <c r="N73" s="20">
        <v>12.56728976586626</v>
      </c>
      <c r="O73" s="20">
        <v>905</v>
      </c>
      <c r="P73" s="20">
        <v>11.796192302308301</v>
      </c>
      <c r="Q73" s="20">
        <v>1153</v>
      </c>
      <c r="R73" s="20">
        <v>16.297661166318949</v>
      </c>
      <c r="S73" s="20">
        <v>2315</v>
      </c>
      <c r="T73" s="20">
        <v>12.061504061587341</v>
      </c>
      <c r="U73" s="20">
        <v>1956</v>
      </c>
      <c r="V73" s="20">
        <v>12.93932290340666</v>
      </c>
      <c r="W73" s="20">
        <v>599</v>
      </c>
      <c r="X73" s="20">
        <v>17.84777815976026</v>
      </c>
      <c r="Y73" s="20">
        <v>1211.1021543702641</v>
      </c>
      <c r="Z73" s="20">
        <v>0.45466920804308081</v>
      </c>
      <c r="AA73" s="20">
        <v>0.1244984257653385</v>
      </c>
      <c r="AB73" s="20">
        <v>3.6520076880334722</v>
      </c>
      <c r="AC73" s="20">
        <v>2.6019809325396608E-4</v>
      </c>
      <c r="AD73" s="20">
        <v>4.4995315304950753E-2</v>
      </c>
      <c r="AE73" s="20" t="s">
        <v>4042</v>
      </c>
      <c r="AF73" s="20" t="s">
        <v>4043</v>
      </c>
      <c r="AG73" s="20" t="s">
        <v>4044</v>
      </c>
      <c r="AH73" s="20" t="s">
        <v>4045</v>
      </c>
      <c r="AI73" s="20" t="s">
        <v>43</v>
      </c>
      <c r="AJ73" s="20" t="s">
        <v>43</v>
      </c>
      <c r="AK73" s="20" t="s">
        <v>43</v>
      </c>
      <c r="AL73" s="20" t="s">
        <v>43</v>
      </c>
      <c r="AM73" s="20" t="s">
        <v>43</v>
      </c>
      <c r="AN73" s="20" t="s">
        <v>4046</v>
      </c>
      <c r="AO73" s="20" t="s">
        <v>43</v>
      </c>
    </row>
    <row r="74" spans="1:41" s="20" customFormat="1" x14ac:dyDescent="0.3">
      <c r="A74" s="20" t="s">
        <v>4047</v>
      </c>
      <c r="B74" s="20">
        <v>3343</v>
      </c>
      <c r="C74" s="20" t="str">
        <f t="shared" si="6"/>
        <v>Up</v>
      </c>
      <c r="D74" s="21" t="str">
        <f t="shared" si="7"/>
        <v>Sig</v>
      </c>
      <c r="E74" s="21" t="str">
        <f t="shared" si="8"/>
        <v>Larger</v>
      </c>
      <c r="F74" s="22" t="str">
        <f t="shared" si="9"/>
        <v>N</v>
      </c>
      <c r="G74" s="22" t="str">
        <f t="shared" si="10"/>
        <v>Y</v>
      </c>
      <c r="H74" s="22" t="str">
        <f t="shared" si="11"/>
        <v>Expressed</v>
      </c>
      <c r="I74" s="20">
        <v>37</v>
      </c>
      <c r="J74" s="20">
        <v>0.23779542803272369</v>
      </c>
      <c r="K74" s="20">
        <v>74</v>
      </c>
      <c r="L74" s="20">
        <v>0.39596163821743408</v>
      </c>
      <c r="M74" s="20">
        <v>28</v>
      </c>
      <c r="N74" s="20">
        <v>0.1076826810258755</v>
      </c>
      <c r="O74" s="20">
        <v>54</v>
      </c>
      <c r="P74" s="20">
        <v>0.35561518506529882</v>
      </c>
      <c r="Q74" s="20">
        <v>3061</v>
      </c>
      <c r="R74" s="20">
        <v>21.860121915839411</v>
      </c>
      <c r="S74" s="20">
        <v>1898</v>
      </c>
      <c r="T74" s="20">
        <v>4.9962015886094342</v>
      </c>
      <c r="U74" s="20">
        <v>11301</v>
      </c>
      <c r="V74" s="20">
        <v>37.770509946604577</v>
      </c>
      <c r="W74" s="20">
        <v>1807</v>
      </c>
      <c r="X74" s="20">
        <v>27.202496454348822</v>
      </c>
      <c r="Y74" s="20">
        <v>2177.1658435192971</v>
      </c>
      <c r="Z74" s="20">
        <v>6.4845661227122591</v>
      </c>
      <c r="AA74" s="20">
        <v>0.67226461372282409</v>
      </c>
      <c r="AB74" s="20">
        <v>9.6458537164442468</v>
      </c>
      <c r="AC74" s="20">
        <v>5.1183511578988947E-22</v>
      </c>
      <c r="AD74" s="20">
        <v>1.028079887961969E-18</v>
      </c>
    </row>
    <row r="75" spans="1:41" s="20" customFormat="1" x14ac:dyDescent="0.3">
      <c r="A75" s="20" t="s">
        <v>469</v>
      </c>
      <c r="B75" s="20">
        <v>955</v>
      </c>
      <c r="C75" s="20" t="str">
        <f t="shared" si="6"/>
        <v>Up</v>
      </c>
      <c r="D75" s="21" t="str">
        <f t="shared" si="7"/>
        <v>Sig</v>
      </c>
      <c r="E75" s="21" t="str">
        <f t="shared" si="8"/>
        <v>Larger</v>
      </c>
      <c r="F75" s="22" t="str">
        <f t="shared" si="9"/>
        <v>Y</v>
      </c>
      <c r="G75" s="22" t="str">
        <f t="shared" si="10"/>
        <v>Y</v>
      </c>
      <c r="H75" s="22" t="str">
        <f t="shared" si="11"/>
        <v>Expressed</v>
      </c>
      <c r="I75" s="20">
        <v>527</v>
      </c>
      <c r="J75" s="20">
        <v>11.85619671958</v>
      </c>
      <c r="K75" s="20">
        <v>477</v>
      </c>
      <c r="L75" s="20">
        <v>8.9345519156578561</v>
      </c>
      <c r="M75" s="20">
        <v>638</v>
      </c>
      <c r="N75" s="20">
        <v>8.5889784331765924</v>
      </c>
      <c r="O75" s="20">
        <v>447</v>
      </c>
      <c r="P75" s="20">
        <v>10.30450337331709</v>
      </c>
      <c r="Q75" s="20">
        <v>723</v>
      </c>
      <c r="R75" s="20">
        <v>18.074261126464432</v>
      </c>
      <c r="S75" s="20">
        <v>1025</v>
      </c>
      <c r="T75" s="20">
        <v>9.4449707095864888</v>
      </c>
      <c r="U75" s="20">
        <v>1521</v>
      </c>
      <c r="V75" s="20">
        <v>17.79500820128786</v>
      </c>
      <c r="W75" s="20">
        <v>448</v>
      </c>
      <c r="X75" s="20">
        <v>23.608132219846539</v>
      </c>
      <c r="Y75" s="20">
        <v>697.83970711731081</v>
      </c>
      <c r="Z75" s="20">
        <v>0.90839743497673897</v>
      </c>
      <c r="AA75" s="20">
        <v>0.21820126467034531</v>
      </c>
      <c r="AB75" s="20">
        <v>4.1631171860948193</v>
      </c>
      <c r="AC75" s="20">
        <v>3.1393214541634867E-5</v>
      </c>
      <c r="AD75" s="20">
        <v>8.2801981627390886E-3</v>
      </c>
      <c r="AE75" s="20" t="s">
        <v>470</v>
      </c>
      <c r="AF75" s="20" t="s">
        <v>471</v>
      </c>
      <c r="AG75" s="20" t="s">
        <v>472</v>
      </c>
      <c r="AH75" s="20" t="s">
        <v>473</v>
      </c>
      <c r="AI75" s="20" t="s">
        <v>43</v>
      </c>
      <c r="AJ75" s="20" t="s">
        <v>43</v>
      </c>
      <c r="AK75" s="20" t="s">
        <v>43</v>
      </c>
      <c r="AL75" s="20" t="s">
        <v>43</v>
      </c>
      <c r="AM75" s="20" t="s">
        <v>43</v>
      </c>
      <c r="AN75" s="20" t="s">
        <v>474</v>
      </c>
      <c r="AO75" s="20" t="s">
        <v>43</v>
      </c>
    </row>
    <row r="76" spans="1:41" s="20" customFormat="1" x14ac:dyDescent="0.3">
      <c r="A76" s="20" t="s">
        <v>4048</v>
      </c>
      <c r="B76" s="20">
        <v>2197</v>
      </c>
      <c r="C76" s="20" t="str">
        <f t="shared" si="6"/>
        <v>Up</v>
      </c>
      <c r="D76" s="21" t="str">
        <f t="shared" si="7"/>
        <v>Sig</v>
      </c>
      <c r="E76" s="21" t="str">
        <f t="shared" si="8"/>
        <v>Larger</v>
      </c>
      <c r="F76" s="22" t="str">
        <f t="shared" si="9"/>
        <v>N</v>
      </c>
      <c r="G76" s="22" t="str">
        <f t="shared" si="10"/>
        <v>Y</v>
      </c>
      <c r="H76" s="22" t="str">
        <f t="shared" si="11"/>
        <v>Expressed</v>
      </c>
      <c r="I76" s="20">
        <v>32</v>
      </c>
      <c r="J76" s="20">
        <v>0.31293783549100918</v>
      </c>
      <c r="K76" s="20">
        <v>66</v>
      </c>
      <c r="L76" s="20">
        <v>0.53736781073096129</v>
      </c>
      <c r="M76" s="20">
        <v>105</v>
      </c>
      <c r="N76" s="20">
        <v>0.61444561220329152</v>
      </c>
      <c r="O76" s="20">
        <v>86</v>
      </c>
      <c r="P76" s="20">
        <v>0.86176987538481165</v>
      </c>
      <c r="Q76" s="20">
        <v>313</v>
      </c>
      <c r="R76" s="20">
        <v>3.401260592759217</v>
      </c>
      <c r="S76" s="20">
        <v>561</v>
      </c>
      <c r="T76" s="20">
        <v>2.2470509819441178</v>
      </c>
      <c r="U76" s="20">
        <v>885</v>
      </c>
      <c r="V76" s="20">
        <v>4.5007569812410706</v>
      </c>
      <c r="W76" s="20">
        <v>133</v>
      </c>
      <c r="X76" s="20">
        <v>3.0465518258499902</v>
      </c>
      <c r="Y76" s="20">
        <v>241.39177159346201</v>
      </c>
      <c r="Z76" s="20">
        <v>2.6330605725260008</v>
      </c>
      <c r="AA76" s="20">
        <v>0.35696150727211978</v>
      </c>
      <c r="AB76" s="20">
        <v>7.3763151457077401</v>
      </c>
      <c r="AC76" s="20">
        <v>1.627305627293327E-13</v>
      </c>
      <c r="AD76" s="20">
        <v>1.3707162754801089E-10</v>
      </c>
    </row>
    <row r="77" spans="1:41" s="20" customFormat="1" x14ac:dyDescent="0.3">
      <c r="A77" s="20" t="s">
        <v>4049</v>
      </c>
      <c r="B77" s="20">
        <v>843</v>
      </c>
      <c r="C77" s="20" t="str">
        <f t="shared" si="6"/>
        <v>Up</v>
      </c>
      <c r="D77" s="21" t="str">
        <f t="shared" si="7"/>
        <v>Sig</v>
      </c>
      <c r="E77" s="21" t="str">
        <f t="shared" si="8"/>
        <v>Larger</v>
      </c>
      <c r="F77" s="22" t="str">
        <f t="shared" si="9"/>
        <v>Y</v>
      </c>
      <c r="G77" s="22" t="str">
        <f t="shared" si="10"/>
        <v>Y</v>
      </c>
      <c r="H77" s="22" t="str">
        <f t="shared" si="11"/>
        <v>Expressed</v>
      </c>
      <c r="I77" s="20">
        <v>309</v>
      </c>
      <c r="J77" s="20">
        <v>7.8753353793478604</v>
      </c>
      <c r="K77" s="20">
        <v>334</v>
      </c>
      <c r="L77" s="20">
        <v>7.0872321934425733</v>
      </c>
      <c r="M77" s="20">
        <v>781</v>
      </c>
      <c r="N77" s="20">
        <v>11.91098463331981</v>
      </c>
      <c r="O77" s="20">
        <v>491</v>
      </c>
      <c r="P77" s="20">
        <v>12.822621760106919</v>
      </c>
      <c r="Q77" s="20">
        <v>769</v>
      </c>
      <c r="R77" s="20">
        <v>21.778320855618141</v>
      </c>
      <c r="S77" s="20">
        <v>1559</v>
      </c>
      <c r="T77" s="20">
        <v>16.27416302533263</v>
      </c>
      <c r="U77" s="20">
        <v>1239</v>
      </c>
      <c r="V77" s="20">
        <v>16.421623158839012</v>
      </c>
      <c r="W77" s="20">
        <v>262</v>
      </c>
      <c r="X77" s="20">
        <v>15.64086267880392</v>
      </c>
      <c r="Y77" s="20">
        <v>638.62479231928955</v>
      </c>
      <c r="Z77" s="20">
        <v>0.96276323472150604</v>
      </c>
      <c r="AA77" s="20">
        <v>0.26155937101887322</v>
      </c>
      <c r="AB77" s="20">
        <v>3.680859267137619</v>
      </c>
      <c r="AC77" s="20">
        <v>2.3244928380209049E-4</v>
      </c>
      <c r="AD77" s="20">
        <v>4.0736346970739509E-2</v>
      </c>
      <c r="AE77" s="20" t="s">
        <v>4050</v>
      </c>
      <c r="AF77" s="20" t="s">
        <v>4051</v>
      </c>
      <c r="AG77" s="20" t="s">
        <v>4052</v>
      </c>
      <c r="AH77" s="20" t="s">
        <v>4053</v>
      </c>
      <c r="AI77" s="20" t="s">
        <v>43</v>
      </c>
      <c r="AJ77" s="20" t="s">
        <v>43</v>
      </c>
      <c r="AK77" s="20" t="s">
        <v>43</v>
      </c>
      <c r="AL77" s="20" t="s">
        <v>43</v>
      </c>
      <c r="AM77" s="20" t="s">
        <v>43</v>
      </c>
      <c r="AN77" s="20" t="s">
        <v>4054</v>
      </c>
      <c r="AO77" s="20" t="s">
        <v>43</v>
      </c>
    </row>
    <row r="78" spans="1:41" s="20" customFormat="1" x14ac:dyDescent="0.3">
      <c r="A78" s="20" t="s">
        <v>4055</v>
      </c>
      <c r="B78" s="20">
        <v>2049</v>
      </c>
      <c r="C78" s="20" t="str">
        <f t="shared" si="6"/>
        <v>Up</v>
      </c>
      <c r="D78" s="21" t="str">
        <f t="shared" si="7"/>
        <v>Sig</v>
      </c>
      <c r="E78" s="21" t="str">
        <f t="shared" si="8"/>
        <v>Larger</v>
      </c>
      <c r="F78" s="22" t="str">
        <f t="shared" si="9"/>
        <v>N</v>
      </c>
      <c r="G78" s="22" t="str">
        <f t="shared" si="10"/>
        <v>Y</v>
      </c>
      <c r="H78" s="22" t="str">
        <f t="shared" si="11"/>
        <v>Expressed</v>
      </c>
      <c r="I78" s="20">
        <v>18</v>
      </c>
      <c r="J78" s="20">
        <v>0.18874206384711209</v>
      </c>
      <c r="K78" s="20">
        <v>38</v>
      </c>
      <c r="L78" s="20">
        <v>0.33174119708568128</v>
      </c>
      <c r="M78" s="20">
        <v>61</v>
      </c>
      <c r="N78" s="20">
        <v>0.38274725236769858</v>
      </c>
      <c r="O78" s="20">
        <v>71</v>
      </c>
      <c r="P78" s="20">
        <v>0.76285027041920961</v>
      </c>
      <c r="Q78" s="20">
        <v>533</v>
      </c>
      <c r="R78" s="20">
        <v>6.2102756513059996</v>
      </c>
      <c r="S78" s="20">
        <v>585</v>
      </c>
      <c r="T78" s="20">
        <v>2.512430340167473</v>
      </c>
      <c r="U78" s="20">
        <v>3003</v>
      </c>
      <c r="V78" s="20">
        <v>16.375166473723301</v>
      </c>
      <c r="W78" s="20">
        <v>303</v>
      </c>
      <c r="X78" s="20">
        <v>7.4419655709621999</v>
      </c>
      <c r="Y78" s="20">
        <v>503.99694838088988</v>
      </c>
      <c r="Z78" s="20">
        <v>4.4180598472928851</v>
      </c>
      <c r="AA78" s="20">
        <v>0.69506736117730472</v>
      </c>
      <c r="AB78" s="20">
        <v>6.3563045742927384</v>
      </c>
      <c r="AC78" s="20">
        <v>2.0666506775298509E-10</v>
      </c>
      <c r="AD78" s="20">
        <v>1.284866249801416E-7</v>
      </c>
    </row>
    <row r="79" spans="1:41" s="20" customFormat="1" x14ac:dyDescent="0.3">
      <c r="A79" s="20" t="s">
        <v>4056</v>
      </c>
      <c r="B79" s="20">
        <v>1124</v>
      </c>
      <c r="C79" s="20" t="str">
        <f t="shared" si="6"/>
        <v>Up</v>
      </c>
      <c r="D79" s="21" t="str">
        <f t="shared" si="7"/>
        <v>Sig</v>
      </c>
      <c r="E79" s="21" t="str">
        <f t="shared" si="8"/>
        <v>Larger</v>
      </c>
      <c r="F79" s="22" t="str">
        <f t="shared" si="9"/>
        <v>Y</v>
      </c>
      <c r="G79" s="22" t="str">
        <f t="shared" si="10"/>
        <v>Y</v>
      </c>
      <c r="H79" s="22" t="str">
        <f t="shared" si="11"/>
        <v>Expressed</v>
      </c>
      <c r="I79" s="20">
        <v>571</v>
      </c>
      <c r="J79" s="20">
        <v>10.914603159241819</v>
      </c>
      <c r="K79" s="20">
        <v>592</v>
      </c>
      <c r="L79" s="20">
        <v>9.4213505805044981</v>
      </c>
      <c r="M79" s="20">
        <v>948</v>
      </c>
      <c r="N79" s="20">
        <v>10.843418789104209</v>
      </c>
      <c r="O79" s="20">
        <v>583</v>
      </c>
      <c r="P79" s="20">
        <v>11.41892334950459</v>
      </c>
      <c r="Q79" s="20">
        <v>1087</v>
      </c>
      <c r="R79" s="20">
        <v>23.08813534140792</v>
      </c>
      <c r="S79" s="20">
        <v>1663</v>
      </c>
      <c r="T79" s="20">
        <v>13.01985236263382</v>
      </c>
      <c r="U79" s="20">
        <v>1567</v>
      </c>
      <c r="V79" s="20">
        <v>15.576684921247409</v>
      </c>
      <c r="W79" s="20">
        <v>382</v>
      </c>
      <c r="X79" s="20">
        <v>17.10346243311955</v>
      </c>
      <c r="Y79" s="20">
        <v>852.07684248378621</v>
      </c>
      <c r="Z79" s="20">
        <v>0.82194239558113169</v>
      </c>
      <c r="AA79" s="20">
        <v>0.18405501880736419</v>
      </c>
      <c r="AB79" s="20">
        <v>4.4657429115877223</v>
      </c>
      <c r="AC79" s="20">
        <v>7.9791380954574725E-6</v>
      </c>
      <c r="AD79" s="20">
        <v>2.572237703068957E-3</v>
      </c>
      <c r="AE79" s="20" t="s">
        <v>4057</v>
      </c>
      <c r="AF79" s="20" t="s">
        <v>4058</v>
      </c>
      <c r="AG79" s="20" t="s">
        <v>2981</v>
      </c>
      <c r="AH79" s="20" t="s">
        <v>4059</v>
      </c>
      <c r="AI79" s="20" t="s">
        <v>43</v>
      </c>
      <c r="AJ79" s="20" t="s">
        <v>43</v>
      </c>
      <c r="AK79" s="20" t="s">
        <v>43</v>
      </c>
      <c r="AL79" s="20" t="s">
        <v>43</v>
      </c>
      <c r="AM79" s="20" t="s">
        <v>43</v>
      </c>
      <c r="AN79" s="20" t="s">
        <v>4060</v>
      </c>
      <c r="AO79" s="20" t="s">
        <v>1749</v>
      </c>
    </row>
    <row r="80" spans="1:41" s="20" customFormat="1" x14ac:dyDescent="0.3">
      <c r="A80" s="20" t="s">
        <v>4061</v>
      </c>
      <c r="B80" s="20">
        <v>968</v>
      </c>
      <c r="C80" s="20" t="str">
        <f t="shared" si="6"/>
        <v>Up</v>
      </c>
      <c r="D80" s="21" t="str">
        <f t="shared" si="7"/>
        <v>Sig</v>
      </c>
      <c r="E80" s="21" t="str">
        <f t="shared" si="8"/>
        <v>Larger</v>
      </c>
      <c r="F80" s="22" t="str">
        <f t="shared" si="9"/>
        <v>Y</v>
      </c>
      <c r="G80" s="22" t="str">
        <f t="shared" si="10"/>
        <v>Y</v>
      </c>
      <c r="H80" s="22" t="str">
        <f t="shared" si="11"/>
        <v>Expressed</v>
      </c>
      <c r="I80" s="20">
        <v>967</v>
      </c>
      <c r="J80" s="20">
        <v>21.462942877156941</v>
      </c>
      <c r="K80" s="20">
        <v>833</v>
      </c>
      <c r="L80" s="20">
        <v>15.39314687870246</v>
      </c>
      <c r="M80" s="20">
        <v>1439</v>
      </c>
      <c r="N80" s="20">
        <v>19.112154244444099</v>
      </c>
      <c r="O80" s="20">
        <v>1058</v>
      </c>
      <c r="P80" s="20">
        <v>24.062083225557561</v>
      </c>
      <c r="Q80" s="20">
        <v>3366</v>
      </c>
      <c r="R80" s="20">
        <v>83.016492659793499</v>
      </c>
      <c r="S80" s="20">
        <v>2751</v>
      </c>
      <c r="T80" s="20">
        <v>25.008944036564369</v>
      </c>
      <c r="U80" s="20">
        <v>2006</v>
      </c>
      <c r="V80" s="20">
        <v>23.154100894266222</v>
      </c>
      <c r="W80" s="20">
        <v>1055</v>
      </c>
      <c r="X80" s="20">
        <v>54.848415858362422</v>
      </c>
      <c r="Y80" s="20">
        <v>1717.7029343412451</v>
      </c>
      <c r="Z80" s="20">
        <v>1.2955503803718731</v>
      </c>
      <c r="AA80" s="20">
        <v>0.32645908819350511</v>
      </c>
      <c r="AB80" s="20">
        <v>3.9684923079977161</v>
      </c>
      <c r="AC80" s="20">
        <v>7.232879156318665E-5</v>
      </c>
      <c r="AD80" s="20">
        <v>1.6281460390499391E-2</v>
      </c>
      <c r="AE80" s="20" t="s">
        <v>4062</v>
      </c>
      <c r="AF80" s="20" t="s">
        <v>4063</v>
      </c>
      <c r="AG80" s="20" t="s">
        <v>4064</v>
      </c>
      <c r="AH80" s="20" t="s">
        <v>4065</v>
      </c>
      <c r="AI80" s="20" t="s">
        <v>1490</v>
      </c>
      <c r="AJ80" s="20" t="s">
        <v>4066</v>
      </c>
      <c r="AL80" s="20" t="s">
        <v>1493</v>
      </c>
      <c r="AM80" s="20" t="s">
        <v>4067</v>
      </c>
      <c r="AN80" s="20" t="s">
        <v>4068</v>
      </c>
      <c r="AO80" s="20" t="s">
        <v>43</v>
      </c>
    </row>
    <row r="81" spans="1:41" s="20" customFormat="1" x14ac:dyDescent="0.3">
      <c r="A81" s="20" t="s">
        <v>4069</v>
      </c>
      <c r="B81" s="20">
        <v>1295</v>
      </c>
      <c r="C81" s="20" t="str">
        <f t="shared" si="6"/>
        <v>Up</v>
      </c>
      <c r="D81" s="21" t="str">
        <f t="shared" si="7"/>
        <v>Sig</v>
      </c>
      <c r="E81" s="21" t="str">
        <f t="shared" si="8"/>
        <v>Larger</v>
      </c>
      <c r="F81" s="22" t="str">
        <f t="shared" si="9"/>
        <v>Y</v>
      </c>
      <c r="G81" s="22" t="str">
        <f t="shared" si="10"/>
        <v>Y</v>
      </c>
      <c r="H81" s="22" t="str">
        <f t="shared" si="11"/>
        <v>Expressed</v>
      </c>
      <c r="I81" s="20">
        <v>21090</v>
      </c>
      <c r="J81" s="20">
        <v>349.90082322056782</v>
      </c>
      <c r="K81" s="20">
        <v>20731</v>
      </c>
      <c r="L81" s="20">
        <v>286.35729576608207</v>
      </c>
      <c r="M81" s="20">
        <v>39553</v>
      </c>
      <c r="N81" s="20">
        <v>392.67555474867078</v>
      </c>
      <c r="O81" s="20">
        <v>20743</v>
      </c>
      <c r="P81" s="20">
        <v>352.63443007686448</v>
      </c>
      <c r="Q81" s="20">
        <v>34162</v>
      </c>
      <c r="R81" s="20">
        <v>629.79491043344217</v>
      </c>
      <c r="S81" s="20">
        <v>56559</v>
      </c>
      <c r="T81" s="20">
        <v>384.33689344544268</v>
      </c>
      <c r="U81" s="20">
        <v>56131</v>
      </c>
      <c r="V81" s="20">
        <v>484.28984340514489</v>
      </c>
      <c r="W81" s="20">
        <v>13536</v>
      </c>
      <c r="X81" s="20">
        <v>526.02642758909576</v>
      </c>
      <c r="Y81" s="20">
        <v>29962.279118242339</v>
      </c>
      <c r="Z81" s="20">
        <v>0.68446835247017768</v>
      </c>
      <c r="AA81" s="20">
        <v>0.16711495333793891</v>
      </c>
      <c r="AB81" s="20">
        <v>4.0957935768084726</v>
      </c>
      <c r="AC81" s="20">
        <v>4.207246910003006E-5</v>
      </c>
      <c r="AD81" s="20">
        <v>1.0462822029904621E-2</v>
      </c>
      <c r="AE81" s="20" t="s">
        <v>4070</v>
      </c>
      <c r="AF81" s="20" t="s">
        <v>4071</v>
      </c>
      <c r="AG81" s="20" t="s">
        <v>4072</v>
      </c>
      <c r="AH81" s="20" t="s">
        <v>4073</v>
      </c>
      <c r="AI81" s="20" t="s">
        <v>43</v>
      </c>
      <c r="AJ81" s="20" t="s">
        <v>43</v>
      </c>
      <c r="AK81" s="20" t="s">
        <v>43</v>
      </c>
      <c r="AL81" s="20" t="s">
        <v>43</v>
      </c>
      <c r="AM81" s="20" t="s">
        <v>43</v>
      </c>
      <c r="AN81" s="20" t="s">
        <v>4074</v>
      </c>
      <c r="AO81" s="20" t="s">
        <v>43</v>
      </c>
    </row>
    <row r="82" spans="1:41" s="20" customFormat="1" x14ac:dyDescent="0.3">
      <c r="A82" s="20" t="s">
        <v>4075</v>
      </c>
      <c r="B82" s="20">
        <v>2547</v>
      </c>
      <c r="C82" s="20" t="str">
        <f t="shared" si="6"/>
        <v>Up</v>
      </c>
      <c r="D82" s="21" t="str">
        <f t="shared" si="7"/>
        <v>Sig</v>
      </c>
      <c r="E82" s="21" t="str">
        <f t="shared" si="8"/>
        <v>Larger</v>
      </c>
      <c r="F82" s="22" t="str">
        <f t="shared" si="9"/>
        <v>Y</v>
      </c>
      <c r="G82" s="22" t="str">
        <f t="shared" si="10"/>
        <v>Y</v>
      </c>
      <c r="H82" s="22" t="str">
        <f t="shared" si="11"/>
        <v>Expressed</v>
      </c>
      <c r="I82" s="20">
        <v>813</v>
      </c>
      <c r="J82" s="20">
        <v>6.8580358899987299</v>
      </c>
      <c r="K82" s="20">
        <v>988</v>
      </c>
      <c r="L82" s="20">
        <v>6.9388223531773017</v>
      </c>
      <c r="M82" s="20">
        <v>1427</v>
      </c>
      <c r="N82" s="20">
        <v>7.2030965030200651</v>
      </c>
      <c r="O82" s="20">
        <v>739</v>
      </c>
      <c r="P82" s="20">
        <v>6.387610228115606</v>
      </c>
      <c r="Q82" s="20">
        <v>1227</v>
      </c>
      <c r="R82" s="20">
        <v>11.501149386865309</v>
      </c>
      <c r="S82" s="20">
        <v>2583</v>
      </c>
      <c r="T82" s="20">
        <v>8.9243292146410838</v>
      </c>
      <c r="U82" s="20">
        <v>2651</v>
      </c>
      <c r="V82" s="20">
        <v>11.62928818249557</v>
      </c>
      <c r="W82" s="20">
        <v>506</v>
      </c>
      <c r="X82" s="20">
        <v>9.9978946980660393</v>
      </c>
      <c r="Y82" s="20">
        <v>1215.266953471418</v>
      </c>
      <c r="Z82" s="20">
        <v>0.76966479791427378</v>
      </c>
      <c r="AA82" s="20">
        <v>0.18146020351520931</v>
      </c>
      <c r="AB82" s="20">
        <v>4.2415074104651476</v>
      </c>
      <c r="AC82" s="20">
        <v>2.2202355772418919E-5</v>
      </c>
      <c r="AD82" s="20">
        <v>6.1026096203095036E-3</v>
      </c>
    </row>
    <row r="83" spans="1:41" s="20" customFormat="1" x14ac:dyDescent="0.3">
      <c r="A83" s="20" t="s">
        <v>489</v>
      </c>
      <c r="B83" s="20">
        <v>2343</v>
      </c>
      <c r="C83" s="20" t="str">
        <f t="shared" si="6"/>
        <v>Up</v>
      </c>
      <c r="D83" s="21" t="str">
        <f t="shared" si="7"/>
        <v>Sig</v>
      </c>
      <c r="E83" s="21" t="str">
        <f t="shared" si="8"/>
        <v>Larger</v>
      </c>
      <c r="F83" s="22" t="str">
        <f t="shared" si="9"/>
        <v>Y</v>
      </c>
      <c r="G83" s="22" t="str">
        <f t="shared" si="10"/>
        <v>Y</v>
      </c>
      <c r="H83" s="22" t="str">
        <f t="shared" si="11"/>
        <v>Expressed</v>
      </c>
      <c r="I83" s="20">
        <v>974</v>
      </c>
      <c r="J83" s="20">
        <v>8.9315086098862277</v>
      </c>
      <c r="K83" s="20">
        <v>1572</v>
      </c>
      <c r="L83" s="20">
        <v>12.00156889015992</v>
      </c>
      <c r="M83" s="20">
        <v>1123</v>
      </c>
      <c r="N83" s="20">
        <v>6.1621415858461441</v>
      </c>
      <c r="O83" s="20">
        <v>914</v>
      </c>
      <c r="P83" s="20">
        <v>8.5880946333237755</v>
      </c>
      <c r="Q83" s="20">
        <v>3588</v>
      </c>
      <c r="R83" s="20">
        <v>36.559965100290157</v>
      </c>
      <c r="S83" s="20">
        <v>3439</v>
      </c>
      <c r="T83" s="20">
        <v>12.916356069706699</v>
      </c>
      <c r="U83" s="20">
        <v>10651</v>
      </c>
      <c r="V83" s="20">
        <v>50.791430682096887</v>
      </c>
      <c r="W83" s="20">
        <v>1933</v>
      </c>
      <c r="X83" s="20">
        <v>41.518968164879432</v>
      </c>
      <c r="Y83" s="20">
        <v>2872.1092569400239</v>
      </c>
      <c r="Z83" s="20">
        <v>2.098731049635616</v>
      </c>
      <c r="AA83" s="20">
        <v>0.35721031927907809</v>
      </c>
      <c r="AB83" s="20">
        <v>5.8753371231583529</v>
      </c>
      <c r="AC83" s="20">
        <v>4.2198369012758269E-9</v>
      </c>
      <c r="AD83" s="20">
        <v>2.3953995905677039E-6</v>
      </c>
      <c r="AE83" s="20" t="s">
        <v>490</v>
      </c>
      <c r="AF83" s="20" t="s">
        <v>491</v>
      </c>
      <c r="AG83" s="20" t="s">
        <v>492</v>
      </c>
      <c r="AH83" s="20" t="s">
        <v>493</v>
      </c>
      <c r="AI83" s="20" t="s">
        <v>43</v>
      </c>
      <c r="AJ83" s="20" t="s">
        <v>43</v>
      </c>
      <c r="AK83" s="20" t="s">
        <v>43</v>
      </c>
      <c r="AL83" s="20" t="s">
        <v>43</v>
      </c>
      <c r="AM83" s="20" t="s">
        <v>43</v>
      </c>
      <c r="AN83" s="20" t="s">
        <v>494</v>
      </c>
      <c r="AO83" s="20" t="s">
        <v>43</v>
      </c>
    </row>
    <row r="84" spans="1:41" s="20" customFormat="1" x14ac:dyDescent="0.3">
      <c r="A84" s="20" t="s">
        <v>4076</v>
      </c>
      <c r="B84" s="20">
        <v>2468</v>
      </c>
      <c r="C84" s="20" t="str">
        <f t="shared" si="6"/>
        <v>Up</v>
      </c>
      <c r="D84" s="21" t="str">
        <f t="shared" si="7"/>
        <v>Sig</v>
      </c>
      <c r="E84" s="21" t="str">
        <f t="shared" si="8"/>
        <v>Larger</v>
      </c>
      <c r="F84" s="22" t="str">
        <f t="shared" si="9"/>
        <v>Y</v>
      </c>
      <c r="G84" s="22" t="str">
        <f t="shared" si="10"/>
        <v>Y</v>
      </c>
      <c r="H84" s="22" t="str">
        <f t="shared" si="11"/>
        <v>Expressed</v>
      </c>
      <c r="I84" s="20">
        <v>3740</v>
      </c>
      <c r="J84" s="20">
        <v>32.558515851724763</v>
      </c>
      <c r="K84" s="20">
        <v>4305</v>
      </c>
      <c r="L84" s="20">
        <v>31.202239760800939</v>
      </c>
      <c r="M84" s="20">
        <v>6945</v>
      </c>
      <c r="N84" s="20">
        <v>36.178561914501181</v>
      </c>
      <c r="O84" s="20">
        <v>4562</v>
      </c>
      <c r="P84" s="20">
        <v>40.69424915569337</v>
      </c>
      <c r="Q84" s="20">
        <v>5965</v>
      </c>
      <c r="R84" s="20">
        <v>57.702007032471577</v>
      </c>
      <c r="S84" s="20">
        <v>22022</v>
      </c>
      <c r="T84" s="20">
        <v>78.522067218650633</v>
      </c>
      <c r="U84" s="20">
        <v>16122</v>
      </c>
      <c r="V84" s="20">
        <v>72.987100560071084</v>
      </c>
      <c r="W84" s="20">
        <v>3750</v>
      </c>
      <c r="X84" s="20">
        <v>76.466832159069497</v>
      </c>
      <c r="Y84" s="20">
        <v>7321.7837904718308</v>
      </c>
      <c r="Z84" s="20">
        <v>1.178735434014615</v>
      </c>
      <c r="AA84" s="20">
        <v>0.2162271746667252</v>
      </c>
      <c r="AB84" s="20">
        <v>5.4513750911809327</v>
      </c>
      <c r="AC84" s="20">
        <v>4.9981822402331187E-8</v>
      </c>
      <c r="AD84" s="20">
        <v>2.610250693139344E-5</v>
      </c>
      <c r="AE84" s="20" t="s">
        <v>4077</v>
      </c>
      <c r="AF84" s="20" t="s">
        <v>4078</v>
      </c>
      <c r="AG84" s="20" t="s">
        <v>43</v>
      </c>
      <c r="AH84" s="20" t="s">
        <v>3922</v>
      </c>
      <c r="AI84" s="20" t="s">
        <v>43</v>
      </c>
      <c r="AJ84" s="20" t="s">
        <v>43</v>
      </c>
      <c r="AK84" s="20" t="s">
        <v>43</v>
      </c>
      <c r="AL84" s="20" t="s">
        <v>43</v>
      </c>
      <c r="AM84" s="20" t="s">
        <v>43</v>
      </c>
      <c r="AN84" s="20" t="s">
        <v>3923</v>
      </c>
      <c r="AO84" s="20" t="s">
        <v>43</v>
      </c>
    </row>
    <row r="85" spans="1:41" s="23" customFormat="1" x14ac:dyDescent="0.3">
      <c r="A85" s="23" t="s">
        <v>4079</v>
      </c>
      <c r="B85" s="23">
        <v>2531</v>
      </c>
      <c r="C85" s="23" t="str">
        <f t="shared" si="6"/>
        <v>Up</v>
      </c>
      <c r="D85" s="24" t="str">
        <f t="shared" si="7"/>
        <v>Sig</v>
      </c>
      <c r="E85" s="24" t="str">
        <f t="shared" si="8"/>
        <v>Larger</v>
      </c>
      <c r="F85" s="25" t="str">
        <f t="shared" si="9"/>
        <v>N</v>
      </c>
      <c r="G85" s="25" t="str">
        <f t="shared" si="10"/>
        <v>Y</v>
      </c>
      <c r="H85" s="25" t="str">
        <f t="shared" si="11"/>
        <v>Expressed</v>
      </c>
      <c r="I85" s="23">
        <v>227</v>
      </c>
      <c r="J85" s="23">
        <v>1.926956296649553</v>
      </c>
      <c r="K85" s="23">
        <v>427</v>
      </c>
      <c r="L85" s="23">
        <v>3.01782115845407</v>
      </c>
      <c r="M85" s="23">
        <v>498</v>
      </c>
      <c r="N85" s="23">
        <v>2.5296556263674979</v>
      </c>
      <c r="O85" s="23">
        <v>903</v>
      </c>
      <c r="P85" s="23">
        <v>7.8544995536604212</v>
      </c>
      <c r="Q85" s="23">
        <v>4239</v>
      </c>
      <c r="R85" s="23">
        <v>39.984981381029591</v>
      </c>
      <c r="S85" s="23">
        <v>11575</v>
      </c>
      <c r="T85" s="23">
        <v>40.24472611620115</v>
      </c>
      <c r="U85" s="23">
        <v>14073</v>
      </c>
      <c r="V85" s="23">
        <v>62.125070207136041</v>
      </c>
      <c r="W85" s="23">
        <v>2689</v>
      </c>
      <c r="X85" s="23">
        <v>53.466978660947817</v>
      </c>
      <c r="Y85" s="23">
        <v>3806.6536110857191</v>
      </c>
      <c r="Z85" s="23">
        <v>3.7897286746588539</v>
      </c>
      <c r="AA85" s="23">
        <v>0.41202521176367318</v>
      </c>
      <c r="AB85" s="23">
        <v>9.197807722583109</v>
      </c>
      <c r="AC85" s="23">
        <v>3.653267616847837E-20</v>
      </c>
      <c r="AD85" s="23">
        <v>5.611419059478278E-17</v>
      </c>
      <c r="AE85" s="23" t="s">
        <v>4080</v>
      </c>
      <c r="AF85" s="23" t="s">
        <v>4081</v>
      </c>
      <c r="AG85" s="23" t="s">
        <v>4082</v>
      </c>
      <c r="AH85" s="23" t="s">
        <v>1352</v>
      </c>
      <c r="AI85" s="23" t="s">
        <v>43</v>
      </c>
      <c r="AJ85" s="23" t="s">
        <v>43</v>
      </c>
      <c r="AK85" s="23" t="s">
        <v>43</v>
      </c>
      <c r="AL85" s="23" t="s">
        <v>43</v>
      </c>
      <c r="AM85" s="23" t="s">
        <v>43</v>
      </c>
      <c r="AN85" s="23" t="s">
        <v>414</v>
      </c>
      <c r="AO85" s="23" t="s">
        <v>43</v>
      </c>
    </row>
    <row r="86" spans="1:41" s="20" customFormat="1" x14ac:dyDescent="0.3">
      <c r="A86" s="20" t="s">
        <v>4083</v>
      </c>
      <c r="B86" s="20">
        <v>1588</v>
      </c>
      <c r="C86" s="20" t="str">
        <f t="shared" si="6"/>
        <v>Up</v>
      </c>
      <c r="D86" s="21" t="str">
        <f t="shared" si="7"/>
        <v>Sig</v>
      </c>
      <c r="E86" s="21" t="str">
        <f t="shared" si="8"/>
        <v>Larger</v>
      </c>
      <c r="F86" s="22" t="str">
        <f t="shared" si="9"/>
        <v>Y</v>
      </c>
      <c r="G86" s="22" t="str">
        <f t="shared" si="10"/>
        <v>Y</v>
      </c>
      <c r="H86" s="22" t="str">
        <f t="shared" si="11"/>
        <v>Expressed</v>
      </c>
      <c r="I86" s="20">
        <v>1017</v>
      </c>
      <c r="J86" s="20">
        <v>13.75968867662746</v>
      </c>
      <c r="K86" s="20">
        <v>1093</v>
      </c>
      <c r="L86" s="20">
        <v>12.311966726130469</v>
      </c>
      <c r="M86" s="20">
        <v>1907</v>
      </c>
      <c r="N86" s="20">
        <v>15.439186026689899</v>
      </c>
      <c r="O86" s="20">
        <v>946</v>
      </c>
      <c r="P86" s="20">
        <v>13.11485678742112</v>
      </c>
      <c r="Q86" s="20">
        <v>1571</v>
      </c>
      <c r="R86" s="20">
        <v>23.61844568996051</v>
      </c>
      <c r="S86" s="20">
        <v>2638</v>
      </c>
      <c r="T86" s="20">
        <v>14.618553946645051</v>
      </c>
      <c r="U86" s="20">
        <v>2652</v>
      </c>
      <c r="V86" s="20">
        <v>18.659301049403108</v>
      </c>
      <c r="W86" s="20">
        <v>648</v>
      </c>
      <c r="X86" s="20">
        <v>20.535793764238811</v>
      </c>
      <c r="Y86" s="20">
        <v>1423.703156693241</v>
      </c>
      <c r="Z86" s="20">
        <v>0.6345059138036937</v>
      </c>
      <c r="AA86" s="20">
        <v>0.16245347202005719</v>
      </c>
      <c r="AB86" s="20">
        <v>3.9057701009022119</v>
      </c>
      <c r="AC86" s="20">
        <v>9.3925778695199907E-5</v>
      </c>
      <c r="AD86" s="20">
        <v>2.0007956659119891E-2</v>
      </c>
      <c r="AE86" s="20" t="s">
        <v>4084</v>
      </c>
      <c r="AF86" s="20" t="s">
        <v>4085</v>
      </c>
      <c r="AG86" s="20" t="s">
        <v>4086</v>
      </c>
      <c r="AH86" s="20" t="s">
        <v>4087</v>
      </c>
      <c r="AI86" s="20" t="s">
        <v>43</v>
      </c>
      <c r="AJ86" s="20" t="s">
        <v>43</v>
      </c>
      <c r="AK86" s="20" t="s">
        <v>43</v>
      </c>
      <c r="AL86" s="20" t="s">
        <v>43</v>
      </c>
      <c r="AM86" s="20" t="s">
        <v>43</v>
      </c>
      <c r="AN86" s="20" t="s">
        <v>4088</v>
      </c>
      <c r="AO86" s="20" t="s">
        <v>43</v>
      </c>
    </row>
    <row r="87" spans="1:41" s="23" customFormat="1" x14ac:dyDescent="0.3">
      <c r="A87" s="23" t="s">
        <v>1166</v>
      </c>
      <c r="B87" s="23">
        <v>992</v>
      </c>
      <c r="C87" s="23" t="str">
        <f t="shared" si="6"/>
        <v>Up</v>
      </c>
      <c r="D87" s="24" t="str">
        <f t="shared" si="7"/>
        <v>Sig</v>
      </c>
      <c r="E87" s="24" t="str">
        <f t="shared" si="8"/>
        <v>Larger</v>
      </c>
      <c r="F87" s="25" t="str">
        <f t="shared" si="9"/>
        <v>Y</v>
      </c>
      <c r="G87" s="25" t="str">
        <f t="shared" si="10"/>
        <v>Y</v>
      </c>
      <c r="H87" s="25" t="str">
        <f t="shared" si="11"/>
        <v>Expressed</v>
      </c>
      <c r="I87" s="23">
        <v>1396</v>
      </c>
      <c r="J87" s="23">
        <v>30.23513409478803</v>
      </c>
      <c r="K87" s="23">
        <v>1296</v>
      </c>
      <c r="L87" s="23">
        <v>23.36959029673746</v>
      </c>
      <c r="M87" s="23">
        <v>2868</v>
      </c>
      <c r="N87" s="23">
        <v>37.169924584394117</v>
      </c>
      <c r="O87" s="23">
        <v>1488</v>
      </c>
      <c r="P87" s="23">
        <v>33.022821213147047</v>
      </c>
      <c r="Q87" s="23">
        <v>6859</v>
      </c>
      <c r="R87" s="23">
        <v>165.07251092896789</v>
      </c>
      <c r="S87" s="23">
        <v>4272</v>
      </c>
      <c r="T87" s="23">
        <v>37.896551634679938</v>
      </c>
      <c r="U87" s="23">
        <v>3121</v>
      </c>
      <c r="V87" s="23">
        <v>35.152356703323854</v>
      </c>
      <c r="W87" s="23">
        <v>4454</v>
      </c>
      <c r="X87" s="23">
        <v>225.9568579132449</v>
      </c>
      <c r="Y87" s="23">
        <v>3774.216152058787</v>
      </c>
      <c r="Z87" s="23">
        <v>1.9193541052252181</v>
      </c>
      <c r="AA87" s="23">
        <v>0.43694284763339192</v>
      </c>
      <c r="AB87" s="23">
        <v>4.3926891482970642</v>
      </c>
      <c r="AC87" s="23">
        <v>1.1195715121939571E-5</v>
      </c>
      <c r="AD87" s="23">
        <v>3.5221989549889901E-3</v>
      </c>
      <c r="AE87" s="23" t="s">
        <v>1167</v>
      </c>
      <c r="AF87" s="23" t="s">
        <v>1168</v>
      </c>
      <c r="AG87" s="23" t="s">
        <v>1169</v>
      </c>
      <c r="AH87" s="23" t="s">
        <v>1170</v>
      </c>
      <c r="AI87" s="23" t="s">
        <v>43</v>
      </c>
      <c r="AJ87" s="23" t="s">
        <v>43</v>
      </c>
      <c r="AK87" s="23" t="s">
        <v>43</v>
      </c>
      <c r="AL87" s="23" t="s">
        <v>43</v>
      </c>
      <c r="AM87" s="23" t="s">
        <v>43</v>
      </c>
      <c r="AN87" s="23" t="s">
        <v>1171</v>
      </c>
      <c r="AO87" s="23" t="s">
        <v>43</v>
      </c>
    </row>
    <row r="88" spans="1:41" s="20" customFormat="1" x14ac:dyDescent="0.3">
      <c r="A88" s="20" t="s">
        <v>523</v>
      </c>
      <c r="B88" s="20">
        <v>1070</v>
      </c>
      <c r="C88" s="20" t="str">
        <f t="shared" si="6"/>
        <v>Up</v>
      </c>
      <c r="D88" s="21" t="str">
        <f t="shared" si="7"/>
        <v>Sig</v>
      </c>
      <c r="E88" s="21" t="str">
        <f t="shared" si="8"/>
        <v>Larger</v>
      </c>
      <c r="F88" s="22" t="str">
        <f t="shared" si="9"/>
        <v>Y</v>
      </c>
      <c r="G88" s="22" t="str">
        <f t="shared" si="10"/>
        <v>Y</v>
      </c>
      <c r="H88" s="22" t="str">
        <f t="shared" si="11"/>
        <v>Expressed</v>
      </c>
      <c r="I88" s="20">
        <v>544</v>
      </c>
      <c r="J88" s="20">
        <v>10.923285250237109</v>
      </c>
      <c r="K88" s="20">
        <v>379</v>
      </c>
      <c r="L88" s="20">
        <v>6.3359713025584021</v>
      </c>
      <c r="M88" s="20">
        <v>592</v>
      </c>
      <c r="N88" s="20">
        <v>7.1131527363266027</v>
      </c>
      <c r="O88" s="20">
        <v>286</v>
      </c>
      <c r="P88" s="20">
        <v>5.8844404155514374</v>
      </c>
      <c r="Q88" s="20">
        <v>634</v>
      </c>
      <c r="R88" s="20">
        <v>14.145917043782291</v>
      </c>
      <c r="S88" s="20">
        <v>1006</v>
      </c>
      <c r="T88" s="20">
        <v>8.2735962706369062</v>
      </c>
      <c r="U88" s="20">
        <v>1062</v>
      </c>
      <c r="V88" s="20">
        <v>11.089528696583139</v>
      </c>
      <c r="W88" s="20">
        <v>266</v>
      </c>
      <c r="X88" s="20">
        <v>12.51079319886435</v>
      </c>
      <c r="Y88" s="20">
        <v>549.90591351645321</v>
      </c>
      <c r="Z88" s="20">
        <v>0.75984347573387734</v>
      </c>
      <c r="AA88" s="20">
        <v>0.19628778326279439</v>
      </c>
      <c r="AB88" s="20">
        <v>3.871068607038993</v>
      </c>
      <c r="AC88" s="20">
        <v>1.083592865815158E-4</v>
      </c>
      <c r="AD88" s="20">
        <v>2.210529446262921E-2</v>
      </c>
    </row>
    <row r="89" spans="1:41" s="20" customFormat="1" x14ac:dyDescent="0.3">
      <c r="A89" s="20" t="s">
        <v>4089</v>
      </c>
      <c r="B89" s="20">
        <v>1928</v>
      </c>
      <c r="C89" s="20" t="str">
        <f t="shared" si="6"/>
        <v>Up</v>
      </c>
      <c r="D89" s="21" t="str">
        <f t="shared" si="7"/>
        <v>Sig</v>
      </c>
      <c r="E89" s="21" t="str">
        <f t="shared" si="8"/>
        <v>Larger</v>
      </c>
      <c r="F89" s="22" t="str">
        <f t="shared" si="9"/>
        <v>N</v>
      </c>
      <c r="G89" s="22" t="str">
        <f t="shared" si="10"/>
        <v>Y</v>
      </c>
      <c r="H89" s="22" t="str">
        <f t="shared" si="11"/>
        <v>Expressed</v>
      </c>
      <c r="I89" s="20">
        <v>216</v>
      </c>
      <c r="J89" s="20">
        <v>2.407048685618669</v>
      </c>
      <c r="K89" s="20">
        <v>153</v>
      </c>
      <c r="L89" s="20">
        <v>1.4195221399701059</v>
      </c>
      <c r="M89" s="20">
        <v>277</v>
      </c>
      <c r="N89" s="20">
        <v>1.847127799708284</v>
      </c>
      <c r="O89" s="20">
        <v>161</v>
      </c>
      <c r="P89" s="20">
        <v>1.8384074050195971</v>
      </c>
      <c r="Q89" s="20">
        <v>301</v>
      </c>
      <c r="R89" s="20">
        <v>3.7272205570007362</v>
      </c>
      <c r="S89" s="20">
        <v>480</v>
      </c>
      <c r="T89" s="20">
        <v>2.1908585028207899</v>
      </c>
      <c r="U89" s="20">
        <v>473</v>
      </c>
      <c r="V89" s="20">
        <v>2.7411099822555949</v>
      </c>
      <c r="W89" s="20">
        <v>149</v>
      </c>
      <c r="X89" s="20">
        <v>3.8892532674300062</v>
      </c>
      <c r="Y89" s="20">
        <v>260.21002407103441</v>
      </c>
      <c r="Z89" s="20">
        <v>0.86679789999572687</v>
      </c>
      <c r="AA89" s="20">
        <v>0.18817849343793641</v>
      </c>
      <c r="AB89" s="20">
        <v>4.6062537974436886</v>
      </c>
      <c r="AC89" s="20">
        <v>4.0998795746497972E-6</v>
      </c>
      <c r="AD89" s="20">
        <v>1.421738088976757E-3</v>
      </c>
      <c r="AE89" s="20" t="s">
        <v>4090</v>
      </c>
      <c r="AF89" s="20" t="s">
        <v>4091</v>
      </c>
      <c r="AG89" s="20" t="s">
        <v>4092</v>
      </c>
      <c r="AH89" s="20" t="s">
        <v>4093</v>
      </c>
      <c r="AI89" s="20" t="s">
        <v>43</v>
      </c>
      <c r="AJ89" s="20" t="s">
        <v>43</v>
      </c>
      <c r="AK89" s="20" t="s">
        <v>43</v>
      </c>
      <c r="AL89" s="20" t="s">
        <v>43</v>
      </c>
      <c r="AM89" s="20" t="s">
        <v>43</v>
      </c>
      <c r="AN89" s="20" t="s">
        <v>4094</v>
      </c>
      <c r="AO89" s="20" t="s">
        <v>43</v>
      </c>
    </row>
    <row r="90" spans="1:41" s="20" customFormat="1" x14ac:dyDescent="0.3">
      <c r="A90" s="20" t="s">
        <v>4095</v>
      </c>
      <c r="B90" s="20">
        <v>1279</v>
      </c>
      <c r="C90" s="20" t="str">
        <f t="shared" si="6"/>
        <v>Up</v>
      </c>
      <c r="D90" s="21" t="str">
        <f t="shared" si="7"/>
        <v>Sig</v>
      </c>
      <c r="E90" s="21" t="str">
        <f t="shared" si="8"/>
        <v>Larger</v>
      </c>
      <c r="F90" s="22" t="str">
        <f t="shared" si="9"/>
        <v>Y</v>
      </c>
      <c r="G90" s="22" t="str">
        <f t="shared" si="10"/>
        <v>Y</v>
      </c>
      <c r="H90" s="22" t="str">
        <f t="shared" si="11"/>
        <v>Expressed</v>
      </c>
      <c r="I90" s="20">
        <v>12060</v>
      </c>
      <c r="J90" s="20">
        <v>202.58855943020399</v>
      </c>
      <c r="K90" s="20">
        <v>7054</v>
      </c>
      <c r="L90" s="20">
        <v>98.655813058982545</v>
      </c>
      <c r="M90" s="20">
        <v>15661</v>
      </c>
      <c r="N90" s="20">
        <v>157.42479998344319</v>
      </c>
      <c r="O90" s="20">
        <v>8344</v>
      </c>
      <c r="P90" s="20">
        <v>143.62388334766689</v>
      </c>
      <c r="Q90" s="20">
        <v>19991</v>
      </c>
      <c r="R90" s="20">
        <v>373.15528885171221</v>
      </c>
      <c r="S90" s="20">
        <v>45372</v>
      </c>
      <c r="T90" s="20">
        <v>312.17455446424759</v>
      </c>
      <c r="U90" s="20">
        <v>30902</v>
      </c>
      <c r="V90" s="20">
        <v>269.95314642776401</v>
      </c>
      <c r="W90" s="20">
        <v>11242</v>
      </c>
      <c r="X90" s="20">
        <v>442.34387985664131</v>
      </c>
      <c r="Y90" s="20">
        <v>17376.686197336461</v>
      </c>
      <c r="Z90" s="20">
        <v>1.362869068415826</v>
      </c>
      <c r="AA90" s="20">
        <v>0.17961762834168249</v>
      </c>
      <c r="AB90" s="20">
        <v>7.5876130923144824</v>
      </c>
      <c r="AC90" s="20">
        <v>3.2585217739001311E-14</v>
      </c>
      <c r="AD90" s="20">
        <v>3.1513526133363037E-11</v>
      </c>
      <c r="AE90" s="20" t="s">
        <v>4096</v>
      </c>
      <c r="AF90" s="20" t="s">
        <v>4097</v>
      </c>
      <c r="AG90" s="20" t="s">
        <v>4098</v>
      </c>
      <c r="AH90" s="20" t="s">
        <v>4099</v>
      </c>
      <c r="AI90" s="20" t="s">
        <v>43</v>
      </c>
      <c r="AJ90" s="20" t="s">
        <v>43</v>
      </c>
      <c r="AK90" s="20" t="s">
        <v>43</v>
      </c>
      <c r="AL90" s="20" t="s">
        <v>43</v>
      </c>
      <c r="AM90" s="20" t="s">
        <v>43</v>
      </c>
      <c r="AN90" s="20" t="s">
        <v>75</v>
      </c>
      <c r="AO90" s="20" t="s">
        <v>43</v>
      </c>
    </row>
    <row r="91" spans="1:41" s="20" customFormat="1" x14ac:dyDescent="0.3">
      <c r="A91" s="20" t="s">
        <v>524</v>
      </c>
      <c r="B91" s="20">
        <v>1547</v>
      </c>
      <c r="C91" s="20" t="str">
        <f t="shared" si="6"/>
        <v>Up</v>
      </c>
      <c r="D91" s="21" t="str">
        <f t="shared" si="7"/>
        <v>Sig</v>
      </c>
      <c r="E91" s="21" t="str">
        <f t="shared" si="8"/>
        <v>Larger</v>
      </c>
      <c r="F91" s="22" t="str">
        <f t="shared" si="9"/>
        <v>Y</v>
      </c>
      <c r="G91" s="22" t="str">
        <f t="shared" si="10"/>
        <v>Y</v>
      </c>
      <c r="H91" s="22" t="str">
        <f t="shared" si="11"/>
        <v>Expressed</v>
      </c>
      <c r="I91" s="20">
        <v>1168</v>
      </c>
      <c r="J91" s="20">
        <v>16.221487716187308</v>
      </c>
      <c r="K91" s="20">
        <v>747</v>
      </c>
      <c r="L91" s="20">
        <v>8.6374999401717272</v>
      </c>
      <c r="M91" s="20">
        <v>894</v>
      </c>
      <c r="N91" s="20">
        <v>7.4297022621325732</v>
      </c>
      <c r="O91" s="20">
        <v>719</v>
      </c>
      <c r="P91" s="20">
        <v>10.232022603858111</v>
      </c>
      <c r="Q91" s="20">
        <v>2746</v>
      </c>
      <c r="R91" s="20">
        <v>42.377550093273037</v>
      </c>
      <c r="S91" s="20">
        <v>2741</v>
      </c>
      <c r="T91" s="20">
        <v>15.5918929180334</v>
      </c>
      <c r="U91" s="20">
        <v>4858</v>
      </c>
      <c r="V91" s="20">
        <v>35.086459508264547</v>
      </c>
      <c r="W91" s="20">
        <v>1824</v>
      </c>
      <c r="X91" s="20">
        <v>59.336442764213977</v>
      </c>
      <c r="Y91" s="20">
        <v>2015.3534075308919</v>
      </c>
      <c r="Z91" s="20">
        <v>1.949377453797273</v>
      </c>
      <c r="AA91" s="20">
        <v>0.30210692696131708</v>
      </c>
      <c r="AB91" s="20">
        <v>6.4526076028931252</v>
      </c>
      <c r="AC91" s="20">
        <v>1.0994176717527369E-10</v>
      </c>
      <c r="AD91" s="20">
        <v>7.3610241653352494E-8</v>
      </c>
      <c r="AE91" s="20" t="s">
        <v>525</v>
      </c>
      <c r="AF91" s="20" t="s">
        <v>526</v>
      </c>
      <c r="AG91" s="20" t="s">
        <v>527</v>
      </c>
      <c r="AH91" s="20" t="s">
        <v>528</v>
      </c>
      <c r="AI91" s="20" t="s">
        <v>43</v>
      </c>
      <c r="AJ91" s="20" t="s">
        <v>43</v>
      </c>
      <c r="AK91" s="20" t="s">
        <v>43</v>
      </c>
      <c r="AL91" s="20" t="s">
        <v>43</v>
      </c>
      <c r="AM91" s="20" t="s">
        <v>43</v>
      </c>
      <c r="AN91" s="20" t="s">
        <v>529</v>
      </c>
      <c r="AO91" s="20" t="s">
        <v>43</v>
      </c>
    </row>
    <row r="92" spans="1:41" s="20" customFormat="1" x14ac:dyDescent="0.3">
      <c r="A92" s="20" t="s">
        <v>4100</v>
      </c>
      <c r="B92" s="20">
        <v>2416</v>
      </c>
      <c r="C92" s="20" t="str">
        <f t="shared" si="6"/>
        <v>Up</v>
      </c>
      <c r="D92" s="21" t="str">
        <f t="shared" si="7"/>
        <v>Sig</v>
      </c>
      <c r="E92" s="21" t="str">
        <f t="shared" si="8"/>
        <v>Larger</v>
      </c>
      <c r="F92" s="22" t="str">
        <f t="shared" si="9"/>
        <v>Y</v>
      </c>
      <c r="G92" s="22" t="str">
        <f t="shared" si="10"/>
        <v>Y</v>
      </c>
      <c r="H92" s="22" t="str">
        <f t="shared" si="11"/>
        <v>Expressed</v>
      </c>
      <c r="I92" s="20">
        <v>1055</v>
      </c>
      <c r="J92" s="20">
        <v>9.3819622817325037</v>
      </c>
      <c r="K92" s="20">
        <v>1106</v>
      </c>
      <c r="L92" s="20">
        <v>8.1887189611840849</v>
      </c>
      <c r="M92" s="20">
        <v>2103</v>
      </c>
      <c r="N92" s="20">
        <v>11.19093949878728</v>
      </c>
      <c r="O92" s="20">
        <v>1202</v>
      </c>
      <c r="P92" s="20">
        <v>10.95293352599414</v>
      </c>
      <c r="Q92" s="20">
        <v>3209</v>
      </c>
      <c r="R92" s="20">
        <v>31.710158576787109</v>
      </c>
      <c r="S92" s="20">
        <v>12432</v>
      </c>
      <c r="T92" s="20">
        <v>45.281853274030112</v>
      </c>
      <c r="U92" s="20">
        <v>10278</v>
      </c>
      <c r="V92" s="20">
        <v>47.531775085246657</v>
      </c>
      <c r="W92" s="20">
        <v>2797</v>
      </c>
      <c r="X92" s="20">
        <v>58.261615510676393</v>
      </c>
      <c r="Y92" s="20">
        <v>3764.8810996158941</v>
      </c>
      <c r="Z92" s="20">
        <v>2.347116523217935</v>
      </c>
      <c r="AA92" s="20">
        <v>0.2266688417331397</v>
      </c>
      <c r="AB92" s="20">
        <v>10.354826474038401</v>
      </c>
      <c r="AC92" s="20">
        <v>3.979074441190106E-25</v>
      </c>
      <c r="AD92" s="20">
        <v>1.03901591808356E-21</v>
      </c>
    </row>
    <row r="93" spans="1:41" s="20" customFormat="1" x14ac:dyDescent="0.3">
      <c r="A93" s="20" t="s">
        <v>4101</v>
      </c>
      <c r="B93" s="20">
        <v>1304</v>
      </c>
      <c r="C93" s="20" t="str">
        <f t="shared" si="6"/>
        <v>Up</v>
      </c>
      <c r="D93" s="21" t="str">
        <f t="shared" si="7"/>
        <v>Sig</v>
      </c>
      <c r="E93" s="21" t="str">
        <f t="shared" si="8"/>
        <v>Larger</v>
      </c>
      <c r="F93" s="22" t="str">
        <f t="shared" si="9"/>
        <v>Y</v>
      </c>
      <c r="G93" s="22" t="str">
        <f t="shared" si="10"/>
        <v>Y</v>
      </c>
      <c r="H93" s="22" t="str">
        <f t="shared" si="11"/>
        <v>Expressed</v>
      </c>
      <c r="I93" s="20">
        <v>1281</v>
      </c>
      <c r="J93" s="20">
        <v>21.106182608295871</v>
      </c>
      <c r="K93" s="20">
        <v>989</v>
      </c>
      <c r="L93" s="20">
        <v>13.56677022092846</v>
      </c>
      <c r="M93" s="20">
        <v>1731</v>
      </c>
      <c r="N93" s="20">
        <v>17.06646921069532</v>
      </c>
      <c r="O93" s="20">
        <v>897</v>
      </c>
      <c r="P93" s="20">
        <v>15.143901139157929</v>
      </c>
      <c r="Q93" s="20">
        <v>1337</v>
      </c>
      <c r="R93" s="20">
        <v>24.47819795395932</v>
      </c>
      <c r="S93" s="20">
        <v>2797</v>
      </c>
      <c r="T93" s="20">
        <v>18.875349271548181</v>
      </c>
      <c r="U93" s="20">
        <v>2220</v>
      </c>
      <c r="V93" s="20">
        <v>19.021630147036781</v>
      </c>
      <c r="W93" s="20">
        <v>681</v>
      </c>
      <c r="X93" s="20">
        <v>26.281884773907031</v>
      </c>
      <c r="Y93" s="20">
        <v>1366.2934045001659</v>
      </c>
      <c r="Z93" s="20">
        <v>0.55066774789868633</v>
      </c>
      <c r="AA93" s="20">
        <v>0.12617120012590749</v>
      </c>
      <c r="AB93" s="20">
        <v>4.3644488389519136</v>
      </c>
      <c r="AC93" s="20">
        <v>1.2744367047157379E-5</v>
      </c>
      <c r="AD93" s="20">
        <v>3.7816012765383351E-3</v>
      </c>
      <c r="AE93" s="20" t="s">
        <v>4102</v>
      </c>
      <c r="AF93" s="20" t="s">
        <v>4103</v>
      </c>
      <c r="AG93" s="20" t="s">
        <v>4104</v>
      </c>
      <c r="AH93" s="20" t="s">
        <v>4105</v>
      </c>
      <c r="AI93" s="20" t="s">
        <v>43</v>
      </c>
      <c r="AJ93" s="20" t="s">
        <v>43</v>
      </c>
      <c r="AK93" s="20" t="s">
        <v>43</v>
      </c>
      <c r="AL93" s="20" t="s">
        <v>43</v>
      </c>
      <c r="AM93" s="20" t="s">
        <v>43</v>
      </c>
      <c r="AN93" s="20" t="s">
        <v>4106</v>
      </c>
      <c r="AO93" s="20" t="s">
        <v>43</v>
      </c>
    </row>
    <row r="94" spans="1:41" s="20" customFormat="1" x14ac:dyDescent="0.3">
      <c r="A94" s="20" t="s">
        <v>4107</v>
      </c>
      <c r="B94" s="20">
        <v>1905</v>
      </c>
      <c r="C94" s="20" t="str">
        <f t="shared" si="6"/>
        <v>Up</v>
      </c>
      <c r="D94" s="21" t="str">
        <f t="shared" si="7"/>
        <v>Sig</v>
      </c>
      <c r="E94" s="21" t="str">
        <f t="shared" si="8"/>
        <v>Larger</v>
      </c>
      <c r="F94" s="22" t="str">
        <f t="shared" si="9"/>
        <v>N</v>
      </c>
      <c r="G94" s="22" t="str">
        <f t="shared" si="10"/>
        <v>Y</v>
      </c>
      <c r="H94" s="22" t="str">
        <f t="shared" si="11"/>
        <v>Expressed</v>
      </c>
      <c r="I94" s="20">
        <v>90</v>
      </c>
      <c r="J94" s="20">
        <v>1.015045902421871</v>
      </c>
      <c r="K94" s="20">
        <v>41</v>
      </c>
      <c r="L94" s="20">
        <v>0.38498751520888252</v>
      </c>
      <c r="M94" s="20">
        <v>112</v>
      </c>
      <c r="N94" s="20">
        <v>0.75587024182572538</v>
      </c>
      <c r="O94" s="20">
        <v>279</v>
      </c>
      <c r="P94" s="20">
        <v>3.2242754570316809</v>
      </c>
      <c r="Q94" s="20">
        <v>4456</v>
      </c>
      <c r="R94" s="20">
        <v>55.843911333606947</v>
      </c>
      <c r="S94" s="20">
        <v>6777</v>
      </c>
      <c r="T94" s="20">
        <v>31.305642919873801</v>
      </c>
      <c r="U94" s="20">
        <v>12186</v>
      </c>
      <c r="V94" s="20">
        <v>71.472429311961022</v>
      </c>
      <c r="W94" s="20">
        <v>2639</v>
      </c>
      <c r="X94" s="20">
        <v>69.715829099183466</v>
      </c>
      <c r="Y94" s="20">
        <v>3119.603861459736</v>
      </c>
      <c r="Z94" s="20">
        <v>5.5170368621683048</v>
      </c>
      <c r="AA94" s="20">
        <v>0.67209134182236152</v>
      </c>
      <c r="AB94" s="20">
        <v>8.2087605045007361</v>
      </c>
      <c r="AC94" s="20">
        <v>2.2348349342585508E-16</v>
      </c>
      <c r="AD94" s="20">
        <v>2.4315004084733039E-13</v>
      </c>
    </row>
    <row r="95" spans="1:41" s="20" customFormat="1" x14ac:dyDescent="0.3">
      <c r="A95" s="20" t="s">
        <v>4108</v>
      </c>
      <c r="B95" s="20">
        <v>2067</v>
      </c>
      <c r="C95" s="20" t="str">
        <f t="shared" si="6"/>
        <v>Up</v>
      </c>
      <c r="D95" s="21" t="str">
        <f t="shared" si="7"/>
        <v>Sig</v>
      </c>
      <c r="E95" s="21" t="str">
        <f t="shared" si="8"/>
        <v>Larger</v>
      </c>
      <c r="F95" s="22" t="str">
        <f t="shared" si="9"/>
        <v>N</v>
      </c>
      <c r="G95" s="22" t="str">
        <f t="shared" si="10"/>
        <v>Y</v>
      </c>
      <c r="H95" s="22" t="str">
        <f t="shared" si="11"/>
        <v>Expressed</v>
      </c>
      <c r="I95" s="20">
        <v>10</v>
      </c>
      <c r="J95" s="20">
        <v>0.1039435813639555</v>
      </c>
      <c r="K95" s="20">
        <v>8</v>
      </c>
      <c r="L95" s="20">
        <v>6.9232064046908667E-2</v>
      </c>
      <c r="M95" s="20">
        <v>10</v>
      </c>
      <c r="N95" s="20">
        <v>6.2199046698027123E-2</v>
      </c>
      <c r="O95" s="20">
        <v>4</v>
      </c>
      <c r="P95" s="20">
        <v>4.2603220400770268E-2</v>
      </c>
      <c r="Q95" s="20">
        <v>353</v>
      </c>
      <c r="R95" s="20">
        <v>4.0771797211452689</v>
      </c>
      <c r="S95" s="20">
        <v>485</v>
      </c>
      <c r="T95" s="20">
        <v>2.0648161272553471</v>
      </c>
      <c r="U95" s="20">
        <v>1219</v>
      </c>
      <c r="V95" s="20">
        <v>6.5892438365664932</v>
      </c>
      <c r="W95" s="20">
        <v>183</v>
      </c>
      <c r="X95" s="20">
        <v>4.4555118134043914</v>
      </c>
      <c r="Y95" s="20">
        <v>256.37807325631138</v>
      </c>
      <c r="Z95" s="20">
        <v>6.1187400715423959</v>
      </c>
      <c r="AA95" s="20">
        <v>0.4309100545042564</v>
      </c>
      <c r="AB95" s="20">
        <v>14.19957600799486</v>
      </c>
      <c r="AC95" s="20">
        <v>9.2168361482538427E-46</v>
      </c>
      <c r="AD95" s="20">
        <v>8.0223341834401449E-42</v>
      </c>
    </row>
    <row r="96" spans="1:41" s="20" customFormat="1" x14ac:dyDescent="0.3">
      <c r="A96" s="20" t="s">
        <v>2943</v>
      </c>
      <c r="B96" s="20">
        <v>336</v>
      </c>
      <c r="C96" s="20" t="str">
        <f t="shared" si="6"/>
        <v>Up</v>
      </c>
      <c r="D96" s="21" t="str">
        <f t="shared" si="7"/>
        <v>Sig</v>
      </c>
      <c r="E96" s="21" t="str">
        <f t="shared" si="8"/>
        <v>Larger</v>
      </c>
      <c r="F96" s="22" t="str">
        <f t="shared" si="9"/>
        <v>Y</v>
      </c>
      <c r="G96" s="22" t="str">
        <f t="shared" si="10"/>
        <v>Y</v>
      </c>
      <c r="H96" s="22" t="str">
        <f t="shared" si="11"/>
        <v>Expressed</v>
      </c>
      <c r="I96" s="20">
        <v>78</v>
      </c>
      <c r="J96" s="20">
        <v>4.9876213836265144</v>
      </c>
      <c r="K96" s="20">
        <v>49</v>
      </c>
      <c r="L96" s="20">
        <v>2.608642538267504</v>
      </c>
      <c r="M96" s="20">
        <v>196</v>
      </c>
      <c r="N96" s="20">
        <v>7.4996500556146204</v>
      </c>
      <c r="O96" s="20">
        <v>54</v>
      </c>
      <c r="P96" s="20">
        <v>3.5381594156943268</v>
      </c>
      <c r="Q96" s="20">
        <v>72</v>
      </c>
      <c r="R96" s="20">
        <v>5.115862292760383</v>
      </c>
      <c r="S96" s="20">
        <v>371</v>
      </c>
      <c r="T96" s="20">
        <v>9.7166096029617908</v>
      </c>
      <c r="U96" s="20">
        <v>171</v>
      </c>
      <c r="V96" s="20">
        <v>5.6862923325649506</v>
      </c>
      <c r="W96" s="20">
        <v>824</v>
      </c>
      <c r="X96" s="20">
        <v>123.4169816010419</v>
      </c>
      <c r="Y96" s="20">
        <v>336.62198162708142</v>
      </c>
      <c r="Z96" s="20">
        <v>2.8986401561291548</v>
      </c>
      <c r="AA96" s="20">
        <v>1.0163061173099741</v>
      </c>
      <c r="AB96" s="20">
        <v>2.8521329417965791</v>
      </c>
      <c r="AE96" s="20" t="s">
        <v>2944</v>
      </c>
      <c r="AF96" s="20" t="s">
        <v>2945</v>
      </c>
      <c r="AG96" s="20" t="s">
        <v>43</v>
      </c>
      <c r="AH96" s="20" t="s">
        <v>2946</v>
      </c>
      <c r="AI96" s="20" t="s">
        <v>43</v>
      </c>
      <c r="AJ96" s="20" t="s">
        <v>43</v>
      </c>
      <c r="AK96" s="20" t="s">
        <v>43</v>
      </c>
      <c r="AL96" s="20" t="s">
        <v>43</v>
      </c>
      <c r="AM96" s="20" t="s">
        <v>43</v>
      </c>
      <c r="AN96" s="20" t="s">
        <v>2947</v>
      </c>
      <c r="AO96" s="20" t="s">
        <v>43</v>
      </c>
    </row>
    <row r="97" spans="1:41" s="20" customFormat="1" x14ac:dyDescent="0.3">
      <c r="A97" s="20" t="s">
        <v>530</v>
      </c>
      <c r="B97" s="20">
        <v>1328</v>
      </c>
      <c r="C97" s="20" t="str">
        <f t="shared" si="6"/>
        <v>Up</v>
      </c>
      <c r="D97" s="21" t="str">
        <f t="shared" si="7"/>
        <v>Sig</v>
      </c>
      <c r="E97" s="21" t="str">
        <f t="shared" si="8"/>
        <v>Larger</v>
      </c>
      <c r="F97" s="22" t="str">
        <f t="shared" si="9"/>
        <v>Y</v>
      </c>
      <c r="G97" s="22" t="str">
        <f t="shared" si="10"/>
        <v>Y</v>
      </c>
      <c r="H97" s="22" t="str">
        <f t="shared" si="11"/>
        <v>Expressed</v>
      </c>
      <c r="I97" s="20">
        <v>5255</v>
      </c>
      <c r="J97" s="20">
        <v>85.018374697266609</v>
      </c>
      <c r="K97" s="20">
        <v>5273</v>
      </c>
      <c r="L97" s="20">
        <v>71.026017750178397</v>
      </c>
      <c r="M97" s="20">
        <v>7848</v>
      </c>
      <c r="N97" s="20">
        <v>75.977521905933997</v>
      </c>
      <c r="O97" s="20">
        <v>4144</v>
      </c>
      <c r="P97" s="20">
        <v>68.698077865101098</v>
      </c>
      <c r="Q97" s="20">
        <v>6469</v>
      </c>
      <c r="R97" s="20">
        <v>116.29598002162069</v>
      </c>
      <c r="S97" s="20">
        <v>14736</v>
      </c>
      <c r="T97" s="20">
        <v>97.647619306145671</v>
      </c>
      <c r="U97" s="20">
        <v>11003</v>
      </c>
      <c r="V97" s="20">
        <v>92.573223789153488</v>
      </c>
      <c r="W97" s="20">
        <v>3598</v>
      </c>
      <c r="X97" s="20">
        <v>136.34840764726181</v>
      </c>
      <c r="Y97" s="20">
        <v>6687.8362339506166</v>
      </c>
      <c r="Z97" s="20">
        <v>0.69063648709934522</v>
      </c>
      <c r="AA97" s="20">
        <v>0.10600851038628099</v>
      </c>
      <c r="AB97" s="20">
        <v>6.51491549671585</v>
      </c>
      <c r="AC97" s="20">
        <v>7.2730590928187568E-11</v>
      </c>
      <c r="AD97" s="20">
        <v>4.9977399745179832E-8</v>
      </c>
      <c r="AE97" s="20" t="s">
        <v>531</v>
      </c>
      <c r="AF97" s="20" t="s">
        <v>532</v>
      </c>
      <c r="AG97" s="20" t="s">
        <v>533</v>
      </c>
      <c r="AH97" s="20" t="s">
        <v>534</v>
      </c>
      <c r="AI97" s="20" t="s">
        <v>43</v>
      </c>
      <c r="AJ97" s="20" t="s">
        <v>43</v>
      </c>
      <c r="AK97" s="20" t="s">
        <v>43</v>
      </c>
      <c r="AL97" s="20" t="s">
        <v>43</v>
      </c>
      <c r="AM97" s="20" t="s">
        <v>43</v>
      </c>
      <c r="AN97" s="20" t="s">
        <v>535</v>
      </c>
      <c r="AO97" s="20" t="s">
        <v>43</v>
      </c>
    </row>
    <row r="98" spans="1:41" s="20" customFormat="1" x14ac:dyDescent="0.3">
      <c r="A98" s="20" t="s">
        <v>4109</v>
      </c>
      <c r="B98" s="20">
        <v>848</v>
      </c>
      <c r="C98" s="20" t="str">
        <f t="shared" si="6"/>
        <v>Up</v>
      </c>
      <c r="D98" s="21" t="str">
        <f t="shared" si="7"/>
        <v>Sig</v>
      </c>
      <c r="E98" s="21" t="str">
        <f t="shared" si="8"/>
        <v>Larger</v>
      </c>
      <c r="F98" s="22" t="str">
        <f t="shared" si="9"/>
        <v>Y</v>
      </c>
      <c r="G98" s="22" t="str">
        <f t="shared" si="10"/>
        <v>Y</v>
      </c>
      <c r="H98" s="22" t="str">
        <f t="shared" si="11"/>
        <v>Expressed</v>
      </c>
      <c r="I98" s="20">
        <v>368</v>
      </c>
      <c r="J98" s="20">
        <v>9.3237392483468078</v>
      </c>
      <c r="K98" s="20">
        <v>817</v>
      </c>
      <c r="L98" s="20">
        <v>17.23391606817696</v>
      </c>
      <c r="M98" s="20">
        <v>969</v>
      </c>
      <c r="N98" s="20">
        <v>14.69102608603214</v>
      </c>
      <c r="O98" s="20">
        <v>591</v>
      </c>
      <c r="P98" s="20">
        <v>15.343150422146151</v>
      </c>
      <c r="Q98" s="20">
        <v>2252</v>
      </c>
      <c r="R98" s="20">
        <v>63.401299672228532</v>
      </c>
      <c r="S98" s="20">
        <v>2056</v>
      </c>
      <c r="T98" s="20">
        <v>21.335723756165301</v>
      </c>
      <c r="U98" s="20">
        <v>2915</v>
      </c>
      <c r="V98" s="20">
        <v>38.407413123465027</v>
      </c>
      <c r="W98" s="20">
        <v>343</v>
      </c>
      <c r="X98" s="20">
        <v>20.35566309013338</v>
      </c>
      <c r="Y98" s="20">
        <v>1179.3899518581161</v>
      </c>
      <c r="Z98" s="20">
        <v>1.455081345332115</v>
      </c>
      <c r="AA98" s="20">
        <v>0.37508865531382862</v>
      </c>
      <c r="AB98" s="20">
        <v>3.8792997994425602</v>
      </c>
      <c r="AC98" s="20">
        <v>1.047575789286735E-4</v>
      </c>
      <c r="AD98" s="20">
        <v>2.1709761118932708E-2</v>
      </c>
      <c r="AE98" s="20" t="s">
        <v>4110</v>
      </c>
      <c r="AF98" s="20" t="s">
        <v>4111</v>
      </c>
      <c r="AG98" s="20" t="s">
        <v>43</v>
      </c>
      <c r="AH98" s="20" t="s">
        <v>4112</v>
      </c>
      <c r="AI98" s="20" t="s">
        <v>43</v>
      </c>
      <c r="AJ98" s="20" t="s">
        <v>43</v>
      </c>
      <c r="AK98" s="20" t="s">
        <v>43</v>
      </c>
      <c r="AL98" s="20" t="s">
        <v>43</v>
      </c>
      <c r="AM98" s="20" t="s">
        <v>43</v>
      </c>
      <c r="AN98" s="20" t="s">
        <v>3822</v>
      </c>
      <c r="AO98" s="20" t="s">
        <v>43</v>
      </c>
    </row>
    <row r="99" spans="1:41" s="20" customFormat="1" x14ac:dyDescent="0.3">
      <c r="A99" s="20" t="s">
        <v>4113</v>
      </c>
      <c r="B99" s="20">
        <v>706</v>
      </c>
      <c r="C99" s="20" t="str">
        <f t="shared" si="6"/>
        <v>Up</v>
      </c>
      <c r="D99" s="21" t="str">
        <f t="shared" si="7"/>
        <v>Sig</v>
      </c>
      <c r="E99" s="21" t="str">
        <f t="shared" si="8"/>
        <v>Larger</v>
      </c>
      <c r="F99" s="22" t="str">
        <f t="shared" si="9"/>
        <v>Y</v>
      </c>
      <c r="G99" s="22" t="str">
        <f t="shared" si="10"/>
        <v>Y</v>
      </c>
      <c r="H99" s="22" t="str">
        <f t="shared" si="11"/>
        <v>Expressed</v>
      </c>
      <c r="I99" s="20">
        <v>46351</v>
      </c>
      <c r="J99" s="20">
        <v>1410.563234924653</v>
      </c>
      <c r="K99" s="20">
        <v>50921</v>
      </c>
      <c r="L99" s="20">
        <v>1290.179069440255</v>
      </c>
      <c r="M99" s="20">
        <v>77430</v>
      </c>
      <c r="N99" s="20">
        <v>1410.0313325930549</v>
      </c>
      <c r="O99" s="20">
        <v>45040</v>
      </c>
      <c r="P99" s="20">
        <v>1404.4833498018349</v>
      </c>
      <c r="Q99" s="20">
        <v>82264</v>
      </c>
      <c r="R99" s="20">
        <v>2781.8310383016819</v>
      </c>
      <c r="S99" s="20">
        <v>121326</v>
      </c>
      <c r="T99" s="20">
        <v>1512.269872282571</v>
      </c>
      <c r="U99" s="20">
        <v>107868</v>
      </c>
      <c r="V99" s="20">
        <v>1707.105161494484</v>
      </c>
      <c r="W99" s="20">
        <v>30669</v>
      </c>
      <c r="X99" s="20">
        <v>2186.159783909608</v>
      </c>
      <c r="Y99" s="20">
        <v>65481.121686239298</v>
      </c>
      <c r="Z99" s="20">
        <v>0.68893277568759148</v>
      </c>
      <c r="AA99" s="20">
        <v>0.17129467940540019</v>
      </c>
      <c r="AB99" s="20">
        <v>4.0219157890894319</v>
      </c>
      <c r="AC99" s="20">
        <v>5.7726697612511129E-5</v>
      </c>
      <c r="AD99" s="20">
        <v>1.3339464850069829E-2</v>
      </c>
      <c r="AE99" s="20" t="s">
        <v>4114</v>
      </c>
      <c r="AF99" s="20" t="s">
        <v>4115</v>
      </c>
      <c r="AG99" s="20" t="s">
        <v>4116</v>
      </c>
      <c r="AH99" s="20" t="s">
        <v>4117</v>
      </c>
      <c r="AI99" s="20" t="s">
        <v>43</v>
      </c>
      <c r="AJ99" s="20" t="s">
        <v>43</v>
      </c>
      <c r="AK99" s="20" t="s">
        <v>43</v>
      </c>
      <c r="AL99" s="20" t="s">
        <v>43</v>
      </c>
      <c r="AM99" s="20" t="s">
        <v>43</v>
      </c>
      <c r="AN99" s="20" t="s">
        <v>4118</v>
      </c>
      <c r="AO99" s="20" t="s">
        <v>43</v>
      </c>
    </row>
    <row r="100" spans="1:41" s="20" customFormat="1" x14ac:dyDescent="0.3">
      <c r="A100" s="20" t="s">
        <v>4119</v>
      </c>
      <c r="B100" s="20">
        <v>1326</v>
      </c>
      <c r="C100" s="20" t="str">
        <f t="shared" si="6"/>
        <v>Up</v>
      </c>
      <c r="D100" s="21" t="str">
        <f t="shared" si="7"/>
        <v>Sig</v>
      </c>
      <c r="E100" s="21" t="str">
        <f t="shared" si="8"/>
        <v>Larger</v>
      </c>
      <c r="F100" s="22" t="str">
        <f t="shared" si="9"/>
        <v>Y</v>
      </c>
      <c r="G100" s="22" t="str">
        <f t="shared" si="10"/>
        <v>Y</v>
      </c>
      <c r="H100" s="22" t="str">
        <f t="shared" si="11"/>
        <v>Expressed</v>
      </c>
      <c r="I100" s="20">
        <v>566</v>
      </c>
      <c r="J100" s="20">
        <v>9.1708810404586387</v>
      </c>
      <c r="K100" s="20">
        <v>606</v>
      </c>
      <c r="L100" s="20">
        <v>8.1749832097743109</v>
      </c>
      <c r="M100" s="20">
        <v>916</v>
      </c>
      <c r="N100" s="20">
        <v>8.8812921149877067</v>
      </c>
      <c r="O100" s="20">
        <v>623</v>
      </c>
      <c r="P100" s="20">
        <v>10.343498047154659</v>
      </c>
      <c r="Q100" s="20">
        <v>785</v>
      </c>
      <c r="R100" s="20">
        <v>14.13356626381011</v>
      </c>
      <c r="S100" s="20">
        <v>1866</v>
      </c>
      <c r="T100" s="20">
        <v>12.38363768061245</v>
      </c>
      <c r="U100" s="20">
        <v>1392</v>
      </c>
      <c r="V100" s="20">
        <v>11.729191074808901</v>
      </c>
      <c r="W100" s="20">
        <v>373</v>
      </c>
      <c r="X100" s="20">
        <v>14.156382680680069</v>
      </c>
      <c r="Y100" s="20">
        <v>805.59889900413987</v>
      </c>
      <c r="Z100" s="20">
        <v>0.66135409522703992</v>
      </c>
      <c r="AA100" s="20">
        <v>0.16042348527076131</v>
      </c>
      <c r="AB100" s="20">
        <v>4.1225515959263239</v>
      </c>
      <c r="AC100" s="20">
        <v>3.7469864751346657E-5</v>
      </c>
      <c r="AD100" s="20">
        <v>9.592285376344746E-3</v>
      </c>
      <c r="AE100" s="20" t="s">
        <v>4120</v>
      </c>
      <c r="AF100" s="20" t="s">
        <v>4121</v>
      </c>
      <c r="AG100" s="20" t="s">
        <v>43</v>
      </c>
      <c r="AH100" s="20" t="s">
        <v>4122</v>
      </c>
      <c r="AI100" s="20" t="s">
        <v>43</v>
      </c>
      <c r="AJ100" s="20" t="s">
        <v>43</v>
      </c>
      <c r="AK100" s="20" t="s">
        <v>43</v>
      </c>
      <c r="AL100" s="20" t="s">
        <v>43</v>
      </c>
      <c r="AM100" s="20" t="s">
        <v>43</v>
      </c>
      <c r="AN100" s="20" t="s">
        <v>4123</v>
      </c>
      <c r="AO100" s="20" t="s">
        <v>4124</v>
      </c>
    </row>
    <row r="101" spans="1:41" s="26" customFormat="1" x14ac:dyDescent="0.3">
      <c r="A101" s="26" t="s">
        <v>4125</v>
      </c>
      <c r="B101" s="26">
        <v>2129</v>
      </c>
      <c r="C101" s="26" t="str">
        <f t="shared" si="6"/>
        <v>Down</v>
      </c>
      <c r="D101" s="27" t="str">
        <f t="shared" si="7"/>
        <v>Sig</v>
      </c>
      <c r="E101" s="27" t="str">
        <f t="shared" si="8"/>
        <v>Smaller</v>
      </c>
      <c r="F101" s="28" t="str">
        <f t="shared" si="9"/>
        <v>Y</v>
      </c>
      <c r="G101" s="28" t="str">
        <f t="shared" si="10"/>
        <v>Y</v>
      </c>
      <c r="H101" s="28" t="str">
        <f t="shared" si="11"/>
        <v>Expressed</v>
      </c>
      <c r="I101" s="26">
        <v>2276</v>
      </c>
      <c r="J101" s="26">
        <v>22.968611882483689</v>
      </c>
      <c r="K101" s="26">
        <v>2240</v>
      </c>
      <c r="L101" s="26">
        <v>18.82045532540576</v>
      </c>
      <c r="M101" s="26">
        <v>2817</v>
      </c>
      <c r="N101" s="26">
        <v>17.01121723679773</v>
      </c>
      <c r="O101" s="26">
        <v>1476</v>
      </c>
      <c r="P101" s="26">
        <v>15.26277880400972</v>
      </c>
      <c r="Q101" s="26">
        <v>1063</v>
      </c>
      <c r="R101" s="26">
        <v>11.92019142646939</v>
      </c>
      <c r="S101" s="26">
        <v>2165</v>
      </c>
      <c r="T101" s="26">
        <v>8.9487497003623737</v>
      </c>
      <c r="U101" s="26">
        <v>1966</v>
      </c>
      <c r="V101" s="26">
        <v>10.31763599822124</v>
      </c>
      <c r="W101" s="26">
        <v>572</v>
      </c>
      <c r="X101" s="26">
        <v>13.52095457543507</v>
      </c>
      <c r="Y101" s="26">
        <v>1674.8868818272331</v>
      </c>
      <c r="Z101" s="26">
        <v>-0.59182981853082961</v>
      </c>
      <c r="AA101" s="26">
        <v>0.14061745608848261</v>
      </c>
      <c r="AB101" s="26">
        <v>-4.2087933816582828</v>
      </c>
      <c r="AC101" s="26">
        <v>2.567380203778039E-5</v>
      </c>
      <c r="AD101" s="26">
        <v>6.840758355209405E-3</v>
      </c>
      <c r="AE101" s="26" t="s">
        <v>4126</v>
      </c>
      <c r="AF101" s="26" t="s">
        <v>4127</v>
      </c>
      <c r="AG101" s="26" t="s">
        <v>4128</v>
      </c>
      <c r="AH101" s="26" t="s">
        <v>43</v>
      </c>
      <c r="AI101" s="26" t="s">
        <v>43</v>
      </c>
      <c r="AJ101" s="26" t="s">
        <v>43</v>
      </c>
      <c r="AK101" s="26" t="s">
        <v>43</v>
      </c>
      <c r="AL101" s="26" t="s">
        <v>43</v>
      </c>
      <c r="AM101" s="26" t="s">
        <v>43</v>
      </c>
      <c r="AN101" s="26" t="s">
        <v>43</v>
      </c>
      <c r="AO101" s="26" t="s">
        <v>43</v>
      </c>
    </row>
    <row r="102" spans="1:41" s="26" customFormat="1" x14ac:dyDescent="0.3">
      <c r="A102" s="26" t="s">
        <v>4129</v>
      </c>
      <c r="B102" s="26">
        <v>1793</v>
      </c>
      <c r="C102" s="26" t="str">
        <f t="shared" si="6"/>
        <v>Down</v>
      </c>
      <c r="D102" s="27" t="str">
        <f t="shared" si="7"/>
        <v>Sig</v>
      </c>
      <c r="E102" s="27" t="str">
        <f t="shared" si="8"/>
        <v>Smaller</v>
      </c>
      <c r="F102" s="28" t="str">
        <f t="shared" si="9"/>
        <v>Y</v>
      </c>
      <c r="G102" s="28" t="str">
        <f t="shared" si="10"/>
        <v>Y</v>
      </c>
      <c r="H102" s="28" t="str">
        <f t="shared" si="11"/>
        <v>Expressed</v>
      </c>
      <c r="I102" s="26">
        <v>1694</v>
      </c>
      <c r="J102" s="26">
        <v>20.29884228994576</v>
      </c>
      <c r="K102" s="26">
        <v>1647</v>
      </c>
      <c r="L102" s="26">
        <v>16.43126798703496</v>
      </c>
      <c r="M102" s="26">
        <v>2520</v>
      </c>
      <c r="N102" s="26">
        <v>18.069430139573431</v>
      </c>
      <c r="O102" s="26">
        <v>1421</v>
      </c>
      <c r="P102" s="26">
        <v>17.447640432750308</v>
      </c>
      <c r="Q102" s="26">
        <v>567</v>
      </c>
      <c r="R102" s="26">
        <v>7.5496774270183904</v>
      </c>
      <c r="S102" s="26">
        <v>1659</v>
      </c>
      <c r="T102" s="26">
        <v>8.1422834703411944</v>
      </c>
      <c r="U102" s="26">
        <v>1619</v>
      </c>
      <c r="V102" s="26">
        <v>10.088785981343991</v>
      </c>
      <c r="W102" s="26">
        <v>250</v>
      </c>
      <c r="X102" s="26">
        <v>7.0169229138718539</v>
      </c>
      <c r="Y102" s="26">
        <v>1257.1222276115709</v>
      </c>
      <c r="Z102" s="26">
        <v>-0.95229891675619782</v>
      </c>
      <c r="AA102" s="26">
        <v>0.21707602779773591</v>
      </c>
      <c r="AB102" s="26">
        <v>-4.3869372699389819</v>
      </c>
      <c r="AC102" s="26">
        <v>1.149579264696384E-5</v>
      </c>
      <c r="AD102" s="26">
        <v>3.5308125304423662E-3</v>
      </c>
      <c r="AE102" s="26" t="s">
        <v>4130</v>
      </c>
      <c r="AF102" s="26" t="s">
        <v>4131</v>
      </c>
      <c r="AG102" s="26" t="s">
        <v>4132</v>
      </c>
      <c r="AH102" s="26" t="s">
        <v>4133</v>
      </c>
      <c r="AI102" s="26" t="s">
        <v>43</v>
      </c>
      <c r="AJ102" s="26" t="s">
        <v>43</v>
      </c>
      <c r="AK102" s="26" t="s">
        <v>43</v>
      </c>
      <c r="AL102" s="26" t="s">
        <v>43</v>
      </c>
      <c r="AM102" s="26" t="s">
        <v>43</v>
      </c>
      <c r="AN102" s="26" t="s">
        <v>4134</v>
      </c>
      <c r="AO102" s="26" t="s">
        <v>43</v>
      </c>
    </row>
    <row r="103" spans="1:41" s="26" customFormat="1" x14ac:dyDescent="0.3">
      <c r="A103" s="26" t="s">
        <v>131</v>
      </c>
      <c r="B103" s="26">
        <v>1610</v>
      </c>
      <c r="C103" s="26" t="str">
        <f t="shared" si="6"/>
        <v>Down</v>
      </c>
      <c r="D103" s="27" t="str">
        <f t="shared" si="7"/>
        <v>Sig</v>
      </c>
      <c r="E103" s="27" t="str">
        <f t="shared" si="8"/>
        <v>Smaller</v>
      </c>
      <c r="F103" s="28" t="str">
        <f t="shared" si="9"/>
        <v>Y</v>
      </c>
      <c r="G103" s="28" t="str">
        <f t="shared" si="10"/>
        <v>Y</v>
      </c>
      <c r="H103" s="28" t="str">
        <f t="shared" si="11"/>
        <v>Expressed</v>
      </c>
      <c r="I103" s="26">
        <v>10973</v>
      </c>
      <c r="J103" s="26">
        <v>146.43256038136121</v>
      </c>
      <c r="K103" s="26">
        <v>12112</v>
      </c>
      <c r="L103" s="26">
        <v>134.5698459918197</v>
      </c>
      <c r="M103" s="26">
        <v>17006</v>
      </c>
      <c r="N103" s="26">
        <v>135.80022947199529</v>
      </c>
      <c r="O103" s="26">
        <v>10349</v>
      </c>
      <c r="P103" s="26">
        <v>141.5127025817221</v>
      </c>
      <c r="Q103" s="26">
        <v>4037</v>
      </c>
      <c r="R103" s="26">
        <v>59.863003118474403</v>
      </c>
      <c r="S103" s="26">
        <v>13905</v>
      </c>
      <c r="T103" s="26">
        <v>76.002038127280173</v>
      </c>
      <c r="U103" s="26">
        <v>10241</v>
      </c>
      <c r="V103" s="26">
        <v>71.070413153681372</v>
      </c>
      <c r="W103" s="26">
        <v>1639</v>
      </c>
      <c r="X103" s="26">
        <v>51.231852978668051</v>
      </c>
      <c r="Y103" s="26">
        <v>8824.7173797245923</v>
      </c>
      <c r="Z103" s="26">
        <v>-0.92792518687824677</v>
      </c>
      <c r="AA103" s="26">
        <v>0.2355525128541108</v>
      </c>
      <c r="AB103" s="26">
        <v>-3.9393559238018252</v>
      </c>
      <c r="AC103" s="26">
        <v>8.1700648160621401E-5</v>
      </c>
      <c r="AD103" s="26">
        <v>1.8079384108221581E-2</v>
      </c>
      <c r="AE103" s="26" t="s">
        <v>132</v>
      </c>
      <c r="AF103" s="26" t="s">
        <v>133</v>
      </c>
      <c r="AG103" s="26" t="s">
        <v>55</v>
      </c>
      <c r="AH103" s="26" t="s">
        <v>134</v>
      </c>
      <c r="AI103" s="26" t="s">
        <v>43</v>
      </c>
      <c r="AJ103" s="26" t="s">
        <v>43</v>
      </c>
      <c r="AK103" s="26" t="s">
        <v>43</v>
      </c>
      <c r="AL103" s="26" t="s">
        <v>43</v>
      </c>
      <c r="AM103" s="26" t="s">
        <v>43</v>
      </c>
      <c r="AN103" s="26" t="s">
        <v>135</v>
      </c>
      <c r="AO103" s="26" t="s">
        <v>43</v>
      </c>
    </row>
    <row r="104" spans="1:41" s="26" customFormat="1" x14ac:dyDescent="0.3">
      <c r="A104" s="26" t="s">
        <v>160</v>
      </c>
      <c r="B104" s="26">
        <v>1704</v>
      </c>
      <c r="C104" s="26" t="str">
        <f t="shared" si="6"/>
        <v>Down</v>
      </c>
      <c r="D104" s="27" t="str">
        <f t="shared" si="7"/>
        <v>Sig</v>
      </c>
      <c r="E104" s="27" t="str">
        <f t="shared" si="8"/>
        <v>Smaller</v>
      </c>
      <c r="F104" s="28" t="str">
        <f t="shared" si="9"/>
        <v>Y</v>
      </c>
      <c r="G104" s="28" t="str">
        <f t="shared" si="10"/>
        <v>Y</v>
      </c>
      <c r="H104" s="28" t="str">
        <f t="shared" si="11"/>
        <v>Expressed</v>
      </c>
      <c r="I104" s="26">
        <v>1457</v>
      </c>
      <c r="J104" s="26">
        <v>18.370801911017271</v>
      </c>
      <c r="K104" s="26">
        <v>1593</v>
      </c>
      <c r="L104" s="26">
        <v>16.72260588917559</v>
      </c>
      <c r="M104" s="26">
        <v>2225</v>
      </c>
      <c r="N104" s="26">
        <v>16.787446050042789</v>
      </c>
      <c r="O104" s="26">
        <v>1419</v>
      </c>
      <c r="P104" s="26">
        <v>18.333092058472481</v>
      </c>
      <c r="Q104" s="26">
        <v>771</v>
      </c>
      <c r="R104" s="26">
        <v>10.802155240229959</v>
      </c>
      <c r="S104" s="26">
        <v>1574</v>
      </c>
      <c r="T104" s="26">
        <v>8.1285907600647658</v>
      </c>
      <c r="U104" s="26">
        <v>1089</v>
      </c>
      <c r="V104" s="26">
        <v>7.1405331440808224</v>
      </c>
      <c r="W104" s="26">
        <v>359</v>
      </c>
      <c r="X104" s="26">
        <v>10.6025869945104</v>
      </c>
      <c r="Y104" s="26">
        <v>1208.877140341948</v>
      </c>
      <c r="Z104" s="26">
        <v>-0.81190492680939419</v>
      </c>
      <c r="AA104" s="26">
        <v>0.1474844401476845</v>
      </c>
      <c r="AB104" s="26">
        <v>-5.5050209092999083</v>
      </c>
      <c r="AC104" s="26">
        <v>3.6912445637774139E-8</v>
      </c>
      <c r="AD104" s="26">
        <v>1.9670566948848132E-5</v>
      </c>
      <c r="AE104" s="26" t="s">
        <v>161</v>
      </c>
      <c r="AF104" s="26" t="s">
        <v>162</v>
      </c>
      <c r="AG104" s="26" t="s">
        <v>163</v>
      </c>
      <c r="AH104" s="26" t="s">
        <v>164</v>
      </c>
      <c r="AI104" s="26" t="s">
        <v>43</v>
      </c>
      <c r="AJ104" s="26" t="s">
        <v>43</v>
      </c>
      <c r="AK104" s="26" t="s">
        <v>43</v>
      </c>
      <c r="AL104" s="26" t="s">
        <v>43</v>
      </c>
      <c r="AM104" s="26" t="s">
        <v>43</v>
      </c>
      <c r="AN104" s="26" t="s">
        <v>165</v>
      </c>
      <c r="AO104" s="26" t="s">
        <v>43</v>
      </c>
    </row>
    <row r="105" spans="1:41" s="26" customFormat="1" x14ac:dyDescent="0.3">
      <c r="A105" s="26" t="s">
        <v>4135</v>
      </c>
      <c r="B105" s="26">
        <v>4432</v>
      </c>
      <c r="C105" s="26" t="str">
        <f t="shared" si="6"/>
        <v>Down</v>
      </c>
      <c r="D105" s="27" t="str">
        <f t="shared" si="7"/>
        <v>Sig</v>
      </c>
      <c r="E105" s="27" t="str">
        <f t="shared" si="8"/>
        <v>Smaller</v>
      </c>
      <c r="F105" s="28" t="str">
        <f t="shared" si="9"/>
        <v>Y</v>
      </c>
      <c r="G105" s="28" t="str">
        <f t="shared" si="10"/>
        <v>Y</v>
      </c>
      <c r="H105" s="28" t="str">
        <f t="shared" si="11"/>
        <v>Expressed</v>
      </c>
      <c r="I105" s="26">
        <v>1721</v>
      </c>
      <c r="J105" s="26">
        <v>8.3429429059356597</v>
      </c>
      <c r="K105" s="26">
        <v>1720</v>
      </c>
      <c r="L105" s="26">
        <v>6.9420296531512742</v>
      </c>
      <c r="M105" s="26">
        <v>3244</v>
      </c>
      <c r="N105" s="26">
        <v>9.4103396520424791</v>
      </c>
      <c r="O105" s="26">
        <v>1648</v>
      </c>
      <c r="P105" s="26">
        <v>8.1861626593360928</v>
      </c>
      <c r="Q105" s="26">
        <v>689</v>
      </c>
      <c r="R105" s="26">
        <v>3.7114626711767942</v>
      </c>
      <c r="S105" s="26">
        <v>2064</v>
      </c>
      <c r="T105" s="26">
        <v>4.0981708781104427</v>
      </c>
      <c r="U105" s="26">
        <v>1976</v>
      </c>
      <c r="V105" s="26">
        <v>4.9814931625839769</v>
      </c>
      <c r="W105" s="26">
        <v>470</v>
      </c>
      <c r="X105" s="26">
        <v>5.3368511811813626</v>
      </c>
      <c r="Y105" s="26">
        <v>1508.5977854860159</v>
      </c>
      <c r="Z105" s="26">
        <v>-0.70780179381724262</v>
      </c>
      <c r="AA105" s="26">
        <v>0.18874808885935229</v>
      </c>
      <c r="AB105" s="26">
        <v>-3.7499812479938202</v>
      </c>
      <c r="AC105" s="26">
        <v>1.7684779461939469E-4</v>
      </c>
      <c r="AD105" s="26">
        <v>3.2984640093583102E-2</v>
      </c>
      <c r="AE105" s="26" t="s">
        <v>4136</v>
      </c>
      <c r="AF105" s="26" t="s">
        <v>4137</v>
      </c>
      <c r="AG105" s="26" t="s">
        <v>4138</v>
      </c>
      <c r="AH105" s="26" t="s">
        <v>4139</v>
      </c>
      <c r="AI105" s="26" t="s">
        <v>43</v>
      </c>
      <c r="AJ105" s="26" t="s">
        <v>43</v>
      </c>
      <c r="AK105" s="26" t="s">
        <v>43</v>
      </c>
      <c r="AL105" s="26" t="s">
        <v>43</v>
      </c>
      <c r="AM105" s="26" t="s">
        <v>43</v>
      </c>
      <c r="AN105" s="26" t="s">
        <v>4140</v>
      </c>
      <c r="AO105" s="26" t="s">
        <v>4141</v>
      </c>
    </row>
    <row r="106" spans="1:41" s="26" customFormat="1" x14ac:dyDescent="0.3">
      <c r="A106" s="26" t="s">
        <v>4142</v>
      </c>
      <c r="B106" s="26">
        <v>548</v>
      </c>
      <c r="C106" s="26" t="str">
        <f t="shared" si="6"/>
        <v>Down</v>
      </c>
      <c r="D106" s="27" t="str">
        <f t="shared" si="7"/>
        <v>Sig</v>
      </c>
      <c r="E106" s="27" t="str">
        <f t="shared" si="8"/>
        <v>Smaller</v>
      </c>
      <c r="F106" s="28" t="str">
        <f t="shared" si="9"/>
        <v>Y</v>
      </c>
      <c r="G106" s="28" t="str">
        <f t="shared" si="10"/>
        <v>Y</v>
      </c>
      <c r="H106" s="28" t="str">
        <f t="shared" si="11"/>
        <v>Expressed</v>
      </c>
      <c r="I106" s="26">
        <v>687</v>
      </c>
      <c r="J106" s="26">
        <v>26.9348357482986</v>
      </c>
      <c r="K106" s="26">
        <v>869</v>
      </c>
      <c r="L106" s="26">
        <v>28.365927412985961</v>
      </c>
      <c r="M106" s="26">
        <v>636</v>
      </c>
      <c r="N106" s="26">
        <v>14.921097295216571</v>
      </c>
      <c r="O106" s="26">
        <v>342</v>
      </c>
      <c r="P106" s="26">
        <v>13.73942196459403</v>
      </c>
      <c r="Q106" s="26">
        <v>147</v>
      </c>
      <c r="R106" s="26">
        <v>6.4041633810832526</v>
      </c>
      <c r="S106" s="26">
        <v>301</v>
      </c>
      <c r="T106" s="26">
        <v>4.833548255873569</v>
      </c>
      <c r="U106" s="26">
        <v>396</v>
      </c>
      <c r="V106" s="26">
        <v>8.0739671383634501</v>
      </c>
      <c r="W106" s="26">
        <v>86</v>
      </c>
      <c r="X106" s="26">
        <v>7.8977772224322056</v>
      </c>
      <c r="Y106" s="26">
        <v>400.59224522115608</v>
      </c>
      <c r="Z106" s="26">
        <v>-1.481270059141363</v>
      </c>
      <c r="AA106" s="26">
        <v>0.29223207573678639</v>
      </c>
      <c r="AB106" s="26">
        <v>-5.0688140766434664</v>
      </c>
      <c r="AC106" s="26">
        <v>4.003020091839801E-7</v>
      </c>
      <c r="AD106" s="26">
        <v>1.7421143439686821E-4</v>
      </c>
      <c r="AE106" s="26" t="s">
        <v>4143</v>
      </c>
      <c r="AF106" s="26" t="s">
        <v>4144</v>
      </c>
      <c r="AG106" s="26" t="s">
        <v>43</v>
      </c>
      <c r="AH106" s="26" t="s">
        <v>4145</v>
      </c>
      <c r="AI106" s="26" t="s">
        <v>43</v>
      </c>
      <c r="AJ106" s="26" t="s">
        <v>43</v>
      </c>
      <c r="AK106" s="26" t="s">
        <v>43</v>
      </c>
      <c r="AL106" s="26" t="s">
        <v>43</v>
      </c>
      <c r="AM106" s="26" t="s">
        <v>43</v>
      </c>
      <c r="AN106" s="26" t="s">
        <v>4146</v>
      </c>
      <c r="AO106" s="26" t="s">
        <v>43</v>
      </c>
    </row>
    <row r="107" spans="1:41" s="26" customFormat="1" x14ac:dyDescent="0.3">
      <c r="A107" s="26" t="s">
        <v>4147</v>
      </c>
      <c r="B107" s="26">
        <v>387</v>
      </c>
      <c r="C107" s="26" t="str">
        <f t="shared" si="6"/>
        <v>Down</v>
      </c>
      <c r="D107" s="27" t="str">
        <f t="shared" si="7"/>
        <v>Sig</v>
      </c>
      <c r="E107" s="27" t="str">
        <f t="shared" si="8"/>
        <v>Smaller</v>
      </c>
      <c r="F107" s="28" t="str">
        <f t="shared" si="9"/>
        <v>Y</v>
      </c>
      <c r="G107" s="28" t="str">
        <f t="shared" si="10"/>
        <v>Y</v>
      </c>
      <c r="H107" s="28" t="str">
        <f t="shared" si="11"/>
        <v>Expressed</v>
      </c>
      <c r="I107" s="26">
        <v>381</v>
      </c>
      <c r="J107" s="26">
        <v>21.152035349046969</v>
      </c>
      <c r="K107" s="26">
        <v>205</v>
      </c>
      <c r="L107" s="26">
        <v>9.4754679130868364</v>
      </c>
      <c r="M107" s="26">
        <v>618</v>
      </c>
      <c r="N107" s="26">
        <v>20.530603474506471</v>
      </c>
      <c r="O107" s="26">
        <v>243</v>
      </c>
      <c r="P107" s="26">
        <v>13.82350655434063</v>
      </c>
      <c r="Q107" s="26">
        <v>84</v>
      </c>
      <c r="R107" s="26">
        <v>5.1819587048115512</v>
      </c>
      <c r="S107" s="26">
        <v>128</v>
      </c>
      <c r="T107" s="26">
        <v>2.9105772220075692</v>
      </c>
      <c r="U107" s="26">
        <v>110</v>
      </c>
      <c r="V107" s="26">
        <v>3.1758067698989172</v>
      </c>
      <c r="W107" s="26">
        <v>46</v>
      </c>
      <c r="X107" s="26">
        <v>5.9818270603650934</v>
      </c>
      <c r="Y107" s="26">
        <v>204.42596220447061</v>
      </c>
      <c r="Z107" s="26">
        <v>-1.8114227066680959</v>
      </c>
      <c r="AA107" s="26">
        <v>0.27376945099746902</v>
      </c>
      <c r="AB107" s="26">
        <v>-6.6165991131159592</v>
      </c>
      <c r="AC107" s="26">
        <v>3.675564742634165E-11</v>
      </c>
      <c r="AD107" s="26">
        <v>2.7421813302760941E-8</v>
      </c>
    </row>
    <row r="108" spans="1:41" s="26" customFormat="1" x14ac:dyDescent="0.3">
      <c r="A108" s="26" t="s">
        <v>280</v>
      </c>
      <c r="B108" s="26">
        <v>2739</v>
      </c>
      <c r="C108" s="26" t="str">
        <f t="shared" si="6"/>
        <v>Down</v>
      </c>
      <c r="D108" s="27" t="str">
        <f t="shared" si="7"/>
        <v>Sig</v>
      </c>
      <c r="E108" s="27" t="str">
        <f t="shared" si="8"/>
        <v>Smaller</v>
      </c>
      <c r="F108" s="28" t="str">
        <f t="shared" si="9"/>
        <v>Y</v>
      </c>
      <c r="G108" s="28" t="str">
        <f t="shared" si="10"/>
        <v>N</v>
      </c>
      <c r="H108" s="28" t="str">
        <f t="shared" si="11"/>
        <v>Expressed</v>
      </c>
      <c r="I108" s="26">
        <v>2326</v>
      </c>
      <c r="J108" s="26">
        <v>18.245502596277561</v>
      </c>
      <c r="K108" s="26">
        <v>2127</v>
      </c>
      <c r="L108" s="26">
        <v>13.890990903195069</v>
      </c>
      <c r="M108" s="26">
        <v>2303</v>
      </c>
      <c r="N108" s="26">
        <v>10.810010375891389</v>
      </c>
      <c r="O108" s="26">
        <v>1538</v>
      </c>
      <c r="P108" s="26">
        <v>12.36195668147016</v>
      </c>
      <c r="Q108" s="26">
        <v>685</v>
      </c>
      <c r="R108" s="26">
        <v>5.9706850903702184</v>
      </c>
      <c r="S108" s="26">
        <v>485</v>
      </c>
      <c r="T108" s="26">
        <v>1.558223780590289</v>
      </c>
      <c r="U108" s="26">
        <v>516</v>
      </c>
      <c r="V108" s="26">
        <v>2.1048929785079311</v>
      </c>
      <c r="W108" s="26">
        <v>329</v>
      </c>
      <c r="X108" s="26">
        <v>6.0449240980274039</v>
      </c>
      <c r="Y108" s="26">
        <v>1251.369383369389</v>
      </c>
      <c r="Z108" s="26">
        <v>-1.7589047480986819</v>
      </c>
      <c r="AA108" s="26">
        <v>0.33759876616988788</v>
      </c>
      <c r="AB108" s="26">
        <v>-5.2100449538182199</v>
      </c>
      <c r="AC108" s="26">
        <v>1.8879488163131579E-7</v>
      </c>
      <c r="AD108" s="26">
        <v>8.8032356234944944E-5</v>
      </c>
      <c r="AE108" s="26" t="s">
        <v>281</v>
      </c>
      <c r="AF108" s="26" t="s">
        <v>282</v>
      </c>
      <c r="AG108" s="26" t="s">
        <v>283</v>
      </c>
      <c r="AH108" s="26" t="s">
        <v>284</v>
      </c>
      <c r="AI108" s="26" t="s">
        <v>43</v>
      </c>
      <c r="AJ108" s="26" t="s">
        <v>43</v>
      </c>
      <c r="AK108" s="26" t="s">
        <v>43</v>
      </c>
      <c r="AL108" s="26" t="s">
        <v>43</v>
      </c>
      <c r="AM108" s="26" t="s">
        <v>43</v>
      </c>
      <c r="AN108" s="26" t="s">
        <v>285</v>
      </c>
      <c r="AO108" s="26" t="s">
        <v>43</v>
      </c>
    </row>
    <row r="109" spans="1:41" s="26" customFormat="1" x14ac:dyDescent="0.3">
      <c r="A109" s="26" t="s">
        <v>286</v>
      </c>
      <c r="B109" s="26">
        <v>1849</v>
      </c>
      <c r="C109" s="26" t="str">
        <f t="shared" si="6"/>
        <v>Down</v>
      </c>
      <c r="D109" s="27" t="str">
        <f t="shared" si="7"/>
        <v>Sig</v>
      </c>
      <c r="E109" s="27" t="str">
        <f t="shared" si="8"/>
        <v>Smaller</v>
      </c>
      <c r="F109" s="28" t="str">
        <f t="shared" si="9"/>
        <v>Y</v>
      </c>
      <c r="G109" s="28" t="str">
        <f t="shared" si="10"/>
        <v>N</v>
      </c>
      <c r="H109" s="28" t="str">
        <f t="shared" si="11"/>
        <v>Expressed</v>
      </c>
      <c r="I109" s="26">
        <v>1294</v>
      </c>
      <c r="J109" s="26">
        <v>15.03611082677172</v>
      </c>
      <c r="K109" s="26">
        <v>1540</v>
      </c>
      <c r="L109" s="26">
        <v>14.898466849164331</v>
      </c>
      <c r="M109" s="26">
        <v>2114</v>
      </c>
      <c r="N109" s="26">
        <v>14.69915186671032</v>
      </c>
      <c r="O109" s="26">
        <v>1157</v>
      </c>
      <c r="P109" s="26">
        <v>13.775880347435059</v>
      </c>
      <c r="Q109" s="26">
        <v>555</v>
      </c>
      <c r="R109" s="26">
        <v>7.1660807670359077</v>
      </c>
      <c r="S109" s="26">
        <v>207</v>
      </c>
      <c r="T109" s="26">
        <v>0.98517539327763448</v>
      </c>
      <c r="U109" s="26">
        <v>308</v>
      </c>
      <c r="V109" s="26">
        <v>1.861170479103551</v>
      </c>
      <c r="W109" s="26">
        <v>252</v>
      </c>
      <c r="X109" s="26">
        <v>6.8588391167381353</v>
      </c>
      <c r="Y109" s="26">
        <v>900.21086958179785</v>
      </c>
      <c r="Z109" s="26">
        <v>-1.774010693303564</v>
      </c>
      <c r="AA109" s="26">
        <v>0.43393013901985628</v>
      </c>
      <c r="AB109" s="26">
        <v>-4.0882403266816789</v>
      </c>
      <c r="AC109" s="26">
        <v>4.3465773145343433E-5</v>
      </c>
      <c r="AD109" s="26">
        <v>1.0707342154445351E-2</v>
      </c>
      <c r="AE109" s="26" t="s">
        <v>287</v>
      </c>
      <c r="AF109" s="26" t="s">
        <v>288</v>
      </c>
      <c r="AG109" s="26" t="s">
        <v>289</v>
      </c>
      <c r="AH109" s="26" t="s">
        <v>290</v>
      </c>
      <c r="AI109" s="26" t="s">
        <v>43</v>
      </c>
      <c r="AJ109" s="26" t="s">
        <v>43</v>
      </c>
      <c r="AK109" s="26" t="s">
        <v>43</v>
      </c>
      <c r="AL109" s="26" t="s">
        <v>43</v>
      </c>
      <c r="AM109" s="26" t="s">
        <v>43</v>
      </c>
      <c r="AN109" s="26" t="s">
        <v>291</v>
      </c>
      <c r="AO109" s="26" t="s">
        <v>43</v>
      </c>
    </row>
    <row r="110" spans="1:41" s="26" customFormat="1" x14ac:dyDescent="0.3">
      <c r="A110" s="26" t="s">
        <v>4148</v>
      </c>
      <c r="B110" s="26">
        <v>3923</v>
      </c>
      <c r="C110" s="26" t="str">
        <f t="shared" si="6"/>
        <v>Down</v>
      </c>
      <c r="D110" s="27" t="str">
        <f t="shared" si="7"/>
        <v>Sig</v>
      </c>
      <c r="E110" s="27" t="str">
        <f t="shared" si="8"/>
        <v>Smaller</v>
      </c>
      <c r="F110" s="28" t="str">
        <f t="shared" si="9"/>
        <v>Y</v>
      </c>
      <c r="G110" s="28" t="str">
        <f t="shared" si="10"/>
        <v>N</v>
      </c>
      <c r="H110" s="28" t="str">
        <f t="shared" si="11"/>
        <v>Expressed</v>
      </c>
      <c r="I110" s="26">
        <v>768</v>
      </c>
      <c r="J110" s="26">
        <v>4.2061142466912909</v>
      </c>
      <c r="K110" s="26">
        <v>663</v>
      </c>
      <c r="L110" s="26">
        <v>3.0231033151678761</v>
      </c>
      <c r="M110" s="26">
        <v>957</v>
      </c>
      <c r="N110" s="26">
        <v>3.1363017092851062</v>
      </c>
      <c r="O110" s="26">
        <v>396</v>
      </c>
      <c r="P110" s="26">
        <v>2.2222851899747189</v>
      </c>
      <c r="Q110" s="26">
        <v>222</v>
      </c>
      <c r="R110" s="26">
        <v>1.3510153798877791</v>
      </c>
      <c r="S110" s="26">
        <v>535</v>
      </c>
      <c r="T110" s="26">
        <v>1.2000949148661679</v>
      </c>
      <c r="U110" s="26">
        <v>435</v>
      </c>
      <c r="V110" s="26">
        <v>1.238920099827667</v>
      </c>
      <c r="W110" s="26">
        <v>173</v>
      </c>
      <c r="X110" s="26">
        <v>2.2192937055630861</v>
      </c>
      <c r="Y110" s="26">
        <v>476.81014210392101</v>
      </c>
      <c r="Z110" s="26">
        <v>-0.94716684882175306</v>
      </c>
      <c r="AA110" s="26">
        <v>0.2035605661606574</v>
      </c>
      <c r="AB110" s="26">
        <v>-4.6529977130944644</v>
      </c>
      <c r="AC110" s="26">
        <v>3.2714387761441309E-6</v>
      </c>
      <c r="AD110" s="26">
        <v>1.1554723521566791E-3</v>
      </c>
    </row>
    <row r="111" spans="1:41" s="26" customFormat="1" x14ac:dyDescent="0.3">
      <c r="A111" s="26" t="s">
        <v>4149</v>
      </c>
      <c r="B111" s="26">
        <v>429</v>
      </c>
      <c r="C111" s="26" t="str">
        <f t="shared" si="6"/>
        <v>Down</v>
      </c>
      <c r="D111" s="27" t="str">
        <f t="shared" si="7"/>
        <v>Sig</v>
      </c>
      <c r="E111" s="27" t="str">
        <f t="shared" si="8"/>
        <v>Smaller</v>
      </c>
      <c r="F111" s="28" t="str">
        <f t="shared" si="9"/>
        <v>Y</v>
      </c>
      <c r="G111" s="28" t="str">
        <f t="shared" si="10"/>
        <v>Y</v>
      </c>
      <c r="H111" s="28" t="str">
        <f t="shared" si="11"/>
        <v>Expressed</v>
      </c>
      <c r="I111" s="26">
        <v>209</v>
      </c>
      <c r="J111" s="26">
        <v>10.46711864335032</v>
      </c>
      <c r="K111" s="26">
        <v>1070</v>
      </c>
      <c r="L111" s="26">
        <v>44.615344910229439</v>
      </c>
      <c r="M111" s="26">
        <v>157</v>
      </c>
      <c r="N111" s="26">
        <v>4.7050751597662144</v>
      </c>
      <c r="O111" s="26">
        <v>104</v>
      </c>
      <c r="P111" s="26">
        <v>5.3370216102055847</v>
      </c>
      <c r="Q111" s="26">
        <v>744</v>
      </c>
      <c r="R111" s="26">
        <v>41.403901819263517</v>
      </c>
      <c r="S111" s="26">
        <v>145</v>
      </c>
      <c r="T111" s="26">
        <v>2.9743415066461738</v>
      </c>
      <c r="U111" s="26">
        <v>111</v>
      </c>
      <c r="V111" s="26">
        <v>2.8909330666358919</v>
      </c>
      <c r="W111" s="26">
        <v>81</v>
      </c>
      <c r="X111" s="26">
        <v>9.5019931519846246</v>
      </c>
      <c r="Y111" s="26">
        <v>350.32933269548607</v>
      </c>
      <c r="Z111" s="26">
        <v>-0.2219088912440762</v>
      </c>
      <c r="AA111" s="26">
        <v>1.090177581083263</v>
      </c>
      <c r="AB111" s="26">
        <v>-0.20355297622574009</v>
      </c>
    </row>
    <row r="112" spans="1:41" s="26" customFormat="1" x14ac:dyDescent="0.3">
      <c r="A112" s="26" t="s">
        <v>4150</v>
      </c>
      <c r="B112" s="26">
        <v>432</v>
      </c>
      <c r="C112" s="26" t="str">
        <f t="shared" si="6"/>
        <v>Down</v>
      </c>
      <c r="D112" s="27" t="str">
        <f t="shared" si="7"/>
        <v>Sig</v>
      </c>
      <c r="E112" s="27" t="str">
        <f t="shared" si="8"/>
        <v>Smaller</v>
      </c>
      <c r="F112" s="28" t="str">
        <f t="shared" si="9"/>
        <v>Y</v>
      </c>
      <c r="G112" s="28" t="str">
        <f t="shared" si="10"/>
        <v>N</v>
      </c>
      <c r="H112" s="28" t="str">
        <f t="shared" si="11"/>
        <v>Expressed</v>
      </c>
      <c r="I112" s="26">
        <v>314</v>
      </c>
      <c r="J112" s="26">
        <v>15.616512537337719</v>
      </c>
      <c r="K112" s="26">
        <v>393</v>
      </c>
      <c r="L112" s="26">
        <v>16.272960595859189</v>
      </c>
      <c r="M112" s="26">
        <v>134</v>
      </c>
      <c r="N112" s="26">
        <v>3.98790915655698</v>
      </c>
      <c r="O112" s="26">
        <v>202</v>
      </c>
      <c r="P112" s="26">
        <v>10.294151057184729</v>
      </c>
      <c r="Q112" s="26">
        <v>78</v>
      </c>
      <c r="R112" s="26">
        <v>4.3105876726036563</v>
      </c>
      <c r="S112" s="26">
        <v>85</v>
      </c>
      <c r="T112" s="26">
        <v>1.7314713128967549</v>
      </c>
      <c r="U112" s="26">
        <v>70</v>
      </c>
      <c r="V112" s="26">
        <v>1.810450450264345</v>
      </c>
      <c r="W112" s="26">
        <v>46</v>
      </c>
      <c r="X112" s="26">
        <v>5.358720074910396</v>
      </c>
      <c r="Y112" s="26">
        <v>166.48534173728669</v>
      </c>
      <c r="Z112" s="26">
        <v>-1.764518721025619</v>
      </c>
      <c r="AA112" s="26">
        <v>0.4380754078367094</v>
      </c>
      <c r="AB112" s="26">
        <v>-4.0278880974832871</v>
      </c>
      <c r="AC112" s="26">
        <v>5.6280117528704633E-5</v>
      </c>
      <c r="AD112" s="26">
        <v>1.3121307400977991E-2</v>
      </c>
    </row>
    <row r="113" spans="1:41" s="26" customFormat="1" x14ac:dyDescent="0.3">
      <c r="A113" s="26" t="s">
        <v>4151</v>
      </c>
      <c r="B113" s="26">
        <v>3720</v>
      </c>
      <c r="C113" s="26" t="str">
        <f t="shared" si="6"/>
        <v>Down</v>
      </c>
      <c r="D113" s="27" t="str">
        <f t="shared" si="7"/>
        <v>Sig</v>
      </c>
      <c r="E113" s="27" t="str">
        <f t="shared" si="8"/>
        <v>Smaller</v>
      </c>
      <c r="F113" s="28" t="str">
        <f t="shared" si="9"/>
        <v>Y</v>
      </c>
      <c r="G113" s="28" t="str">
        <f t="shared" si="10"/>
        <v>Y</v>
      </c>
      <c r="H113" s="28" t="str">
        <f t="shared" si="11"/>
        <v>Expressed</v>
      </c>
      <c r="I113" s="26">
        <v>3179</v>
      </c>
      <c r="J113" s="26">
        <v>18.36055229939468</v>
      </c>
      <c r="K113" s="26">
        <v>5106</v>
      </c>
      <c r="L113" s="26">
        <v>24.55249548459701</v>
      </c>
      <c r="M113" s="26">
        <v>6526</v>
      </c>
      <c r="N113" s="26">
        <v>22.55424712577927</v>
      </c>
      <c r="O113" s="26">
        <v>2713</v>
      </c>
      <c r="P113" s="26">
        <v>16.05571934610537</v>
      </c>
      <c r="Q113" s="26">
        <v>1315</v>
      </c>
      <c r="R113" s="26">
        <v>8.4393391406557932</v>
      </c>
      <c r="S113" s="26">
        <v>2010</v>
      </c>
      <c r="T113" s="26">
        <v>4.7548107856246373</v>
      </c>
      <c r="U113" s="26">
        <v>2333</v>
      </c>
      <c r="V113" s="26">
        <v>7.0071941205899444</v>
      </c>
      <c r="W113" s="26">
        <v>217</v>
      </c>
      <c r="X113" s="26">
        <v>2.935646649733521</v>
      </c>
      <c r="Y113" s="26">
        <v>2591.8091010986041</v>
      </c>
      <c r="Z113" s="26">
        <v>-1.654391001923387</v>
      </c>
      <c r="AA113" s="26">
        <v>0.33460050162174171</v>
      </c>
      <c r="AB113" s="26">
        <v>-4.944376932804599</v>
      </c>
      <c r="AC113" s="26">
        <v>7.6387778730206466E-7</v>
      </c>
      <c r="AD113" s="26">
        <v>3.1660915527034148E-4</v>
      </c>
      <c r="AE113" s="26" t="s">
        <v>4152</v>
      </c>
      <c r="AF113" s="26" t="s">
        <v>4153</v>
      </c>
      <c r="AG113" s="26" t="s">
        <v>4154</v>
      </c>
      <c r="AH113" s="26" t="s">
        <v>4155</v>
      </c>
      <c r="AI113" s="26" t="s">
        <v>43</v>
      </c>
      <c r="AJ113" s="26" t="s">
        <v>43</v>
      </c>
      <c r="AK113" s="26" t="s">
        <v>43</v>
      </c>
      <c r="AL113" s="26" t="s">
        <v>43</v>
      </c>
      <c r="AM113" s="26" t="s">
        <v>43</v>
      </c>
      <c r="AN113" s="26" t="s">
        <v>345</v>
      </c>
      <c r="AO113" s="26" t="s">
        <v>43</v>
      </c>
    </row>
    <row r="114" spans="1:41" s="26" customFormat="1" x14ac:dyDescent="0.3">
      <c r="A114" s="26" t="s">
        <v>4156</v>
      </c>
      <c r="B114" s="26">
        <v>1002</v>
      </c>
      <c r="C114" s="26" t="str">
        <f t="shared" si="6"/>
        <v>Down</v>
      </c>
      <c r="D114" s="27" t="str">
        <f t="shared" si="7"/>
        <v>Sig</v>
      </c>
      <c r="E114" s="27" t="str">
        <f t="shared" si="8"/>
        <v>Smaller</v>
      </c>
      <c r="F114" s="28" t="str">
        <f t="shared" si="9"/>
        <v>Y</v>
      </c>
      <c r="G114" s="28" t="str">
        <f t="shared" si="10"/>
        <v>Y</v>
      </c>
      <c r="H114" s="28" t="str">
        <f t="shared" si="11"/>
        <v>Expressed</v>
      </c>
      <c r="I114" s="26">
        <v>27588</v>
      </c>
      <c r="J114" s="26">
        <v>591.54889674215747</v>
      </c>
      <c r="K114" s="26">
        <v>25964</v>
      </c>
      <c r="L114" s="26">
        <v>463.51271078581681</v>
      </c>
      <c r="M114" s="26">
        <v>40011</v>
      </c>
      <c r="N114" s="26">
        <v>513.37638729717116</v>
      </c>
      <c r="O114" s="26">
        <v>17068</v>
      </c>
      <c r="P114" s="26">
        <v>375.00566365002919</v>
      </c>
      <c r="Q114" s="26">
        <v>14385</v>
      </c>
      <c r="R114" s="26">
        <v>342.74235101098259</v>
      </c>
      <c r="S114" s="26">
        <v>22399</v>
      </c>
      <c r="T114" s="26">
        <v>196.7166091937554</v>
      </c>
      <c r="U114" s="26">
        <v>15653</v>
      </c>
      <c r="V114" s="26">
        <v>174.5429105778546</v>
      </c>
      <c r="W114" s="26">
        <v>6141</v>
      </c>
      <c r="X114" s="26">
        <v>308.43124167687859</v>
      </c>
      <c r="Y114" s="26">
        <v>19514.226372687761</v>
      </c>
      <c r="Z114" s="26">
        <v>-0.80644139683257055</v>
      </c>
      <c r="AA114" s="26">
        <v>0.19080028157513149</v>
      </c>
      <c r="AB114" s="26">
        <v>-4.2266258213828563</v>
      </c>
      <c r="AC114" s="26">
        <v>2.3722165093823961E-5</v>
      </c>
      <c r="AD114" s="26">
        <v>6.3859090198961988E-3</v>
      </c>
      <c r="AE114" s="26" t="s">
        <v>4157</v>
      </c>
      <c r="AF114" s="26" t="s">
        <v>4158</v>
      </c>
      <c r="AG114" s="26" t="s">
        <v>4159</v>
      </c>
      <c r="AH114" s="26" t="s">
        <v>4160</v>
      </c>
      <c r="AI114" s="26" t="s">
        <v>43</v>
      </c>
      <c r="AJ114" s="26" t="s">
        <v>43</v>
      </c>
      <c r="AK114" s="26" t="s">
        <v>43</v>
      </c>
      <c r="AL114" s="26" t="s">
        <v>43</v>
      </c>
      <c r="AM114" s="26" t="s">
        <v>43</v>
      </c>
      <c r="AN114" s="26" t="s">
        <v>4161</v>
      </c>
      <c r="AO114" s="26" t="s">
        <v>43</v>
      </c>
    </row>
    <row r="115" spans="1:41" s="26" customFormat="1" x14ac:dyDescent="0.3">
      <c r="A115" s="26" t="s">
        <v>4162</v>
      </c>
      <c r="B115" s="26">
        <v>4279</v>
      </c>
      <c r="C115" s="26" t="str">
        <f t="shared" si="6"/>
        <v>Down</v>
      </c>
      <c r="D115" s="27" t="str">
        <f t="shared" si="7"/>
        <v>Sig</v>
      </c>
      <c r="E115" s="27" t="str">
        <f t="shared" si="8"/>
        <v>Smaller</v>
      </c>
      <c r="F115" s="28" t="str">
        <f t="shared" si="9"/>
        <v>Y</v>
      </c>
      <c r="G115" s="28" t="str">
        <f t="shared" si="10"/>
        <v>Y</v>
      </c>
      <c r="H115" s="28" t="str">
        <f t="shared" si="11"/>
        <v>Expressed</v>
      </c>
      <c r="I115" s="26">
        <v>7259</v>
      </c>
      <c r="J115" s="26">
        <v>36.447912756929412</v>
      </c>
      <c r="K115" s="26">
        <v>9096</v>
      </c>
      <c r="L115" s="26">
        <v>38.024712093877021</v>
      </c>
      <c r="M115" s="26">
        <v>13136</v>
      </c>
      <c r="N115" s="26">
        <v>39.467994443516297</v>
      </c>
      <c r="O115" s="26">
        <v>6415</v>
      </c>
      <c r="P115" s="26">
        <v>33.004813910156322</v>
      </c>
      <c r="Q115" s="26">
        <v>2691</v>
      </c>
      <c r="R115" s="26">
        <v>15.014021657509909</v>
      </c>
      <c r="S115" s="26">
        <v>3931</v>
      </c>
      <c r="T115" s="26">
        <v>8.0842712887584138</v>
      </c>
      <c r="U115" s="26">
        <v>3310</v>
      </c>
      <c r="V115" s="26">
        <v>8.6428715248622563</v>
      </c>
      <c r="W115" s="26">
        <v>1630</v>
      </c>
      <c r="X115" s="26">
        <v>19.170449861044862</v>
      </c>
      <c r="Y115" s="26">
        <v>5540.8555237938381</v>
      </c>
      <c r="Z115" s="26">
        <v>-1.451152055617642</v>
      </c>
      <c r="AA115" s="26">
        <v>0.21412601415983509</v>
      </c>
      <c r="AB115" s="26">
        <v>-6.7770936722075481</v>
      </c>
      <c r="AC115" s="26">
        <v>1.226173937722636E-11</v>
      </c>
      <c r="AD115" s="26">
        <v>9.7023799581252919E-9</v>
      </c>
      <c r="AE115" s="26" t="s">
        <v>4163</v>
      </c>
      <c r="AF115" s="26" t="s">
        <v>4164</v>
      </c>
      <c r="AG115" s="26" t="s">
        <v>4165</v>
      </c>
      <c r="AH115" s="26" t="s">
        <v>4166</v>
      </c>
      <c r="AI115" s="26" t="s">
        <v>43</v>
      </c>
      <c r="AJ115" s="26" t="s">
        <v>43</v>
      </c>
      <c r="AK115" s="26" t="s">
        <v>43</v>
      </c>
      <c r="AL115" s="26" t="s">
        <v>43</v>
      </c>
      <c r="AM115" s="26" t="s">
        <v>43</v>
      </c>
      <c r="AN115" s="26" t="s">
        <v>4167</v>
      </c>
      <c r="AO115" s="26" t="s">
        <v>43</v>
      </c>
    </row>
    <row r="116" spans="1:41" s="26" customFormat="1" x14ac:dyDescent="0.3">
      <c r="A116" s="26" t="s">
        <v>4168</v>
      </c>
      <c r="B116" s="26">
        <v>1558</v>
      </c>
      <c r="C116" s="26" t="str">
        <f t="shared" si="6"/>
        <v>Down</v>
      </c>
      <c r="D116" s="27" t="str">
        <f t="shared" si="7"/>
        <v>Sig</v>
      </c>
      <c r="E116" s="27" t="str">
        <f t="shared" si="8"/>
        <v>Smaller</v>
      </c>
      <c r="F116" s="28" t="str">
        <f t="shared" si="9"/>
        <v>Y</v>
      </c>
      <c r="G116" s="28" t="str">
        <f t="shared" si="10"/>
        <v>N</v>
      </c>
      <c r="H116" s="28" t="str">
        <f t="shared" si="11"/>
        <v>Expressed</v>
      </c>
      <c r="I116" s="26">
        <v>543</v>
      </c>
      <c r="J116" s="26">
        <v>7.4880809239318182</v>
      </c>
      <c r="K116" s="26">
        <v>550</v>
      </c>
      <c r="L116" s="26">
        <v>6.3147041087715117</v>
      </c>
      <c r="M116" s="26">
        <v>827</v>
      </c>
      <c r="N116" s="26">
        <v>6.8243652257399123</v>
      </c>
      <c r="O116" s="26">
        <v>331</v>
      </c>
      <c r="P116" s="26">
        <v>4.6771732227435496</v>
      </c>
      <c r="Q116" s="26">
        <v>147</v>
      </c>
      <c r="R116" s="26">
        <v>2.252555540971517</v>
      </c>
      <c r="S116" s="26">
        <v>174</v>
      </c>
      <c r="T116" s="26">
        <v>0.98279268781864604</v>
      </c>
      <c r="U116" s="26">
        <v>202</v>
      </c>
      <c r="V116" s="26">
        <v>1.448625968199778</v>
      </c>
      <c r="W116" s="26">
        <v>87</v>
      </c>
      <c r="X116" s="26">
        <v>2.810210069981474</v>
      </c>
      <c r="Y116" s="26">
        <v>331.22604160614247</v>
      </c>
      <c r="Z116" s="26">
        <v>-1.687609341430421</v>
      </c>
      <c r="AA116" s="26">
        <v>0.25199673716058579</v>
      </c>
      <c r="AB116" s="26">
        <v>-6.6969491765878919</v>
      </c>
      <c r="AC116" s="26">
        <v>2.1281559327764409E-11</v>
      </c>
      <c r="AD116" s="26">
        <v>1.6344237563723071E-8</v>
      </c>
      <c r="AE116" s="26" t="s">
        <v>4169</v>
      </c>
      <c r="AF116" s="26" t="s">
        <v>4170</v>
      </c>
      <c r="AG116" s="26" t="s">
        <v>4171</v>
      </c>
      <c r="AH116" s="26" t="s">
        <v>314</v>
      </c>
      <c r="AI116" s="26" t="s">
        <v>43</v>
      </c>
      <c r="AJ116" s="26" t="s">
        <v>43</v>
      </c>
      <c r="AK116" s="26" t="s">
        <v>43</v>
      </c>
      <c r="AL116" s="26" t="s">
        <v>43</v>
      </c>
      <c r="AM116" s="26" t="s">
        <v>43</v>
      </c>
      <c r="AN116" s="26" t="s">
        <v>315</v>
      </c>
      <c r="AO116" s="26" t="s">
        <v>43</v>
      </c>
    </row>
    <row r="117" spans="1:41" s="26" customFormat="1" x14ac:dyDescent="0.3">
      <c r="A117" s="26" t="s">
        <v>556</v>
      </c>
      <c r="B117" s="26">
        <v>3079</v>
      </c>
      <c r="C117" s="26" t="str">
        <f t="shared" si="6"/>
        <v>Down</v>
      </c>
      <c r="D117" s="27" t="str">
        <f t="shared" si="7"/>
        <v>Sig</v>
      </c>
      <c r="E117" s="27" t="str">
        <f t="shared" si="8"/>
        <v>Smaller</v>
      </c>
      <c r="F117" s="28" t="str">
        <f t="shared" si="9"/>
        <v>Y</v>
      </c>
      <c r="G117" s="28" t="str">
        <f t="shared" si="10"/>
        <v>Y</v>
      </c>
      <c r="H117" s="28" t="str">
        <f t="shared" si="11"/>
        <v>Expressed</v>
      </c>
      <c r="I117" s="26">
        <v>3111</v>
      </c>
      <c r="J117" s="26">
        <v>21.708432981984078</v>
      </c>
      <c r="K117" s="26">
        <v>2713</v>
      </c>
      <c r="L117" s="26">
        <v>15.761511896411051</v>
      </c>
      <c r="M117" s="26">
        <v>3687</v>
      </c>
      <c r="N117" s="26">
        <v>15.39528219090675</v>
      </c>
      <c r="O117" s="26">
        <v>1807</v>
      </c>
      <c r="P117" s="26">
        <v>12.920263707298201</v>
      </c>
      <c r="Q117" s="26">
        <v>779</v>
      </c>
      <c r="R117" s="26">
        <v>6.0402288800308259</v>
      </c>
      <c r="S117" s="26">
        <v>1128</v>
      </c>
      <c r="T117" s="26">
        <v>3.223884931659772</v>
      </c>
      <c r="U117" s="26">
        <v>1190</v>
      </c>
      <c r="V117" s="26">
        <v>4.3182683035860174</v>
      </c>
      <c r="W117" s="26">
        <v>265</v>
      </c>
      <c r="X117" s="26">
        <v>4.3313489287582234</v>
      </c>
      <c r="Y117" s="26">
        <v>1675.5647127372381</v>
      </c>
      <c r="Z117" s="26">
        <v>-1.7262423874364241</v>
      </c>
      <c r="AA117" s="26">
        <v>0.1979546729930346</v>
      </c>
      <c r="AB117" s="26">
        <v>-8.7203922056296435</v>
      </c>
      <c r="AC117" s="26">
        <v>2.7723977330223062E-18</v>
      </c>
      <c r="AD117" s="26">
        <v>3.6196424802339226E-15</v>
      </c>
      <c r="AE117" s="26" t="s">
        <v>557</v>
      </c>
      <c r="AF117" s="26" t="s">
        <v>558</v>
      </c>
      <c r="AG117" s="26" t="s">
        <v>559</v>
      </c>
      <c r="AH117" s="26" t="s">
        <v>560</v>
      </c>
      <c r="AI117" s="26" t="s">
        <v>43</v>
      </c>
      <c r="AJ117" s="26" t="s">
        <v>43</v>
      </c>
      <c r="AK117" s="26" t="s">
        <v>43</v>
      </c>
      <c r="AL117" s="26" t="s">
        <v>43</v>
      </c>
      <c r="AM117" s="26" t="s">
        <v>43</v>
      </c>
      <c r="AN117" s="26" t="s">
        <v>561</v>
      </c>
      <c r="AO117" s="26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97318-440A-46B2-BCA5-722D4AD80EA2}">
  <dimension ref="A1:AO163"/>
  <sheetViews>
    <sheetView tabSelected="1" workbookViewId="0">
      <selection activeCell="J21" sqref="J21"/>
    </sheetView>
  </sheetViews>
  <sheetFormatPr defaultRowHeight="14.4" x14ac:dyDescent="0.3"/>
  <cols>
    <col min="5" max="5" width="17.88671875" bestFit="1" customWidth="1"/>
    <col min="6" max="6" width="15.109375" bestFit="1" customWidth="1"/>
    <col min="7" max="7" width="23.5546875" customWidth="1"/>
    <col min="8" max="8" width="20.5546875" bestFit="1" customWidth="1"/>
    <col min="9" max="16" width="28.88671875" customWidth="1"/>
    <col min="17" max="24" width="27.44140625" customWidth="1"/>
    <col min="31" max="31" width="21.77734375" bestFit="1" customWidth="1"/>
    <col min="32" max="32" width="15.5546875" bestFit="1" customWidth="1"/>
    <col min="33" max="33" width="39.77734375" customWidth="1"/>
    <col min="40" max="40" width="255.77734375" bestFit="1" customWidth="1"/>
  </cols>
  <sheetData>
    <row r="1" spans="1:41" s="2" customFormat="1" x14ac:dyDescent="0.3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3795</v>
      </c>
      <c r="H1" s="4" t="s">
        <v>6</v>
      </c>
      <c r="I1" s="5" t="s">
        <v>4172</v>
      </c>
      <c r="J1" s="33" t="s">
        <v>4173</v>
      </c>
      <c r="K1" s="5" t="s">
        <v>4174</v>
      </c>
      <c r="L1" s="33" t="s">
        <v>4175</v>
      </c>
      <c r="M1" s="5" t="s">
        <v>4176</v>
      </c>
      <c r="N1" s="33" t="s">
        <v>4177</v>
      </c>
      <c r="O1" s="5" t="s">
        <v>4178</v>
      </c>
      <c r="P1" s="33" t="s">
        <v>4179</v>
      </c>
      <c r="Q1" s="6" t="s">
        <v>4180</v>
      </c>
      <c r="R1" s="33" t="s">
        <v>4181</v>
      </c>
      <c r="S1" s="6" t="s">
        <v>4182</v>
      </c>
      <c r="T1" s="33" t="s">
        <v>4183</v>
      </c>
      <c r="U1" s="6" t="s">
        <v>4184</v>
      </c>
      <c r="V1" s="33" t="s">
        <v>4185</v>
      </c>
      <c r="W1" s="6" t="s">
        <v>4186</v>
      </c>
      <c r="X1" s="33" t="s">
        <v>4187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</row>
    <row r="2" spans="1:41" s="10" customFormat="1" x14ac:dyDescent="0.3">
      <c r="A2" s="10" t="s">
        <v>2335</v>
      </c>
      <c r="B2" s="10">
        <v>932</v>
      </c>
      <c r="C2" s="10" t="str">
        <f>IF(Z2&lt;0, "Down", "Up")</f>
        <v>Down</v>
      </c>
      <c r="D2" s="11" t="str">
        <f>IF(AD2&lt;0.05, "Sig", "N")</f>
        <v>Sig</v>
      </c>
      <c r="E2" s="12" t="str">
        <f>IF(AND(J2&gt;2,L2&gt;2,N2&gt;2,P2&gt;2),"Y","N")</f>
        <v>Y</v>
      </c>
      <c r="F2" s="12" t="str">
        <f>IF(AND(R2&gt;2,T2&gt;2,V2&gt;2,X2&gt;2),"Y","N")</f>
        <v>Y</v>
      </c>
      <c r="G2" s="11" t="str">
        <f>IF(AVERAGE(J2,L2,N2,P2) &gt; AVERAGE(R2,T2,V2,X2), "Smaller", IF(AVERAGE(J2,L2,N2,P2) &lt; AVERAGE(R2,T2,V2,X2), "Larger", "Equal"))</f>
        <v>Smaller</v>
      </c>
      <c r="H2" s="12" t="str">
        <f>IF(OR(E2="Y", F2="Y"), "Expressed", "N")</f>
        <v>Expressed</v>
      </c>
      <c r="I2" s="10">
        <v>750</v>
      </c>
      <c r="J2" s="10">
        <v>14.840742360065221</v>
      </c>
      <c r="K2" s="10">
        <v>1431</v>
      </c>
      <c r="L2" s="10">
        <v>15.86966751593066</v>
      </c>
      <c r="M2" s="10">
        <v>489</v>
      </c>
      <c r="N2" s="10">
        <v>4.9391318768394283</v>
      </c>
      <c r="O2" s="10">
        <v>324</v>
      </c>
      <c r="P2" s="10">
        <v>9.1754233261265199</v>
      </c>
      <c r="Q2" s="10">
        <v>227</v>
      </c>
      <c r="R2" s="10">
        <v>6.0466533351460381</v>
      </c>
      <c r="S2" s="10">
        <v>212</v>
      </c>
      <c r="T2" s="10">
        <v>3.700472495340255</v>
      </c>
      <c r="U2" s="10">
        <v>117</v>
      </c>
      <c r="V2" s="10">
        <v>4.8627235907155892</v>
      </c>
      <c r="W2" s="10">
        <v>245</v>
      </c>
      <c r="X2" s="10">
        <v>2.9467329570358261</v>
      </c>
      <c r="Y2" s="10">
        <v>411.52976977515272</v>
      </c>
      <c r="Z2" s="10">
        <v>-1.260145114066195</v>
      </c>
      <c r="AA2" s="10">
        <v>0.35027434325449652</v>
      </c>
      <c r="AB2" s="10">
        <v>-3.5975946806661212</v>
      </c>
      <c r="AC2" s="10">
        <v>3.2117359811550559E-4</v>
      </c>
      <c r="AD2" s="10">
        <v>4.6986237524307028E-2</v>
      </c>
      <c r="AE2" s="10" t="s">
        <v>2336</v>
      </c>
      <c r="AF2" s="10" t="s">
        <v>2337</v>
      </c>
      <c r="AG2" s="10" t="s">
        <v>2338</v>
      </c>
      <c r="AH2" s="10" t="s">
        <v>829</v>
      </c>
      <c r="AI2" s="10" t="s">
        <v>830</v>
      </c>
      <c r="AJ2" s="10" t="s">
        <v>831</v>
      </c>
      <c r="AK2" s="10" t="s">
        <v>832</v>
      </c>
      <c r="AL2" s="10" t="s">
        <v>833</v>
      </c>
      <c r="AM2" s="10" t="s">
        <v>834</v>
      </c>
      <c r="AN2" s="10" t="s">
        <v>1855</v>
      </c>
      <c r="AO2" s="10" t="s">
        <v>43</v>
      </c>
    </row>
    <row r="3" spans="1:41" s="20" customFormat="1" x14ac:dyDescent="0.3">
      <c r="A3" s="9" t="s">
        <v>4492</v>
      </c>
      <c r="B3" s="9">
        <v>1429</v>
      </c>
      <c r="C3" s="9" t="str">
        <f>IF(Z3&lt;0, "Down", "Up")</f>
        <v>Down</v>
      </c>
      <c r="D3" s="34" t="str">
        <f>IF(AD3&lt;0.05, "Sig", "N")</f>
        <v>Sig</v>
      </c>
      <c r="E3" s="35" t="str">
        <f>IF(AND(J3&gt;2,L3&gt;2,N3&gt;2,P3&gt;2),"Y","N")</f>
        <v>Y</v>
      </c>
      <c r="F3" s="35" t="str">
        <f>IF(AND(R3&gt;2,T3&gt;2,V3&gt;2,X3&gt;2),"Y","N")</f>
        <v>Y</v>
      </c>
      <c r="G3" s="34" t="str">
        <f>IF(AVERAGE(J3,L3,N3,P3) &gt; AVERAGE(R3,T3,V3,X3), "Smaller", IF(AVERAGE(J3,L3,N3,P3) &lt; AVERAGE(R3,T3,V3,X3), "Larger", "Equal"))</f>
        <v>Smaller</v>
      </c>
      <c r="H3" s="35" t="str">
        <f>IF(OR(E3="Y", F3="Y"), "Expressed", "N")</f>
        <v>Expressed</v>
      </c>
      <c r="I3" s="9">
        <v>1909</v>
      </c>
      <c r="J3" s="9">
        <v>24.63678163575435</v>
      </c>
      <c r="K3" s="9">
        <v>3526</v>
      </c>
      <c r="L3" s="9">
        <v>25.503171168948601</v>
      </c>
      <c r="M3" s="9">
        <v>1975</v>
      </c>
      <c r="N3" s="9">
        <v>13.010456846563279</v>
      </c>
      <c r="O3" s="9">
        <v>820</v>
      </c>
      <c r="P3" s="9">
        <v>15.14532635867034</v>
      </c>
      <c r="Q3" s="9">
        <v>538</v>
      </c>
      <c r="R3" s="9">
        <v>9.3466326185268205</v>
      </c>
      <c r="S3" s="9">
        <v>633</v>
      </c>
      <c r="T3" s="9">
        <v>7.2062398545656539</v>
      </c>
      <c r="U3" s="9">
        <v>478</v>
      </c>
      <c r="V3" s="9">
        <v>12.95702516713877</v>
      </c>
      <c r="W3" s="9">
        <v>992</v>
      </c>
      <c r="X3" s="9">
        <v>7.7816205853379161</v>
      </c>
      <c r="Y3" s="9">
        <v>1172.421383875517</v>
      </c>
      <c r="Z3" s="9">
        <v>-0.96922623028283694</v>
      </c>
      <c r="AA3" s="9">
        <v>0.26556623960845632</v>
      </c>
      <c r="AB3" s="9">
        <v>-3.6496590519632242</v>
      </c>
      <c r="AC3" s="9">
        <v>2.6258860957418699E-4</v>
      </c>
      <c r="AD3" s="9">
        <v>4.1632583247020717E-2</v>
      </c>
      <c r="AE3" s="9" t="s">
        <v>4493</v>
      </c>
      <c r="AF3" s="9" t="s">
        <v>4494</v>
      </c>
      <c r="AG3" s="9" t="s">
        <v>4495</v>
      </c>
      <c r="AH3" s="9" t="s">
        <v>4496</v>
      </c>
      <c r="AI3" s="9" t="s">
        <v>43</v>
      </c>
      <c r="AJ3" s="9" t="s">
        <v>43</v>
      </c>
      <c r="AK3" s="9" t="s">
        <v>43</v>
      </c>
      <c r="AL3" s="9" t="s">
        <v>43</v>
      </c>
      <c r="AM3" s="9" t="s">
        <v>43</v>
      </c>
      <c r="AN3" s="9" t="s">
        <v>1748</v>
      </c>
      <c r="AO3" s="9" t="s">
        <v>1749</v>
      </c>
    </row>
    <row r="4" spans="1:41" s="20" customFormat="1" x14ac:dyDescent="0.3">
      <c r="A4" s="9" t="s">
        <v>4497</v>
      </c>
      <c r="B4" s="9">
        <v>1653</v>
      </c>
      <c r="C4" s="9" t="str">
        <f>IF(Z4&lt;0, "Down", "Up")</f>
        <v>Down</v>
      </c>
      <c r="D4" s="34" t="str">
        <f>IF(AD4&lt;0.05, "Sig", "N")</f>
        <v>Sig</v>
      </c>
      <c r="E4" s="35" t="str">
        <f>IF(AND(J4&gt;2,L4&gt;2,N4&gt;2,P4&gt;2),"Y","N")</f>
        <v>Y</v>
      </c>
      <c r="F4" s="35" t="str">
        <f>IF(AND(R4&gt;2,T4&gt;2,V4&gt;2,X4&gt;2),"Y","N")</f>
        <v>Y</v>
      </c>
      <c r="G4" s="34" t="str">
        <f>IF(AVERAGE(J4,L4,N4,P4) &gt; AVERAGE(R4,T4,V4,X4), "Smaller", IF(AVERAGE(J4,L4,N4,P4) &lt; AVERAGE(R4,T4,V4,X4), "Larger", "Equal"))</f>
        <v>Smaller</v>
      </c>
      <c r="H4" s="35" t="str">
        <f>IF(OR(E4="Y", F4="Y"), "Expressed", "N")</f>
        <v>Expressed</v>
      </c>
      <c r="I4" s="9">
        <v>9082</v>
      </c>
      <c r="J4" s="9">
        <v>101.3255380603773</v>
      </c>
      <c r="K4" s="9">
        <v>937</v>
      </c>
      <c r="L4" s="9">
        <v>5.8588292877832977</v>
      </c>
      <c r="M4" s="9">
        <v>1036</v>
      </c>
      <c r="N4" s="9">
        <v>5.8998990024285822</v>
      </c>
      <c r="O4" s="9">
        <v>670</v>
      </c>
      <c r="P4" s="9">
        <v>10.69791053633581</v>
      </c>
      <c r="Q4" s="9">
        <v>1784</v>
      </c>
      <c r="R4" s="9">
        <v>26.793356467102392</v>
      </c>
      <c r="S4" s="9">
        <v>1608</v>
      </c>
      <c r="T4" s="9">
        <v>15.82524428990356</v>
      </c>
      <c r="U4" s="9">
        <v>589</v>
      </c>
      <c r="V4" s="9">
        <v>13.80231947961045</v>
      </c>
      <c r="W4" s="9">
        <v>8748</v>
      </c>
      <c r="X4" s="9">
        <v>59.323467670148887</v>
      </c>
      <c r="Y4" s="9">
        <v>2974.4064042593368</v>
      </c>
      <c r="Z4" s="9">
        <v>-3.3975751512108382E-2</v>
      </c>
      <c r="AA4" s="9">
        <v>1.0958721945238481</v>
      </c>
      <c r="AB4" s="9">
        <v>-3.1003388608532679E-2</v>
      </c>
      <c r="AC4" s="9"/>
      <c r="AD4" s="9"/>
      <c r="AE4" s="9" t="s">
        <v>4498</v>
      </c>
      <c r="AF4" s="9" t="s">
        <v>4499</v>
      </c>
      <c r="AG4" s="9" t="s">
        <v>4500</v>
      </c>
      <c r="AH4" s="9" t="s">
        <v>4501</v>
      </c>
      <c r="AI4" s="9" t="s">
        <v>43</v>
      </c>
      <c r="AJ4" s="9" t="s">
        <v>43</v>
      </c>
      <c r="AK4" s="9" t="s">
        <v>43</v>
      </c>
      <c r="AL4" s="9" t="s">
        <v>43</v>
      </c>
      <c r="AM4" s="9" t="s">
        <v>43</v>
      </c>
      <c r="AN4" s="9" t="s">
        <v>4502</v>
      </c>
      <c r="AO4" s="9" t="s">
        <v>43</v>
      </c>
    </row>
    <row r="5" spans="1:41" s="20" customFormat="1" x14ac:dyDescent="0.3">
      <c r="A5" s="9" t="s">
        <v>4503</v>
      </c>
      <c r="B5" s="9">
        <v>3730</v>
      </c>
      <c r="C5" s="9" t="str">
        <f>IF(Z5&lt;0, "Down", "Up")</f>
        <v>Down</v>
      </c>
      <c r="D5" s="34" t="str">
        <f>IF(AD5&lt;0.05, "Sig", "N")</f>
        <v>Sig</v>
      </c>
      <c r="E5" s="35" t="str">
        <f>IF(AND(J5&gt;2,L5&gt;2,N5&gt;2,P5&gt;2),"Y","N")</f>
        <v>Y</v>
      </c>
      <c r="F5" s="35" t="str">
        <f>IF(AND(R5&gt;2,T5&gt;2,V5&gt;2,X5&gt;2),"Y","N")</f>
        <v>Y</v>
      </c>
      <c r="G5" s="34" t="str">
        <f>IF(AVERAGE(J5,L5,N5,P5) &gt; AVERAGE(R5,T5,V5,X5), "Smaller", IF(AVERAGE(J5,L5,N5,P5) &lt; AVERAGE(R5,T5,V5,X5), "Larger", "Equal"))</f>
        <v>Smaller</v>
      </c>
      <c r="H5" s="35" t="str">
        <f>IF(OR(E5="Y", F5="Y"), "Expressed", "N")</f>
        <v>Expressed</v>
      </c>
      <c r="I5" s="9">
        <v>2202</v>
      </c>
      <c r="J5" s="9">
        <v>10.88726408537512</v>
      </c>
      <c r="K5" s="9">
        <v>4408</v>
      </c>
      <c r="L5" s="9">
        <v>12.21453281518712</v>
      </c>
      <c r="M5" s="9">
        <v>3935</v>
      </c>
      <c r="N5" s="9">
        <v>9.9310136832066629</v>
      </c>
      <c r="O5" s="9">
        <v>1756</v>
      </c>
      <c r="P5" s="9">
        <v>12.42546620010596</v>
      </c>
      <c r="Q5" s="9">
        <v>1024</v>
      </c>
      <c r="R5" s="9">
        <v>6.8154769049103638</v>
      </c>
      <c r="S5" s="9">
        <v>1428</v>
      </c>
      <c r="T5" s="9">
        <v>6.228114778388341</v>
      </c>
      <c r="U5" s="9">
        <v>745</v>
      </c>
      <c r="V5" s="9">
        <v>7.73672348932761</v>
      </c>
      <c r="W5" s="9">
        <v>2478</v>
      </c>
      <c r="X5" s="9">
        <v>7.4470295752502196</v>
      </c>
      <c r="Y5" s="9">
        <v>1955.226322289793</v>
      </c>
      <c r="Z5" s="9">
        <v>-0.55787985330513756</v>
      </c>
      <c r="AA5" s="9">
        <v>0.13046993044040589</v>
      </c>
      <c r="AB5" s="9">
        <v>-4.2759266554522899</v>
      </c>
      <c r="AC5" s="9">
        <v>1.9034388632603449E-5</v>
      </c>
      <c r="AD5" s="9">
        <v>7.7257319152889328E-3</v>
      </c>
      <c r="AE5" s="9" t="s">
        <v>4504</v>
      </c>
      <c r="AF5" s="9" t="s">
        <v>4505</v>
      </c>
      <c r="AG5" s="9" t="s">
        <v>4506</v>
      </c>
      <c r="AH5" s="9" t="s">
        <v>4507</v>
      </c>
      <c r="AI5" s="9" t="s">
        <v>43</v>
      </c>
      <c r="AJ5" s="9" t="s">
        <v>43</v>
      </c>
      <c r="AK5" s="9" t="s">
        <v>43</v>
      </c>
      <c r="AL5" s="9" t="s">
        <v>43</v>
      </c>
      <c r="AM5" s="9" t="s">
        <v>43</v>
      </c>
      <c r="AN5" s="9" t="s">
        <v>4508</v>
      </c>
      <c r="AO5" s="9" t="s">
        <v>43</v>
      </c>
    </row>
    <row r="6" spans="1:41" s="20" customFormat="1" x14ac:dyDescent="0.3">
      <c r="A6" s="9" t="s">
        <v>4509</v>
      </c>
      <c r="B6" s="9">
        <v>819</v>
      </c>
      <c r="C6" s="9" t="str">
        <f>IF(Z6&lt;0, "Down", "Up")</f>
        <v>Down</v>
      </c>
      <c r="D6" s="34" t="str">
        <f>IF(AD6&lt;0.05, "Sig", "N")</f>
        <v>Sig</v>
      </c>
      <c r="E6" s="35" t="str">
        <f>IF(AND(J6&gt;2,L6&gt;2,N6&gt;2,P6&gt;2),"Y","N")</f>
        <v>Y</v>
      </c>
      <c r="F6" s="35" t="str">
        <f>IF(AND(R6&gt;2,T6&gt;2,V6&gt;2,X6&gt;2),"Y","N")</f>
        <v>Y</v>
      </c>
      <c r="G6" s="34" t="str">
        <f>IF(AVERAGE(J6,L6,N6,P6) &gt; AVERAGE(R6,T6,V6,X6), "Smaller", IF(AVERAGE(J6,L6,N6,P6) &lt; AVERAGE(R6,T6,V6,X6), "Larger", "Equal"))</f>
        <v>Smaller</v>
      </c>
      <c r="H6" s="35" t="str">
        <f>IF(OR(E6="Y", F6="Y"), "Expressed", "N")</f>
        <v>Expressed</v>
      </c>
      <c r="I6" s="9">
        <v>1329</v>
      </c>
      <c r="J6" s="9">
        <v>29.926184823708368</v>
      </c>
      <c r="K6" s="9">
        <v>2346</v>
      </c>
      <c r="L6" s="9">
        <v>29.60657793963248</v>
      </c>
      <c r="M6" s="9">
        <v>2570</v>
      </c>
      <c r="N6" s="9">
        <v>29.53975554177466</v>
      </c>
      <c r="O6" s="9">
        <v>933</v>
      </c>
      <c r="P6" s="9">
        <v>30.067322411301319</v>
      </c>
      <c r="Q6" s="9">
        <v>623</v>
      </c>
      <c r="R6" s="9">
        <v>18.884664364008191</v>
      </c>
      <c r="S6" s="9">
        <v>976</v>
      </c>
      <c r="T6" s="9">
        <v>19.386666879082561</v>
      </c>
      <c r="U6" s="9">
        <v>492</v>
      </c>
      <c r="V6" s="9">
        <v>23.269702745490012</v>
      </c>
      <c r="W6" s="9">
        <v>1388</v>
      </c>
      <c r="X6" s="9">
        <v>18.997487732420609</v>
      </c>
      <c r="Y6" s="9">
        <v>1165.574934578681</v>
      </c>
      <c r="Z6" s="9">
        <v>-0.44260498855761998</v>
      </c>
      <c r="AA6" s="9">
        <v>0.11168798413716791</v>
      </c>
      <c r="AB6" s="9">
        <v>-3.9628702404910578</v>
      </c>
      <c r="AC6" s="9">
        <v>7.4054036126959273E-5</v>
      </c>
      <c r="AD6" s="9">
        <v>1.769425000386185E-2</v>
      </c>
      <c r="AE6" s="9" t="s">
        <v>4510</v>
      </c>
      <c r="AF6" s="9" t="s">
        <v>4511</v>
      </c>
      <c r="AG6" s="9" t="s">
        <v>4512</v>
      </c>
      <c r="AH6" s="9" t="s">
        <v>4513</v>
      </c>
      <c r="AI6" s="9" t="s">
        <v>43</v>
      </c>
      <c r="AJ6" s="9" t="s">
        <v>43</v>
      </c>
      <c r="AK6" s="9" t="s">
        <v>43</v>
      </c>
      <c r="AL6" s="9" t="s">
        <v>43</v>
      </c>
      <c r="AM6" s="9" t="s">
        <v>43</v>
      </c>
      <c r="AN6" s="9" t="s">
        <v>4514</v>
      </c>
      <c r="AO6" s="9" t="s">
        <v>43</v>
      </c>
    </row>
    <row r="7" spans="1:41" s="20" customFormat="1" x14ac:dyDescent="0.3">
      <c r="A7" s="9" t="s">
        <v>4515</v>
      </c>
      <c r="B7" s="9">
        <v>1348</v>
      </c>
      <c r="C7" s="9" t="str">
        <f>IF(Z7&lt;0, "Down", "Up")</f>
        <v>Down</v>
      </c>
      <c r="D7" s="34" t="str">
        <f>IF(AD7&lt;0.05, "Sig", "N")</f>
        <v>Sig</v>
      </c>
      <c r="E7" s="35" t="str">
        <f>IF(AND(J7&gt;2,L7&gt;2,N7&gt;2,P7&gt;2),"Y","N")</f>
        <v>Y</v>
      </c>
      <c r="F7" s="35" t="str">
        <f>IF(AND(R7&gt;2,T7&gt;2,V7&gt;2,X7&gt;2),"Y","N")</f>
        <v>Y</v>
      </c>
      <c r="G7" s="34" t="str">
        <f>IF(AVERAGE(J7,L7,N7,P7) &gt; AVERAGE(R7,T7,V7,X7), "Smaller", IF(AVERAGE(J7,L7,N7,P7) &lt; AVERAGE(R7,T7,V7,X7), "Larger", "Equal"))</f>
        <v>Smaller</v>
      </c>
      <c r="H7" s="35" t="str">
        <f>IF(OR(E7="Y", F7="Y"), "Expressed", "N")</f>
        <v>Expressed</v>
      </c>
      <c r="I7" s="9">
        <v>391</v>
      </c>
      <c r="J7" s="9">
        <v>5.3493022798378709</v>
      </c>
      <c r="K7" s="9">
        <v>722</v>
      </c>
      <c r="L7" s="9">
        <v>5.5359404776700538</v>
      </c>
      <c r="M7" s="9">
        <v>1302</v>
      </c>
      <c r="N7" s="9">
        <v>9.0924049015994015</v>
      </c>
      <c r="O7" s="9">
        <v>299</v>
      </c>
      <c r="P7" s="9">
        <v>5.8543449542189281</v>
      </c>
      <c r="Q7" s="9">
        <v>197</v>
      </c>
      <c r="R7" s="9">
        <v>3.628118468692902</v>
      </c>
      <c r="S7" s="9">
        <v>250</v>
      </c>
      <c r="T7" s="9">
        <v>3.0170836298859229</v>
      </c>
      <c r="U7" s="9">
        <v>132</v>
      </c>
      <c r="V7" s="9">
        <v>3.793094594233906</v>
      </c>
      <c r="W7" s="9">
        <v>430</v>
      </c>
      <c r="X7" s="9">
        <v>3.57576666826645</v>
      </c>
      <c r="Y7" s="9">
        <v>379.93774146202958</v>
      </c>
      <c r="Z7" s="9">
        <v>-0.75410513899746046</v>
      </c>
      <c r="AA7" s="9">
        <v>0.19943016749978329</v>
      </c>
      <c r="AB7" s="9">
        <v>-3.7812992309615341</v>
      </c>
      <c r="AC7" s="9">
        <v>1.5601201389418739E-4</v>
      </c>
      <c r="AD7" s="9">
        <v>2.8857739466577149E-2</v>
      </c>
      <c r="AE7" s="9" t="s">
        <v>4516</v>
      </c>
      <c r="AF7" s="9" t="s">
        <v>4517</v>
      </c>
      <c r="AG7" s="9" t="s">
        <v>4518</v>
      </c>
      <c r="AH7" s="9" t="s">
        <v>4519</v>
      </c>
      <c r="AI7" s="9" t="s">
        <v>43</v>
      </c>
      <c r="AJ7" s="9" t="s">
        <v>43</v>
      </c>
      <c r="AK7" s="9" t="s">
        <v>43</v>
      </c>
      <c r="AL7" s="9" t="s">
        <v>43</v>
      </c>
      <c r="AM7" s="9" t="s">
        <v>43</v>
      </c>
      <c r="AN7" s="9" t="s">
        <v>4520</v>
      </c>
      <c r="AO7" s="9" t="s">
        <v>43</v>
      </c>
    </row>
    <row r="8" spans="1:41" s="20" customFormat="1" x14ac:dyDescent="0.3">
      <c r="A8" s="9" t="s">
        <v>4521</v>
      </c>
      <c r="B8" s="9">
        <v>339</v>
      </c>
      <c r="C8" s="9" t="str">
        <f>IF(Z8&lt;0, "Down", "Up")</f>
        <v>Down</v>
      </c>
      <c r="D8" s="34" t="str">
        <f>IF(AD8&lt;0.05, "Sig", "N")</f>
        <v>Sig</v>
      </c>
      <c r="E8" s="35" t="str">
        <f>IF(AND(J8&gt;2,L8&gt;2,N8&gt;2,P8&gt;2),"Y","N")</f>
        <v>Y</v>
      </c>
      <c r="F8" s="35" t="str">
        <f>IF(AND(R8&gt;2,T8&gt;2,V8&gt;2,X8&gt;2),"Y","N")</f>
        <v>N</v>
      </c>
      <c r="G8" s="34" t="str">
        <f>IF(AVERAGE(J8,L8,N8,P8) &gt; AVERAGE(R8,T8,V8,X8), "Smaller", IF(AVERAGE(J8,L8,N8,P8) &lt; AVERAGE(R8,T8,V8,X8), "Larger", "Equal"))</f>
        <v>Smaller</v>
      </c>
      <c r="H8" s="35" t="str">
        <f>IF(OR(E8="Y", F8="Y"), "Expressed", "N")</f>
        <v>Expressed</v>
      </c>
      <c r="I8" s="9">
        <v>95</v>
      </c>
      <c r="J8" s="9">
        <v>5.1681389520557506</v>
      </c>
      <c r="K8" s="9">
        <v>229</v>
      </c>
      <c r="L8" s="9">
        <v>6.9820007433175801</v>
      </c>
      <c r="M8" s="9">
        <v>84</v>
      </c>
      <c r="N8" s="9">
        <v>2.332583843820724</v>
      </c>
      <c r="O8" s="9">
        <v>60</v>
      </c>
      <c r="P8" s="9">
        <v>4.6714162241614314</v>
      </c>
      <c r="Q8" s="9">
        <v>32</v>
      </c>
      <c r="R8" s="9">
        <v>2.3434484564265912</v>
      </c>
      <c r="S8" s="9">
        <v>13</v>
      </c>
      <c r="T8" s="9">
        <v>0.62385101510467156</v>
      </c>
      <c r="U8" s="9">
        <v>10</v>
      </c>
      <c r="V8" s="9">
        <v>1.142641350010571</v>
      </c>
      <c r="W8" s="9">
        <v>35</v>
      </c>
      <c r="X8" s="9">
        <v>1.1573346464211509</v>
      </c>
      <c r="Y8" s="9">
        <v>58.002246448504607</v>
      </c>
      <c r="Z8" s="9">
        <v>-1.7645566661106331</v>
      </c>
      <c r="AA8" s="9">
        <v>0.45587230312526378</v>
      </c>
      <c r="AB8" s="9">
        <v>-3.8707257580984709</v>
      </c>
      <c r="AC8" s="9">
        <v>1.0851181202723949E-4</v>
      </c>
      <c r="AD8" s="9">
        <v>2.1965111132683679E-2</v>
      </c>
      <c r="AE8" s="9" t="s">
        <v>4522</v>
      </c>
      <c r="AF8" s="9" t="s">
        <v>4523</v>
      </c>
      <c r="AG8" s="9" t="s">
        <v>43</v>
      </c>
      <c r="AH8" s="9" t="s">
        <v>43</v>
      </c>
      <c r="AI8" s="9" t="s">
        <v>43</v>
      </c>
      <c r="AJ8" s="9" t="s">
        <v>43</v>
      </c>
      <c r="AK8" s="9" t="s">
        <v>43</v>
      </c>
      <c r="AL8" s="9" t="s">
        <v>43</v>
      </c>
      <c r="AM8" s="9" t="s">
        <v>43</v>
      </c>
      <c r="AN8" s="9" t="s">
        <v>43</v>
      </c>
      <c r="AO8" s="9" t="s">
        <v>43</v>
      </c>
    </row>
    <row r="9" spans="1:41" s="20" customFormat="1" x14ac:dyDescent="0.3">
      <c r="A9" s="9" t="s">
        <v>3471</v>
      </c>
      <c r="B9" s="9">
        <v>2689</v>
      </c>
      <c r="C9" s="9" t="str">
        <f>IF(Z9&lt;0, "Down", "Up")</f>
        <v>Down</v>
      </c>
      <c r="D9" s="34" t="str">
        <f>IF(AD9&lt;0.05, "Sig", "N")</f>
        <v>Sig</v>
      </c>
      <c r="E9" s="35" t="str">
        <f>IF(AND(J9&gt;2,L9&gt;2,N9&gt;2,P9&gt;2),"Y","N")</f>
        <v>Y</v>
      </c>
      <c r="F9" s="35" t="str">
        <f>IF(AND(R9&gt;2,T9&gt;2,V9&gt;2,X9&gt;2),"Y","N")</f>
        <v>Y</v>
      </c>
      <c r="G9" s="34" t="str">
        <f>IF(AVERAGE(J9,L9,N9,P9) &gt; AVERAGE(R9,T9,V9,X9), "Smaller", IF(AVERAGE(J9,L9,N9,P9) &lt; AVERAGE(R9,T9,V9,X9), "Larger", "Equal"))</f>
        <v>Smaller</v>
      </c>
      <c r="H9" s="35" t="str">
        <f>IF(OR(E9="Y", F9="Y"), "Expressed", "N")</f>
        <v>Expressed</v>
      </c>
      <c r="I9" s="9">
        <v>761</v>
      </c>
      <c r="J9" s="9">
        <v>5.2192022810764733</v>
      </c>
      <c r="K9" s="9">
        <v>1589</v>
      </c>
      <c r="L9" s="9">
        <v>6.1076930311322117</v>
      </c>
      <c r="M9" s="9">
        <v>1504</v>
      </c>
      <c r="N9" s="9">
        <v>5.2651980213703933</v>
      </c>
      <c r="O9" s="9">
        <v>971</v>
      </c>
      <c r="P9" s="9">
        <v>9.530714064032443</v>
      </c>
      <c r="Q9" s="9">
        <v>399</v>
      </c>
      <c r="R9" s="9">
        <v>3.6837251495062882</v>
      </c>
      <c r="S9" s="9">
        <v>413</v>
      </c>
      <c r="T9" s="9">
        <v>2.498598537396223</v>
      </c>
      <c r="U9" s="9">
        <v>286</v>
      </c>
      <c r="V9" s="9">
        <v>4.1198828355866466</v>
      </c>
      <c r="W9" s="9">
        <v>766</v>
      </c>
      <c r="X9" s="9">
        <v>3.1932180521146032</v>
      </c>
      <c r="Y9" s="9">
        <v>751.09305364943964</v>
      </c>
      <c r="Z9" s="9">
        <v>-0.82577413191526439</v>
      </c>
      <c r="AA9" s="9">
        <v>0.21861361144149721</v>
      </c>
      <c r="AB9" s="9">
        <v>-3.7773225851321182</v>
      </c>
      <c r="AC9" s="9">
        <v>1.585233524907242E-4</v>
      </c>
      <c r="AD9" s="9">
        <v>2.8989057385874761E-2</v>
      </c>
      <c r="AE9" s="9" t="s">
        <v>3472</v>
      </c>
      <c r="AF9" s="9" t="s">
        <v>3473</v>
      </c>
      <c r="AG9" s="9" t="s">
        <v>3474</v>
      </c>
      <c r="AH9" s="9" t="s">
        <v>817</v>
      </c>
      <c r="AI9" s="9" t="s">
        <v>43</v>
      </c>
      <c r="AJ9" s="9" t="s">
        <v>43</v>
      </c>
      <c r="AK9" s="9" t="s">
        <v>43</v>
      </c>
      <c r="AL9" s="9" t="s">
        <v>43</v>
      </c>
      <c r="AM9" s="9" t="s">
        <v>43</v>
      </c>
      <c r="AN9" s="9" t="s">
        <v>818</v>
      </c>
      <c r="AO9" s="9" t="s">
        <v>43</v>
      </c>
    </row>
    <row r="10" spans="1:41" s="20" customFormat="1" x14ac:dyDescent="0.3">
      <c r="A10" s="9" t="s">
        <v>4524</v>
      </c>
      <c r="B10" s="9">
        <v>1789</v>
      </c>
      <c r="C10" s="9" t="str">
        <f>IF(Z10&lt;0, "Down", "Up")</f>
        <v>Down</v>
      </c>
      <c r="D10" s="34" t="str">
        <f>IF(AD10&lt;0.05, "Sig", "N")</f>
        <v>Sig</v>
      </c>
      <c r="E10" s="35" t="str">
        <f>IF(AND(J10&gt;2,L10&gt;2,N10&gt;2,P10&gt;2),"Y","N")</f>
        <v>N</v>
      </c>
      <c r="F10" s="35" t="str">
        <f>IF(AND(R10&gt;2,T10&gt;2,V10&gt;2,X10&gt;2),"Y","N")</f>
        <v>Y</v>
      </c>
      <c r="G10" s="34" t="str">
        <f>IF(AVERAGE(J10,L10,N10,P10) &gt; AVERAGE(R10,T10,V10,X10), "Smaller", IF(AVERAGE(J10,L10,N10,P10) &lt; AVERAGE(R10,T10,V10,X10), "Larger", "Equal"))</f>
        <v>Smaller</v>
      </c>
      <c r="H10" s="35" t="str">
        <f>IF(OR(E10="Y", F10="Y"), "Expressed", "N")</f>
        <v>Expressed</v>
      </c>
      <c r="I10" s="9">
        <v>2436</v>
      </c>
      <c r="J10" s="9">
        <v>25.111763814912461</v>
      </c>
      <c r="K10" s="9">
        <v>80</v>
      </c>
      <c r="L10" s="9">
        <v>0.46219341428763538</v>
      </c>
      <c r="M10" s="9">
        <v>94</v>
      </c>
      <c r="N10" s="9">
        <v>0.49462400361462372</v>
      </c>
      <c r="O10" s="9">
        <v>55</v>
      </c>
      <c r="P10" s="9">
        <v>0.81142682596878979</v>
      </c>
      <c r="Q10" s="9">
        <v>363</v>
      </c>
      <c r="R10" s="9">
        <v>5.0373416835957059</v>
      </c>
      <c r="S10" s="9">
        <v>276</v>
      </c>
      <c r="T10" s="9">
        <v>2.5097818453477871</v>
      </c>
      <c r="U10" s="9">
        <v>158</v>
      </c>
      <c r="V10" s="9">
        <v>3.4210260474715608</v>
      </c>
      <c r="W10" s="9">
        <v>1119</v>
      </c>
      <c r="X10" s="9">
        <v>7.0114905710779478</v>
      </c>
      <c r="Y10" s="9">
        <v>602.03916403909648</v>
      </c>
      <c r="Z10" s="9">
        <v>-0.55571994323979224</v>
      </c>
      <c r="AA10" s="9">
        <v>1.332156712984528</v>
      </c>
      <c r="AB10" s="9">
        <v>-0.41715808494840839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</row>
    <row r="11" spans="1:41" s="20" customFormat="1" x14ac:dyDescent="0.3">
      <c r="A11" s="9" t="s">
        <v>4525</v>
      </c>
      <c r="B11" s="9">
        <v>1569</v>
      </c>
      <c r="C11" s="9" t="str">
        <f>IF(Z11&lt;0, "Down", "Up")</f>
        <v>Down</v>
      </c>
      <c r="D11" s="34" t="str">
        <f>IF(AD11&lt;0.05, "Sig", "N")</f>
        <v>Sig</v>
      </c>
      <c r="E11" s="35" t="str">
        <f>IF(AND(J11&gt;2,L11&gt;2,N11&gt;2,P11&gt;2),"Y","N")</f>
        <v>Y</v>
      </c>
      <c r="F11" s="35" t="str">
        <f>IF(AND(R11&gt;2,T11&gt;2,V11&gt;2,X11&gt;2),"Y","N")</f>
        <v>Y</v>
      </c>
      <c r="G11" s="34" t="str">
        <f>IF(AVERAGE(J11,L11,N11,P11) &gt; AVERAGE(R11,T11,V11,X11), "Smaller", IF(AVERAGE(J11,L11,N11,P11) &lt; AVERAGE(R11,T11,V11,X11), "Larger", "Equal"))</f>
        <v>Smaller</v>
      </c>
      <c r="H11" s="35" t="str">
        <f>IF(OR(E11="Y", F11="Y"), "Expressed", "N")</f>
        <v>Expressed</v>
      </c>
      <c r="I11" s="9">
        <v>691</v>
      </c>
      <c r="J11" s="9">
        <v>8.1220447578417865</v>
      </c>
      <c r="K11" s="9">
        <v>1613</v>
      </c>
      <c r="L11" s="9">
        <v>10.625650583915039</v>
      </c>
      <c r="M11" s="9">
        <v>974</v>
      </c>
      <c r="N11" s="9">
        <v>5.8437777250886942</v>
      </c>
      <c r="O11" s="9">
        <v>787</v>
      </c>
      <c r="P11" s="9">
        <v>13.238805488556411</v>
      </c>
      <c r="Q11" s="9">
        <v>254</v>
      </c>
      <c r="R11" s="9">
        <v>4.0189804969141978</v>
      </c>
      <c r="S11" s="9">
        <v>316</v>
      </c>
      <c r="T11" s="9">
        <v>3.2764336001408458</v>
      </c>
      <c r="U11" s="9">
        <v>268</v>
      </c>
      <c r="V11" s="9">
        <v>6.6163959165812898</v>
      </c>
      <c r="W11" s="9">
        <v>329</v>
      </c>
      <c r="X11" s="9">
        <v>2.3505178994809679</v>
      </c>
      <c r="Y11" s="9">
        <v>595.13667516080613</v>
      </c>
      <c r="Z11" s="9">
        <v>-1.113321567298271</v>
      </c>
      <c r="AA11" s="9">
        <v>0.305664469101249</v>
      </c>
      <c r="AB11" s="9">
        <v>-3.6422995795742659</v>
      </c>
      <c r="AC11" s="9">
        <v>2.702133427382353E-4</v>
      </c>
      <c r="AD11" s="9">
        <v>4.2368011818808803E-2</v>
      </c>
      <c r="AE11" s="9" t="s">
        <v>4526</v>
      </c>
      <c r="AF11" s="9" t="s">
        <v>4527</v>
      </c>
      <c r="AG11" s="9" t="s">
        <v>4528</v>
      </c>
      <c r="AH11" s="9" t="s">
        <v>4529</v>
      </c>
      <c r="AI11" s="9" t="s">
        <v>43</v>
      </c>
      <c r="AJ11" s="9" t="s">
        <v>43</v>
      </c>
      <c r="AK11" s="9" t="s">
        <v>43</v>
      </c>
      <c r="AL11" s="9" t="s">
        <v>43</v>
      </c>
      <c r="AM11" s="9" t="s">
        <v>43</v>
      </c>
      <c r="AN11" s="9" t="s">
        <v>4118</v>
      </c>
      <c r="AO11" s="9" t="s">
        <v>43</v>
      </c>
    </row>
    <row r="12" spans="1:41" s="20" customFormat="1" x14ac:dyDescent="0.3">
      <c r="A12" s="9" t="s">
        <v>4530</v>
      </c>
      <c r="B12" s="9">
        <v>1189</v>
      </c>
      <c r="C12" s="9" t="str">
        <f>IF(Z12&lt;0, "Down", "Up")</f>
        <v>Down</v>
      </c>
      <c r="D12" s="34" t="str">
        <f>IF(AD12&lt;0.05, "Sig", "N")</f>
        <v>Sig</v>
      </c>
      <c r="E12" s="35" t="str">
        <f>IF(AND(J12&gt;2,L12&gt;2,N12&gt;2,P12&gt;2),"Y","N")</f>
        <v>Y</v>
      </c>
      <c r="F12" s="35" t="str">
        <f>IF(AND(R12&gt;2,T12&gt;2,V12&gt;2,X12&gt;2),"Y","N")</f>
        <v>Y</v>
      </c>
      <c r="G12" s="34" t="str">
        <f>IF(AVERAGE(J12,L12,N12,P12) &gt; AVERAGE(R12,T12,V12,X12), "Smaller", IF(AVERAGE(J12,L12,N12,P12) &lt; AVERAGE(R12,T12,V12,X12), "Larger", "Equal"))</f>
        <v>Smaller</v>
      </c>
      <c r="H12" s="35" t="str">
        <f>IF(OR(E12="Y", F12="Y"), "Expressed", "N")</f>
        <v>Expressed</v>
      </c>
      <c r="I12" s="9">
        <v>1624</v>
      </c>
      <c r="J12" s="9">
        <v>25.1892040733829</v>
      </c>
      <c r="K12" s="9">
        <v>2741</v>
      </c>
      <c r="L12" s="9">
        <v>23.827105485472551</v>
      </c>
      <c r="M12" s="9">
        <v>3296</v>
      </c>
      <c r="N12" s="9">
        <v>26.09534385027457</v>
      </c>
      <c r="O12" s="9">
        <v>1152</v>
      </c>
      <c r="P12" s="9">
        <v>25.5721731874028</v>
      </c>
      <c r="Q12" s="9">
        <v>637</v>
      </c>
      <c r="R12" s="9">
        <v>13.300338783277111</v>
      </c>
      <c r="S12" s="9">
        <v>1166</v>
      </c>
      <c r="T12" s="9">
        <v>15.953424736008539</v>
      </c>
      <c r="U12" s="9">
        <v>599</v>
      </c>
      <c r="V12" s="9">
        <v>19.514373017199041</v>
      </c>
      <c r="W12" s="9">
        <v>1643</v>
      </c>
      <c r="X12" s="9">
        <v>15.48981807905114</v>
      </c>
      <c r="Y12" s="9">
        <v>1396.690862338522</v>
      </c>
      <c r="Z12" s="9">
        <v>-0.52342641385881139</v>
      </c>
      <c r="AA12" s="9">
        <v>0.14175553351742171</v>
      </c>
      <c r="AB12" s="9">
        <v>-3.6924584238151259</v>
      </c>
      <c r="AC12" s="9">
        <v>2.2209665803897289E-4</v>
      </c>
      <c r="AD12" s="9">
        <v>3.6657338148637662E-2</v>
      </c>
      <c r="AE12" s="9" t="s">
        <v>4531</v>
      </c>
      <c r="AF12" s="9" t="s">
        <v>4532</v>
      </c>
      <c r="AG12" s="9" t="s">
        <v>43</v>
      </c>
      <c r="AH12" s="9" t="s">
        <v>4533</v>
      </c>
      <c r="AI12" s="9" t="s">
        <v>43</v>
      </c>
      <c r="AJ12" s="9" t="s">
        <v>43</v>
      </c>
      <c r="AK12" s="9" t="s">
        <v>43</v>
      </c>
      <c r="AL12" s="9" t="s">
        <v>43</v>
      </c>
      <c r="AM12" s="9" t="s">
        <v>43</v>
      </c>
      <c r="AN12" s="9" t="s">
        <v>4534</v>
      </c>
      <c r="AO12" s="9" t="s">
        <v>43</v>
      </c>
    </row>
    <row r="13" spans="1:41" s="20" customFormat="1" x14ac:dyDescent="0.3">
      <c r="A13" s="9" t="s">
        <v>4535</v>
      </c>
      <c r="B13" s="9">
        <v>814</v>
      </c>
      <c r="C13" s="9" t="str">
        <f>IF(Z13&lt;0, "Down", "Up")</f>
        <v>Down</v>
      </c>
      <c r="D13" s="34" t="str">
        <f>IF(AD13&lt;0.05, "Sig", "N")</f>
        <v>Sig</v>
      </c>
      <c r="E13" s="35" t="str">
        <f>IF(AND(J13&gt;2,L13&gt;2,N13&gt;2,P13&gt;2),"Y","N")</f>
        <v>Y</v>
      </c>
      <c r="F13" s="35" t="str">
        <f>IF(AND(R13&gt;2,T13&gt;2,V13&gt;2,X13&gt;2),"Y","N")</f>
        <v>N</v>
      </c>
      <c r="G13" s="34" t="str">
        <f>IF(AVERAGE(J13,L13,N13,P13) &gt; AVERAGE(R13,T13,V13,X13), "Smaller", IF(AVERAGE(J13,L13,N13,P13) &lt; AVERAGE(R13,T13,V13,X13), "Larger", "Equal"))</f>
        <v>Smaller</v>
      </c>
      <c r="H13" s="35" t="str">
        <f>IF(OR(E13="Y", F13="Y"), "Expressed", "N")</f>
        <v>Expressed</v>
      </c>
      <c r="I13" s="9">
        <v>141</v>
      </c>
      <c r="J13" s="9">
        <v>3.1945153726795898</v>
      </c>
      <c r="K13" s="9">
        <v>505</v>
      </c>
      <c r="L13" s="9">
        <v>6.4122593545929476</v>
      </c>
      <c r="M13" s="9">
        <v>433</v>
      </c>
      <c r="N13" s="9">
        <v>5.0075024084900051</v>
      </c>
      <c r="O13" s="9">
        <v>224</v>
      </c>
      <c r="P13" s="9">
        <v>7.2630766256740884</v>
      </c>
      <c r="Q13" s="9">
        <v>49</v>
      </c>
      <c r="R13" s="9">
        <v>1.4944342102926169</v>
      </c>
      <c r="S13" s="9">
        <v>99</v>
      </c>
      <c r="T13" s="9">
        <v>1.978554518798703</v>
      </c>
      <c r="U13" s="9">
        <v>29</v>
      </c>
      <c r="V13" s="9">
        <v>1.3800131587166991</v>
      </c>
      <c r="W13" s="9">
        <v>126</v>
      </c>
      <c r="X13" s="9">
        <v>1.7351488974107769</v>
      </c>
      <c r="Y13" s="9">
        <v>161.39218961132099</v>
      </c>
      <c r="Z13" s="9">
        <v>-1.5585706810405</v>
      </c>
      <c r="AA13" s="9">
        <v>0.26981790587187571</v>
      </c>
      <c r="AB13" s="9">
        <v>-5.7763797254456284</v>
      </c>
      <c r="AC13" s="9">
        <v>7.6325016129809664E-9</v>
      </c>
      <c r="AD13" s="9">
        <v>1.6376804294252828E-5</v>
      </c>
      <c r="AE13" s="9" t="s">
        <v>4536</v>
      </c>
      <c r="AF13" s="9" t="s">
        <v>4537</v>
      </c>
      <c r="AG13" s="9" t="s">
        <v>43</v>
      </c>
      <c r="AH13" s="9" t="s">
        <v>43</v>
      </c>
      <c r="AI13" s="9" t="s">
        <v>43</v>
      </c>
      <c r="AJ13" s="9" t="s">
        <v>43</v>
      </c>
      <c r="AK13" s="9" t="s">
        <v>43</v>
      </c>
      <c r="AL13" s="9" t="s">
        <v>43</v>
      </c>
      <c r="AM13" s="9" t="s">
        <v>43</v>
      </c>
      <c r="AN13" s="9" t="s">
        <v>43</v>
      </c>
      <c r="AO13" s="9" t="s">
        <v>43</v>
      </c>
    </row>
    <row r="14" spans="1:41" s="20" customFormat="1" x14ac:dyDescent="0.3">
      <c r="A14" s="9" t="s">
        <v>4538</v>
      </c>
      <c r="B14" s="9">
        <v>1157</v>
      </c>
      <c r="C14" s="9" t="str">
        <f>IF(Z14&lt;0, "Down", "Up")</f>
        <v>Down</v>
      </c>
      <c r="D14" s="34" t="str">
        <f>IF(AD14&lt;0.05, "Sig", "N")</f>
        <v>Sig</v>
      </c>
      <c r="E14" s="35" t="str">
        <f>IF(AND(J14&gt;2,L14&gt;2,N14&gt;2,P14&gt;2),"Y","N")</f>
        <v>N</v>
      </c>
      <c r="F14" s="35" t="str">
        <f>IF(AND(R14&gt;2,T14&gt;2,V14&gt;2,X14&gt;2),"Y","N")</f>
        <v>Y</v>
      </c>
      <c r="G14" s="34" t="str">
        <f>IF(AVERAGE(J14,L14,N14,P14) &gt; AVERAGE(R14,T14,V14,X14), "Smaller", IF(AVERAGE(J14,L14,N14,P14) &lt; AVERAGE(R14,T14,V14,X14), "Larger", "Equal"))</f>
        <v>Smaller</v>
      </c>
      <c r="H14" s="35" t="str">
        <f>IF(OR(E14="Y", F14="Y"), "Expressed", "N")</f>
        <v>Expressed</v>
      </c>
      <c r="I14" s="9">
        <v>710</v>
      </c>
      <c r="J14" s="9">
        <v>11.317102891964691</v>
      </c>
      <c r="K14" s="9">
        <v>170</v>
      </c>
      <c r="L14" s="9">
        <v>1.5186569045732341</v>
      </c>
      <c r="M14" s="9">
        <v>285</v>
      </c>
      <c r="N14" s="9">
        <v>2.3188314202446718</v>
      </c>
      <c r="O14" s="9">
        <v>101</v>
      </c>
      <c r="P14" s="9">
        <v>2.304013542193363</v>
      </c>
      <c r="Q14" s="9">
        <v>131</v>
      </c>
      <c r="R14" s="9">
        <v>2.8108848990235651</v>
      </c>
      <c r="S14" s="9">
        <v>148</v>
      </c>
      <c r="T14" s="9">
        <v>2.080968893679382</v>
      </c>
      <c r="U14" s="9">
        <v>83</v>
      </c>
      <c r="V14" s="9">
        <v>2.7787813020957168</v>
      </c>
      <c r="W14" s="9">
        <v>313</v>
      </c>
      <c r="X14" s="9">
        <v>3.0325054285173239</v>
      </c>
      <c r="Y14" s="9">
        <v>238.70835454624299</v>
      </c>
      <c r="Z14" s="9">
        <v>-0.6454247710509643</v>
      </c>
      <c r="AA14" s="9">
        <v>0.71485931085256937</v>
      </c>
      <c r="AB14" s="9">
        <v>-0.90286964337249143</v>
      </c>
      <c r="AC14" s="9"/>
      <c r="AD14" s="9"/>
      <c r="AE14" s="9" t="s">
        <v>4539</v>
      </c>
      <c r="AF14" s="9" t="s">
        <v>4540</v>
      </c>
      <c r="AG14" s="9" t="s">
        <v>43</v>
      </c>
      <c r="AH14" s="9" t="s">
        <v>4541</v>
      </c>
      <c r="AI14" s="9" t="s">
        <v>43</v>
      </c>
      <c r="AJ14" s="9" t="s">
        <v>43</v>
      </c>
      <c r="AK14" s="9" t="s">
        <v>43</v>
      </c>
      <c r="AL14" s="9" t="s">
        <v>43</v>
      </c>
      <c r="AM14" s="9" t="s">
        <v>43</v>
      </c>
      <c r="AN14" s="9" t="s">
        <v>4542</v>
      </c>
      <c r="AO14" s="9" t="s">
        <v>43</v>
      </c>
    </row>
    <row r="15" spans="1:41" s="20" customFormat="1" x14ac:dyDescent="0.3">
      <c r="A15" s="9" t="s">
        <v>4543</v>
      </c>
      <c r="B15" s="9">
        <v>1772</v>
      </c>
      <c r="C15" s="9" t="str">
        <f>IF(Z15&lt;0, "Down", "Up")</f>
        <v>Down</v>
      </c>
      <c r="D15" s="34" t="str">
        <f>IF(AD15&lt;0.05, "Sig", "N")</f>
        <v>Sig</v>
      </c>
      <c r="E15" s="35" t="str">
        <f>IF(AND(J15&gt;2,L15&gt;2,N15&gt;2,P15&gt;2),"Y","N")</f>
        <v>Y</v>
      </c>
      <c r="F15" s="35" t="str">
        <f>IF(AND(R15&gt;2,T15&gt;2,V15&gt;2,X15&gt;2),"Y","N")</f>
        <v>Y</v>
      </c>
      <c r="G15" s="34" t="str">
        <f>IF(AVERAGE(J15,L15,N15,P15) &gt; AVERAGE(R15,T15,V15,X15), "Smaller", IF(AVERAGE(J15,L15,N15,P15) &lt; AVERAGE(R15,T15,V15,X15), "Larger", "Equal"))</f>
        <v>Smaller</v>
      </c>
      <c r="H15" s="35" t="str">
        <f>IF(OR(E15="Y", F15="Y"), "Expressed", "N")</f>
        <v>Expressed</v>
      </c>
      <c r="I15" s="9">
        <v>646</v>
      </c>
      <c r="J15" s="9">
        <v>6.723247128825574</v>
      </c>
      <c r="K15" s="9">
        <v>1838</v>
      </c>
      <c r="L15" s="9">
        <v>10.72076795555266</v>
      </c>
      <c r="M15" s="9">
        <v>1833</v>
      </c>
      <c r="N15" s="9">
        <v>9.7377007212742406</v>
      </c>
      <c r="O15" s="9">
        <v>825</v>
      </c>
      <c r="P15" s="9">
        <v>12.28817092261426</v>
      </c>
      <c r="Q15" s="9">
        <v>229</v>
      </c>
      <c r="R15" s="9">
        <v>3.208314177498107</v>
      </c>
      <c r="S15" s="9">
        <v>420</v>
      </c>
      <c r="T15" s="9">
        <v>3.855873742429377</v>
      </c>
      <c r="U15" s="9">
        <v>299</v>
      </c>
      <c r="V15" s="9">
        <v>6.536076178240493</v>
      </c>
      <c r="W15" s="9">
        <v>811</v>
      </c>
      <c r="X15" s="9">
        <v>5.1303588682025234</v>
      </c>
      <c r="Y15" s="9">
        <v>725.65448737924646</v>
      </c>
      <c r="Z15" s="9">
        <v>-0.93632036249870232</v>
      </c>
      <c r="AA15" s="9">
        <v>0.23992126755324331</v>
      </c>
      <c r="AB15" s="9">
        <v>-3.9026151038940911</v>
      </c>
      <c r="AC15" s="9">
        <v>9.5158960229221724E-5</v>
      </c>
      <c r="AD15" s="9">
        <v>2.038505591002561E-2</v>
      </c>
      <c r="AE15" s="9" t="s">
        <v>4544</v>
      </c>
      <c r="AF15" s="9" t="s">
        <v>4545</v>
      </c>
      <c r="AG15" s="9" t="s">
        <v>4546</v>
      </c>
      <c r="AH15" s="9" t="s">
        <v>4547</v>
      </c>
      <c r="AI15" s="9" t="s">
        <v>43</v>
      </c>
      <c r="AJ15" s="9" t="s">
        <v>43</v>
      </c>
      <c r="AK15" s="9" t="s">
        <v>43</v>
      </c>
      <c r="AL15" s="9" t="s">
        <v>43</v>
      </c>
      <c r="AM15" s="9" t="s">
        <v>43</v>
      </c>
      <c r="AN15" s="9" t="s">
        <v>4548</v>
      </c>
      <c r="AO15" s="9" t="s">
        <v>1866</v>
      </c>
    </row>
    <row r="16" spans="1:41" s="20" customFormat="1" x14ac:dyDescent="0.3">
      <c r="A16" s="9" t="s">
        <v>4549</v>
      </c>
      <c r="B16" s="9">
        <v>279</v>
      </c>
      <c r="C16" s="9" t="str">
        <f>IF(Z16&lt;0, "Down", "Up")</f>
        <v>Down</v>
      </c>
      <c r="D16" s="34" t="str">
        <f>IF(AD16&lt;0.05, "Sig", "N")</f>
        <v>Sig</v>
      </c>
      <c r="E16" s="35" t="str">
        <f>IF(AND(J16&gt;2,L16&gt;2,N16&gt;2,P16&gt;2),"Y","N")</f>
        <v>Y</v>
      </c>
      <c r="F16" s="35" t="str">
        <f>IF(AND(R16&gt;2,T16&gt;2,V16&gt;2,X16&gt;2),"Y","N")</f>
        <v>N</v>
      </c>
      <c r="G16" s="34" t="str">
        <f>IF(AVERAGE(J16,L16,N16,P16) &gt; AVERAGE(R16,T16,V16,X16), "Smaller", IF(AVERAGE(J16,L16,N16,P16) &lt; AVERAGE(R16,T16,V16,X16), "Larger", "Equal"))</f>
        <v>Smaller</v>
      </c>
      <c r="H16" s="35" t="str">
        <f>IF(OR(E16="Y", F16="Y"), "Expressed", "N")</f>
        <v>Expressed</v>
      </c>
      <c r="I16" s="9">
        <v>322</v>
      </c>
      <c r="J16" s="9">
        <v>21.28442602258071</v>
      </c>
      <c r="K16" s="9">
        <v>476</v>
      </c>
      <c r="L16" s="9">
        <v>17.63383838012706</v>
      </c>
      <c r="M16" s="9">
        <v>99</v>
      </c>
      <c r="N16" s="9">
        <v>3.340324559757097</v>
      </c>
      <c r="O16" s="9">
        <v>59</v>
      </c>
      <c r="P16" s="9">
        <v>5.5814214993699398</v>
      </c>
      <c r="Q16" s="9">
        <v>46</v>
      </c>
      <c r="R16" s="9">
        <v>4.0931603079655314</v>
      </c>
      <c r="S16" s="9">
        <v>56</v>
      </c>
      <c r="T16" s="9">
        <v>3.2652847176032771</v>
      </c>
      <c r="U16" s="9">
        <v>14</v>
      </c>
      <c r="V16" s="9">
        <v>1.943718941630886</v>
      </c>
      <c r="W16" s="9">
        <v>47</v>
      </c>
      <c r="X16" s="9">
        <v>1.8883576980469221</v>
      </c>
      <c r="Y16" s="9">
        <v>117.2575379927586</v>
      </c>
      <c r="Z16" s="9">
        <v>-2.0084334582530259</v>
      </c>
      <c r="AA16" s="9">
        <v>0.54239529339176218</v>
      </c>
      <c r="AB16" s="9">
        <v>-3.7028961768707149</v>
      </c>
      <c r="AC16" s="9">
        <v>2.131521288739766E-4</v>
      </c>
      <c r="AD16" s="9">
        <v>3.5362377669118233E-2</v>
      </c>
      <c r="AE16" s="9" t="s">
        <v>4550</v>
      </c>
      <c r="AF16" s="9" t="s">
        <v>4551</v>
      </c>
      <c r="AG16" s="9" t="s">
        <v>43</v>
      </c>
      <c r="AH16" s="9" t="s">
        <v>43</v>
      </c>
      <c r="AI16" s="9" t="s">
        <v>43</v>
      </c>
      <c r="AJ16" s="9" t="s">
        <v>43</v>
      </c>
      <c r="AK16" s="9" t="s">
        <v>43</v>
      </c>
      <c r="AL16" s="9" t="s">
        <v>43</v>
      </c>
      <c r="AM16" s="9" t="s">
        <v>43</v>
      </c>
      <c r="AN16" s="9" t="s">
        <v>43</v>
      </c>
      <c r="AO16" s="9" t="s">
        <v>43</v>
      </c>
    </row>
    <row r="17" spans="1:41" s="20" customFormat="1" x14ac:dyDescent="0.3">
      <c r="A17" s="9" t="s">
        <v>3406</v>
      </c>
      <c r="B17" s="9">
        <v>1707</v>
      </c>
      <c r="C17" s="9" t="str">
        <f>IF(Z17&lt;0, "Down", "Up")</f>
        <v>Down</v>
      </c>
      <c r="D17" s="34" t="str">
        <f>IF(AD17&lt;0.05, "Sig", "N")</f>
        <v>Sig</v>
      </c>
      <c r="E17" s="35" t="str">
        <f>IF(AND(J17&gt;2,L17&gt;2,N17&gt;2,P17&gt;2),"Y","N")</f>
        <v>Y</v>
      </c>
      <c r="F17" s="35" t="str">
        <f>IF(AND(R17&gt;2,T17&gt;2,V17&gt;2,X17&gt;2),"Y","N")</f>
        <v>Y</v>
      </c>
      <c r="G17" s="34" t="str">
        <f>IF(AVERAGE(J17,L17,N17,P17) &gt; AVERAGE(R17,T17,V17,X17), "Smaller", IF(AVERAGE(J17,L17,N17,P17) &lt; AVERAGE(R17,T17,V17,X17), "Larger", "Equal"))</f>
        <v>Smaller</v>
      </c>
      <c r="H17" s="35" t="str">
        <f>IF(OR(E17="Y", F17="Y"), "Expressed", "N")</f>
        <v>Expressed</v>
      </c>
      <c r="I17" s="9">
        <v>1135</v>
      </c>
      <c r="J17" s="9">
        <v>12.26231914338933</v>
      </c>
      <c r="K17" s="9">
        <v>4122</v>
      </c>
      <c r="L17" s="9">
        <v>24.958505293335602</v>
      </c>
      <c r="M17" s="9">
        <v>5660</v>
      </c>
      <c r="N17" s="9">
        <v>31.21336460856261</v>
      </c>
      <c r="O17" s="9">
        <v>1597</v>
      </c>
      <c r="P17" s="9">
        <v>24.692690194153371</v>
      </c>
      <c r="Q17" s="9">
        <v>362</v>
      </c>
      <c r="R17" s="9">
        <v>5.2647793584460736</v>
      </c>
      <c r="S17" s="9">
        <v>587</v>
      </c>
      <c r="T17" s="9">
        <v>5.5942492473851519</v>
      </c>
      <c r="U17" s="9">
        <v>583</v>
      </c>
      <c r="V17" s="9">
        <v>13.229537697248929</v>
      </c>
      <c r="W17" s="9">
        <v>910</v>
      </c>
      <c r="X17" s="9">
        <v>5.9758333764241476</v>
      </c>
      <c r="Y17" s="9">
        <v>1459.3711659554231</v>
      </c>
      <c r="Z17" s="9">
        <v>-1.5016467924205259</v>
      </c>
      <c r="AA17" s="9">
        <v>0.31139495570488362</v>
      </c>
      <c r="AB17" s="9">
        <v>-4.8223221504065474</v>
      </c>
      <c r="AC17" s="9">
        <v>1.4189653047127469E-6</v>
      </c>
      <c r="AD17" s="9">
        <v>1.201826271899468E-3</v>
      </c>
      <c r="AE17" s="9" t="s">
        <v>3407</v>
      </c>
      <c r="AF17" s="9" t="s">
        <v>3408</v>
      </c>
      <c r="AG17" s="9" t="s">
        <v>3409</v>
      </c>
      <c r="AH17" s="9" t="s">
        <v>3410</v>
      </c>
      <c r="AI17" s="9" t="s">
        <v>43</v>
      </c>
      <c r="AJ17" s="9" t="s">
        <v>43</v>
      </c>
      <c r="AK17" s="9" t="s">
        <v>43</v>
      </c>
      <c r="AL17" s="9" t="s">
        <v>43</v>
      </c>
      <c r="AM17" s="9" t="s">
        <v>43</v>
      </c>
      <c r="AN17" s="9" t="s">
        <v>3185</v>
      </c>
      <c r="AO17" s="9" t="s">
        <v>43</v>
      </c>
    </row>
    <row r="18" spans="1:41" s="20" customFormat="1" x14ac:dyDescent="0.3">
      <c r="A18" s="9" t="s">
        <v>4552</v>
      </c>
      <c r="B18" s="9">
        <v>1487</v>
      </c>
      <c r="C18" s="9" t="str">
        <f>IF(Z18&lt;0, "Down", "Up")</f>
        <v>Down</v>
      </c>
      <c r="D18" s="34" t="str">
        <f>IF(AD18&lt;0.05, "Sig", "N")</f>
        <v>Sig</v>
      </c>
      <c r="E18" s="35" t="str">
        <f>IF(AND(J18&gt;2,L18&gt;2,N18&gt;2,P18&gt;2),"Y","N")</f>
        <v>Y</v>
      </c>
      <c r="F18" s="35" t="str">
        <f>IF(AND(R18&gt;2,T18&gt;2,V18&gt;2,X18&gt;2),"Y","N")</f>
        <v>Y</v>
      </c>
      <c r="G18" s="34" t="str">
        <f>IF(AVERAGE(J18,L18,N18,P18) &gt; AVERAGE(R18,T18,V18,X18), "Smaller", IF(AVERAGE(J18,L18,N18,P18) &lt; AVERAGE(R18,T18,V18,X18), "Larger", "Equal"))</f>
        <v>Smaller</v>
      </c>
      <c r="H18" s="35" t="str">
        <f>IF(OR(E18="Y", F18="Y"), "Expressed", "N")</f>
        <v>Expressed</v>
      </c>
      <c r="I18" s="9">
        <v>2297</v>
      </c>
      <c r="J18" s="9">
        <v>28.487891152115729</v>
      </c>
      <c r="K18" s="9">
        <v>3247</v>
      </c>
      <c r="L18" s="9">
        <v>22.56916162548254</v>
      </c>
      <c r="M18" s="9">
        <v>3837</v>
      </c>
      <c r="N18" s="9">
        <v>24.29061474655666</v>
      </c>
      <c r="O18" s="9">
        <v>1562</v>
      </c>
      <c r="P18" s="9">
        <v>27.72471392272487</v>
      </c>
      <c r="Q18" s="9">
        <v>784</v>
      </c>
      <c r="R18" s="9">
        <v>13.08911308328921</v>
      </c>
      <c r="S18" s="9">
        <v>1648</v>
      </c>
      <c r="T18" s="9">
        <v>18.029491196035231</v>
      </c>
      <c r="U18" s="9">
        <v>656</v>
      </c>
      <c r="V18" s="9">
        <v>17.08844344187969</v>
      </c>
      <c r="W18" s="9">
        <v>1820</v>
      </c>
      <c r="X18" s="9">
        <v>13.719902587163441</v>
      </c>
      <c r="Y18" s="9">
        <v>1748.8828279978211</v>
      </c>
      <c r="Z18" s="9">
        <v>-0.61224365124752145</v>
      </c>
      <c r="AA18" s="9">
        <v>0.16706978195019259</v>
      </c>
      <c r="AB18" s="9">
        <v>-3.664598373810326</v>
      </c>
      <c r="AC18" s="9">
        <v>2.4772701153649338E-4</v>
      </c>
      <c r="AD18" s="9">
        <v>3.9865469331510209E-2</v>
      </c>
      <c r="AE18" s="9" t="s">
        <v>4553</v>
      </c>
      <c r="AF18" s="9" t="s">
        <v>4554</v>
      </c>
      <c r="AG18" s="9" t="s">
        <v>4555</v>
      </c>
      <c r="AH18" s="9" t="s">
        <v>4556</v>
      </c>
      <c r="AI18" s="9" t="s">
        <v>43</v>
      </c>
      <c r="AJ18" s="9" t="s">
        <v>43</v>
      </c>
      <c r="AK18" s="9" t="s">
        <v>43</v>
      </c>
      <c r="AL18" s="9" t="s">
        <v>43</v>
      </c>
      <c r="AM18" s="9" t="s">
        <v>43</v>
      </c>
      <c r="AN18" s="9" t="s">
        <v>4557</v>
      </c>
      <c r="AO18" s="9" t="s">
        <v>43</v>
      </c>
    </row>
    <row r="19" spans="1:41" s="20" customFormat="1" x14ac:dyDescent="0.3">
      <c r="A19" s="9" t="s">
        <v>4558</v>
      </c>
      <c r="B19" s="9">
        <v>2041</v>
      </c>
      <c r="C19" s="9" t="str">
        <f>IF(Z19&lt;0, "Down", "Up")</f>
        <v>Down</v>
      </c>
      <c r="D19" s="34" t="str">
        <f>IF(AD19&lt;0.05, "Sig", "N")</f>
        <v>Sig</v>
      </c>
      <c r="E19" s="35" t="str">
        <f>IF(AND(J19&gt;2,L19&gt;2,N19&gt;2,P19&gt;2),"Y","N")</f>
        <v>N</v>
      </c>
      <c r="F19" s="35" t="str">
        <f>IF(AND(R19&gt;2,T19&gt;2,V19&gt;2,X19&gt;2),"Y","N")</f>
        <v>Y</v>
      </c>
      <c r="G19" s="34" t="str">
        <f>IF(AVERAGE(J19,L19,N19,P19) &gt; AVERAGE(R19,T19,V19,X19), "Smaller", IF(AVERAGE(J19,L19,N19,P19) &lt; AVERAGE(R19,T19,V19,X19), "Larger", "Equal"))</f>
        <v>Smaller</v>
      </c>
      <c r="H19" s="35" t="str">
        <f>IF(OR(E19="Y", F19="Y"), "Expressed", "N")</f>
        <v>Expressed</v>
      </c>
      <c r="I19" s="9">
        <v>967</v>
      </c>
      <c r="J19" s="9">
        <v>8.7376318847327266</v>
      </c>
      <c r="K19" s="9">
        <v>429</v>
      </c>
      <c r="L19" s="9">
        <v>2.1724930413454731</v>
      </c>
      <c r="M19" s="9">
        <v>325</v>
      </c>
      <c r="N19" s="9">
        <v>1.498987570244209</v>
      </c>
      <c r="O19" s="9">
        <v>186</v>
      </c>
      <c r="P19" s="9">
        <v>2.4052872660319689</v>
      </c>
      <c r="Q19" s="9">
        <v>261</v>
      </c>
      <c r="R19" s="9">
        <v>3.1746995341770021</v>
      </c>
      <c r="S19" s="9">
        <v>303</v>
      </c>
      <c r="T19" s="9">
        <v>2.4151096641354739</v>
      </c>
      <c r="U19" s="9">
        <v>121</v>
      </c>
      <c r="V19" s="9">
        <v>2.296423593144715</v>
      </c>
      <c r="W19" s="9">
        <v>806</v>
      </c>
      <c r="X19" s="9">
        <v>4.4267260415795713</v>
      </c>
      <c r="Y19" s="9">
        <v>407.01679242218643</v>
      </c>
      <c r="Z19" s="9">
        <v>-0.18314802626258639</v>
      </c>
      <c r="AA19" s="9">
        <v>0.65932464407292446</v>
      </c>
      <c r="AB19" s="9">
        <v>-0.27778125375566781</v>
      </c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</row>
    <row r="20" spans="1:41" s="20" customFormat="1" x14ac:dyDescent="0.3">
      <c r="A20" s="9" t="s">
        <v>172</v>
      </c>
      <c r="B20" s="9">
        <v>1640</v>
      </c>
      <c r="C20" s="9" t="str">
        <f>IF(Z20&lt;0, "Down", "Up")</f>
        <v>Down</v>
      </c>
      <c r="D20" s="34" t="str">
        <f>IF(AD20&lt;0.05, "Sig", "N")</f>
        <v>Sig</v>
      </c>
      <c r="E20" s="35" t="str">
        <f>IF(AND(J20&gt;2,L20&gt;2,N20&gt;2,P20&gt;2),"Y","N")</f>
        <v>Y</v>
      </c>
      <c r="F20" s="35" t="str">
        <f>IF(AND(R20&gt;2,T20&gt;2,V20&gt;2,X20&gt;2),"Y","N")</f>
        <v>Y</v>
      </c>
      <c r="G20" s="34" t="str">
        <f>IF(AVERAGE(J20,L20,N20,P20) &gt; AVERAGE(R20,T20,V20,X20), "Smaller", IF(AVERAGE(J20,L20,N20,P20) &lt; AVERAGE(R20,T20,V20,X20), "Larger", "Equal"))</f>
        <v>Smaller</v>
      </c>
      <c r="H20" s="35" t="str">
        <f>IF(OR(E20="Y", F20="Y"), "Expressed", "N")</f>
        <v>Expressed</v>
      </c>
      <c r="I20" s="9">
        <v>998</v>
      </c>
      <c r="J20" s="9">
        <v>11.222690029123269</v>
      </c>
      <c r="K20" s="9">
        <v>1173</v>
      </c>
      <c r="L20" s="9">
        <v>7.3926180891948183</v>
      </c>
      <c r="M20" s="9">
        <v>4370</v>
      </c>
      <c r="N20" s="9">
        <v>25.083911757776821</v>
      </c>
      <c r="O20" s="9">
        <v>617</v>
      </c>
      <c r="P20" s="9">
        <v>9.9297503220963161</v>
      </c>
      <c r="Q20" s="9">
        <v>273</v>
      </c>
      <c r="R20" s="9">
        <v>4.1326052648039573</v>
      </c>
      <c r="S20" s="9">
        <v>367</v>
      </c>
      <c r="T20" s="9">
        <v>3.6404866952259609</v>
      </c>
      <c r="U20" s="9">
        <v>319</v>
      </c>
      <c r="V20" s="9">
        <v>7.5345352580178782</v>
      </c>
      <c r="W20" s="9">
        <v>605</v>
      </c>
      <c r="X20" s="9">
        <v>4.1352534722603824</v>
      </c>
      <c r="Y20" s="9">
        <v>839.67640876327403</v>
      </c>
      <c r="Z20" s="9">
        <v>-1.346355422917372</v>
      </c>
      <c r="AA20" s="9">
        <v>0.34986398150520132</v>
      </c>
      <c r="AB20" s="9">
        <v>-3.848225293512689</v>
      </c>
      <c r="AC20" s="9">
        <v>1.189766127448779E-4</v>
      </c>
      <c r="AD20" s="9">
        <v>2.3637421488851212E-2</v>
      </c>
      <c r="AE20" s="9" t="s">
        <v>173</v>
      </c>
      <c r="AF20" s="9" t="s">
        <v>174</v>
      </c>
      <c r="AG20" s="9" t="s">
        <v>175</v>
      </c>
      <c r="AH20" s="9" t="s">
        <v>176</v>
      </c>
      <c r="AI20" s="9" t="s">
        <v>43</v>
      </c>
      <c r="AJ20" s="9" t="s">
        <v>43</v>
      </c>
      <c r="AK20" s="9" t="s">
        <v>43</v>
      </c>
      <c r="AL20" s="9" t="s">
        <v>43</v>
      </c>
      <c r="AM20" s="9" t="s">
        <v>43</v>
      </c>
      <c r="AN20" s="9" t="s">
        <v>177</v>
      </c>
      <c r="AO20" s="9" t="s">
        <v>43</v>
      </c>
    </row>
    <row r="21" spans="1:41" s="20" customFormat="1" x14ac:dyDescent="0.3">
      <c r="A21" s="9" t="s">
        <v>4559</v>
      </c>
      <c r="B21" s="9">
        <v>756</v>
      </c>
      <c r="C21" s="9" t="str">
        <f>IF(Z21&lt;0, "Down", "Up")</f>
        <v>Down</v>
      </c>
      <c r="D21" s="34" t="str">
        <f>IF(AD21&lt;0.05, "Sig", "N")</f>
        <v>Sig</v>
      </c>
      <c r="E21" s="35" t="str">
        <f>IF(AND(J21&gt;2,L21&gt;2,N21&gt;2,P21&gt;2),"Y","N")</f>
        <v>Y</v>
      </c>
      <c r="F21" s="35" t="str">
        <f>IF(AND(R21&gt;2,T21&gt;2,V21&gt;2,X21&gt;2),"Y","N")</f>
        <v>Y</v>
      </c>
      <c r="G21" s="34" t="str">
        <f>IF(AVERAGE(J21,L21,N21,P21) &gt; AVERAGE(R21,T21,V21,X21), "Smaller", IF(AVERAGE(J21,L21,N21,P21) &lt; AVERAGE(R21,T21,V21,X21), "Larger", "Equal"))</f>
        <v>Smaller</v>
      </c>
      <c r="H21" s="35" t="str">
        <f>IF(OR(E21="Y", F21="Y"), "Expressed", "N")</f>
        <v>Expressed</v>
      </c>
      <c r="I21" s="9">
        <v>454</v>
      </c>
      <c r="J21" s="9">
        <v>11.075015226331001</v>
      </c>
      <c r="K21" s="9">
        <v>1142</v>
      </c>
      <c r="L21" s="9">
        <v>15.61307388788661</v>
      </c>
      <c r="M21" s="9">
        <v>944</v>
      </c>
      <c r="N21" s="9">
        <v>11.7546005190875</v>
      </c>
      <c r="O21" s="9">
        <v>323</v>
      </c>
      <c r="P21" s="9">
        <v>11.276588674978051</v>
      </c>
      <c r="Q21" s="9">
        <v>126</v>
      </c>
      <c r="R21" s="9">
        <v>4.1376511808781986</v>
      </c>
      <c r="S21" s="9">
        <v>388</v>
      </c>
      <c r="T21" s="9">
        <v>8.3492441716267454</v>
      </c>
      <c r="U21" s="9">
        <v>87</v>
      </c>
      <c r="V21" s="9">
        <v>4.4576615523626693</v>
      </c>
      <c r="W21" s="9">
        <v>236</v>
      </c>
      <c r="X21" s="9">
        <v>3.4992970919228168</v>
      </c>
      <c r="Y21" s="9">
        <v>373.9157376308616</v>
      </c>
      <c r="Z21" s="9">
        <v>-1.1446817535770879</v>
      </c>
      <c r="AA21" s="9">
        <v>0.27464573883549243</v>
      </c>
      <c r="AB21" s="9">
        <v>-4.1678482194210593</v>
      </c>
      <c r="AC21" s="9">
        <v>3.074885618742489E-5</v>
      </c>
      <c r="AD21" s="9">
        <v>1.0466712885185921E-2</v>
      </c>
      <c r="AE21" s="9" t="s">
        <v>4560</v>
      </c>
      <c r="AF21" s="9" t="s">
        <v>4561</v>
      </c>
      <c r="AG21" s="9" t="s">
        <v>3434</v>
      </c>
      <c r="AH21" s="9" t="s">
        <v>4562</v>
      </c>
      <c r="AI21" s="9" t="s">
        <v>43</v>
      </c>
      <c r="AJ21" s="9" t="s">
        <v>43</v>
      </c>
      <c r="AK21" s="9" t="s">
        <v>43</v>
      </c>
      <c r="AL21" s="9" t="s">
        <v>43</v>
      </c>
      <c r="AM21" s="9" t="s">
        <v>43</v>
      </c>
      <c r="AN21" s="9" t="s">
        <v>4563</v>
      </c>
      <c r="AO21" s="9" t="s">
        <v>43</v>
      </c>
    </row>
    <row r="22" spans="1:41" s="20" customFormat="1" x14ac:dyDescent="0.3">
      <c r="A22" s="9" t="s">
        <v>4564</v>
      </c>
      <c r="B22" s="9">
        <v>1890</v>
      </c>
      <c r="C22" s="9" t="str">
        <f>IF(Z22&lt;0, "Down", "Up")</f>
        <v>Down</v>
      </c>
      <c r="D22" s="34" t="str">
        <f>IF(AD22&lt;0.05, "Sig", "N")</f>
        <v>Sig</v>
      </c>
      <c r="E22" s="35" t="str">
        <f>IF(AND(J22&gt;2,L22&gt;2,N22&gt;2,P22&gt;2),"Y","N")</f>
        <v>Y</v>
      </c>
      <c r="F22" s="35" t="str">
        <f>IF(AND(R22&gt;2,T22&gt;2,V22&gt;2,X22&gt;2),"Y","N")</f>
        <v>Y</v>
      </c>
      <c r="G22" s="34" t="str">
        <f>IF(AVERAGE(J22,L22,N22,P22) &gt; AVERAGE(R22,T22,V22,X22), "Smaller", IF(AVERAGE(J22,L22,N22,P22) &lt; AVERAGE(R22,T22,V22,X22), "Larger", "Equal"))</f>
        <v>Smaller</v>
      </c>
      <c r="H22" s="35" t="str">
        <f>IF(OR(E22="Y", F22="Y"), "Expressed", "N")</f>
        <v>Expressed</v>
      </c>
      <c r="I22" s="9">
        <v>644</v>
      </c>
      <c r="J22" s="9">
        <v>6.2839733971428764</v>
      </c>
      <c r="K22" s="9">
        <v>989</v>
      </c>
      <c r="L22" s="9">
        <v>5.4085219177302477</v>
      </c>
      <c r="M22" s="9">
        <v>1095</v>
      </c>
      <c r="N22" s="9">
        <v>5.4539354103393283</v>
      </c>
      <c r="O22" s="9">
        <v>355</v>
      </c>
      <c r="P22" s="9">
        <v>4.9575095722813716</v>
      </c>
      <c r="Q22" s="9">
        <v>250</v>
      </c>
      <c r="R22" s="9">
        <v>3.283850143554127</v>
      </c>
      <c r="S22" s="9">
        <v>254</v>
      </c>
      <c r="T22" s="9">
        <v>2.1862969274156629</v>
      </c>
      <c r="U22" s="9">
        <v>210</v>
      </c>
      <c r="V22" s="9">
        <v>4.303949085039819</v>
      </c>
      <c r="W22" s="9">
        <v>386</v>
      </c>
      <c r="X22" s="9">
        <v>2.2893706398003508</v>
      </c>
      <c r="Y22" s="9">
        <v>457.84127576219191</v>
      </c>
      <c r="Z22" s="9">
        <v>-0.78101078144381675</v>
      </c>
      <c r="AA22" s="9">
        <v>0.2175322793326552</v>
      </c>
      <c r="AB22" s="9">
        <v>-3.5903213253674302</v>
      </c>
      <c r="AC22" s="9">
        <v>3.3027056311168328E-4</v>
      </c>
      <c r="AD22" s="9">
        <v>4.7513004039530529E-2</v>
      </c>
      <c r="AE22" s="9" t="s">
        <v>4565</v>
      </c>
      <c r="AF22" s="9" t="s">
        <v>4566</v>
      </c>
      <c r="AG22" s="9" t="s">
        <v>4567</v>
      </c>
      <c r="AH22" s="9" t="s">
        <v>2192</v>
      </c>
      <c r="AI22" s="9" t="s">
        <v>43</v>
      </c>
      <c r="AJ22" s="9" t="s">
        <v>43</v>
      </c>
      <c r="AK22" s="9" t="s">
        <v>43</v>
      </c>
      <c r="AL22" s="9" t="s">
        <v>43</v>
      </c>
      <c r="AM22" s="9" t="s">
        <v>43</v>
      </c>
      <c r="AN22" s="9" t="s">
        <v>130</v>
      </c>
      <c r="AO22" s="9" t="s">
        <v>43</v>
      </c>
    </row>
    <row r="23" spans="1:41" s="20" customFormat="1" x14ac:dyDescent="0.3">
      <c r="A23" s="9" t="s">
        <v>4568</v>
      </c>
      <c r="B23" s="9">
        <v>1539</v>
      </c>
      <c r="C23" s="9" t="str">
        <f>IF(Z23&lt;0, "Down", "Up")</f>
        <v>Down</v>
      </c>
      <c r="D23" s="34" t="str">
        <f>IF(AD23&lt;0.05, "Sig", "N")</f>
        <v>Sig</v>
      </c>
      <c r="E23" s="35" t="str">
        <f>IF(AND(J23&gt;2,L23&gt;2,N23&gt;2,P23&gt;2),"Y","N")</f>
        <v>N</v>
      </c>
      <c r="F23" s="35" t="str">
        <f>IF(AND(R23&gt;2,T23&gt;2,V23&gt;2,X23&gt;2),"Y","N")</f>
        <v>Y</v>
      </c>
      <c r="G23" s="34" t="str">
        <f>IF(AVERAGE(J23,L23,N23,P23) &gt; AVERAGE(R23,T23,V23,X23), "Smaller", IF(AVERAGE(J23,L23,N23,P23) &lt; AVERAGE(R23,T23,V23,X23), "Larger", "Equal"))</f>
        <v>Smaller</v>
      </c>
      <c r="H23" s="35" t="str">
        <f>IF(OR(E23="Y", F23="Y"), "Expressed", "N")</f>
        <v>Expressed</v>
      </c>
      <c r="I23" s="9">
        <v>5093</v>
      </c>
      <c r="J23" s="9">
        <v>61.030275575226291</v>
      </c>
      <c r="K23" s="9">
        <v>180</v>
      </c>
      <c r="L23" s="9">
        <v>1.2088655236265791</v>
      </c>
      <c r="M23" s="9">
        <v>184</v>
      </c>
      <c r="N23" s="9">
        <v>1.1254776589789399</v>
      </c>
      <c r="O23" s="9">
        <v>133</v>
      </c>
      <c r="P23" s="9">
        <v>2.2809198971059832</v>
      </c>
      <c r="Q23" s="9">
        <v>607</v>
      </c>
      <c r="R23" s="9">
        <v>9.7916345683940236</v>
      </c>
      <c r="S23" s="9">
        <v>608</v>
      </c>
      <c r="T23" s="9">
        <v>6.426909602901687</v>
      </c>
      <c r="U23" s="9">
        <v>223</v>
      </c>
      <c r="V23" s="9">
        <v>5.6127523155782439</v>
      </c>
      <c r="W23" s="9">
        <v>2693</v>
      </c>
      <c r="X23" s="9">
        <v>19.61500133209546</v>
      </c>
      <c r="Y23" s="9">
        <v>1240.803788685922</v>
      </c>
      <c r="Z23" s="9">
        <v>-0.62329018310452289</v>
      </c>
      <c r="AA23" s="9">
        <v>1.341294451850866</v>
      </c>
      <c r="AB23" s="9">
        <v>-0.46469303011314073</v>
      </c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</row>
    <row r="24" spans="1:41" s="20" customFormat="1" x14ac:dyDescent="0.3">
      <c r="A24" s="9" t="s">
        <v>4569</v>
      </c>
      <c r="B24" s="9">
        <v>982</v>
      </c>
      <c r="C24" s="9" t="str">
        <f>IF(Z24&lt;0, "Down", "Up")</f>
        <v>Down</v>
      </c>
      <c r="D24" s="34" t="str">
        <f>IF(AD24&lt;0.05, "Sig", "N")</f>
        <v>Sig</v>
      </c>
      <c r="E24" s="35" t="str">
        <f>IF(AND(J24&gt;2,L24&gt;2,N24&gt;2,P24&gt;2),"Y","N")</f>
        <v>Y</v>
      </c>
      <c r="F24" s="35" t="str">
        <f>IF(AND(R24&gt;2,T24&gt;2,V24&gt;2,X24&gt;2),"Y","N")</f>
        <v>N</v>
      </c>
      <c r="G24" s="34" t="str">
        <f>IF(AVERAGE(J24,L24,N24,P24) &gt; AVERAGE(R24,T24,V24,X24), "Smaller", IF(AVERAGE(J24,L24,N24,P24) &lt; AVERAGE(R24,T24,V24,X24), "Larger", "Equal"))</f>
        <v>Smaller</v>
      </c>
      <c r="H24" s="35" t="str">
        <f>IF(OR(E24="Y", F24="Y"), "Expressed", "N")</f>
        <v>Expressed</v>
      </c>
      <c r="I24" s="9">
        <v>531</v>
      </c>
      <c r="J24" s="9">
        <v>9.9722534528953126</v>
      </c>
      <c r="K24" s="9">
        <v>640</v>
      </c>
      <c r="L24" s="9">
        <v>6.7361630807379207</v>
      </c>
      <c r="M24" s="9">
        <v>391</v>
      </c>
      <c r="N24" s="9">
        <v>3.748201628292517</v>
      </c>
      <c r="O24" s="9">
        <v>188</v>
      </c>
      <c r="P24" s="9">
        <v>5.0529310726112753</v>
      </c>
      <c r="Q24" s="9">
        <v>91</v>
      </c>
      <c r="R24" s="9">
        <v>2.300567764520872</v>
      </c>
      <c r="S24" s="9">
        <v>83</v>
      </c>
      <c r="T24" s="9">
        <v>1.3750036042613301</v>
      </c>
      <c r="U24" s="9">
        <v>22</v>
      </c>
      <c r="V24" s="9">
        <v>0.86780236134204092</v>
      </c>
      <c r="W24" s="9">
        <v>190</v>
      </c>
      <c r="X24" s="9">
        <v>2.1688660045384438</v>
      </c>
      <c r="Y24" s="9">
        <v>225.0024002227814</v>
      </c>
      <c r="Z24" s="9">
        <v>-1.8002130344798191</v>
      </c>
      <c r="AA24" s="9">
        <v>0.38004810411358902</v>
      </c>
      <c r="AB24" s="9">
        <v>-4.7368030914890991</v>
      </c>
      <c r="AC24" s="9">
        <v>2.1711593305617511E-6</v>
      </c>
      <c r="AD24" s="9">
        <v>1.6436099536337231E-3</v>
      </c>
      <c r="AE24" s="9" t="s">
        <v>4570</v>
      </c>
      <c r="AF24" s="9" t="s">
        <v>4571</v>
      </c>
      <c r="AG24" s="9" t="s">
        <v>4572</v>
      </c>
      <c r="AH24" s="9" t="s">
        <v>4573</v>
      </c>
      <c r="AI24" s="9" t="s">
        <v>43</v>
      </c>
      <c r="AJ24" s="9" t="s">
        <v>43</v>
      </c>
      <c r="AK24" s="9" t="s">
        <v>43</v>
      </c>
      <c r="AL24" s="9" t="s">
        <v>43</v>
      </c>
      <c r="AM24" s="9" t="s">
        <v>43</v>
      </c>
      <c r="AN24" s="9" t="s">
        <v>3644</v>
      </c>
      <c r="AO24" s="9" t="s">
        <v>43</v>
      </c>
    </row>
    <row r="25" spans="1:41" s="20" customFormat="1" x14ac:dyDescent="0.3">
      <c r="A25" s="9" t="s">
        <v>4574</v>
      </c>
      <c r="B25" s="9">
        <v>2293</v>
      </c>
      <c r="C25" s="9" t="str">
        <f>IF(Z25&lt;0, "Down", "Up")</f>
        <v>Down</v>
      </c>
      <c r="D25" s="34" t="str">
        <f>IF(AD25&lt;0.05, "Sig", "N")</f>
        <v>Sig</v>
      </c>
      <c r="E25" s="35" t="str">
        <f>IF(AND(J25&gt;2,L25&gt;2,N25&gt;2,P25&gt;2),"Y","N")</f>
        <v>Y</v>
      </c>
      <c r="F25" s="35" t="str">
        <f>IF(AND(R25&gt;2,T25&gt;2,V25&gt;2,X25&gt;2),"Y","N")</f>
        <v>Y</v>
      </c>
      <c r="G25" s="34" t="str">
        <f>IF(AVERAGE(J25,L25,N25,P25) &gt; AVERAGE(R25,T25,V25,X25), "Smaller", IF(AVERAGE(J25,L25,N25,P25) &lt; AVERAGE(R25,T25,V25,X25), "Larger", "Equal"))</f>
        <v>Smaller</v>
      </c>
      <c r="H25" s="35" t="str">
        <f>IF(OR(E25="Y", F25="Y"), "Expressed", "N")</f>
        <v>Expressed</v>
      </c>
      <c r="I25" s="9">
        <v>520</v>
      </c>
      <c r="J25" s="9">
        <v>4.1822458946835344</v>
      </c>
      <c r="K25" s="9">
        <v>785</v>
      </c>
      <c r="L25" s="9">
        <v>3.5384226682078892</v>
      </c>
      <c r="M25" s="9">
        <v>906</v>
      </c>
      <c r="N25" s="9">
        <v>3.7194764930951041</v>
      </c>
      <c r="O25" s="9">
        <v>491</v>
      </c>
      <c r="P25" s="9">
        <v>5.651639475908171</v>
      </c>
      <c r="Q25" s="9">
        <v>214</v>
      </c>
      <c r="R25" s="9">
        <v>2.3169403036404739</v>
      </c>
      <c r="S25" s="9">
        <v>328</v>
      </c>
      <c r="T25" s="9">
        <v>2.3270569986084282</v>
      </c>
      <c r="U25" s="9">
        <v>132</v>
      </c>
      <c r="V25" s="9">
        <v>2.229869826876278</v>
      </c>
      <c r="W25" s="9">
        <v>471</v>
      </c>
      <c r="X25" s="9">
        <v>2.3025414698077218</v>
      </c>
      <c r="Y25" s="9">
        <v>427.45554582476342</v>
      </c>
      <c r="Z25" s="9">
        <v>-0.75844255484150336</v>
      </c>
      <c r="AA25" s="9">
        <v>0.18388126364732249</v>
      </c>
      <c r="AB25" s="9">
        <v>-4.1246320576530753</v>
      </c>
      <c r="AC25" s="9">
        <v>3.7132789174888039E-5</v>
      </c>
      <c r="AD25" s="9">
        <v>1.1679767083051721E-2</v>
      </c>
      <c r="AE25" s="9" t="s">
        <v>4575</v>
      </c>
      <c r="AF25" s="9" t="s">
        <v>4576</v>
      </c>
      <c r="AG25" s="9" t="s">
        <v>4577</v>
      </c>
      <c r="AH25" s="9" t="s">
        <v>4578</v>
      </c>
      <c r="AI25" s="9" t="s">
        <v>43</v>
      </c>
      <c r="AJ25" s="9" t="s">
        <v>43</v>
      </c>
      <c r="AK25" s="9" t="s">
        <v>43</v>
      </c>
      <c r="AL25" s="9" t="s">
        <v>43</v>
      </c>
      <c r="AM25" s="9" t="s">
        <v>43</v>
      </c>
      <c r="AN25" s="9" t="s">
        <v>4579</v>
      </c>
      <c r="AO25" s="9" t="s">
        <v>43</v>
      </c>
    </row>
    <row r="26" spans="1:41" s="20" customFormat="1" x14ac:dyDescent="0.3">
      <c r="A26" s="9" t="s">
        <v>4580</v>
      </c>
      <c r="B26" s="9">
        <v>2741</v>
      </c>
      <c r="C26" s="9" t="str">
        <f>IF(Z26&lt;0, "Down", "Up")</f>
        <v>Down</v>
      </c>
      <c r="D26" s="34" t="str">
        <f>IF(AD26&lt;0.05, "Sig", "N")</f>
        <v>Sig</v>
      </c>
      <c r="E26" s="35" t="str">
        <f>IF(AND(J26&gt;2,L26&gt;2,N26&gt;2,P26&gt;2),"Y","N")</f>
        <v>Y</v>
      </c>
      <c r="F26" s="35" t="str">
        <f>IF(AND(R26&gt;2,T26&gt;2,V26&gt;2,X26&gt;2),"Y","N")</f>
        <v>N</v>
      </c>
      <c r="G26" s="34" t="str">
        <f>IF(AVERAGE(J26,L26,N26,P26) &gt; AVERAGE(R26,T26,V26,X26), "Smaller", IF(AVERAGE(J26,L26,N26,P26) &lt; AVERAGE(R26,T26,V26,X26), "Larger", "Equal"))</f>
        <v>Smaller</v>
      </c>
      <c r="H26" s="35" t="str">
        <f>IF(OR(E26="Y", F26="Y"), "Expressed", "N")</f>
        <v>Expressed</v>
      </c>
      <c r="I26" s="9">
        <v>561</v>
      </c>
      <c r="J26" s="9">
        <v>3.7745405931873139</v>
      </c>
      <c r="K26" s="9">
        <v>937</v>
      </c>
      <c r="L26" s="9">
        <v>3.533252394274276</v>
      </c>
      <c r="M26" s="9">
        <v>1424</v>
      </c>
      <c r="N26" s="9">
        <v>4.8905604247261207</v>
      </c>
      <c r="O26" s="9">
        <v>454</v>
      </c>
      <c r="P26" s="9">
        <v>4.3716343511844178</v>
      </c>
      <c r="Q26" s="9">
        <v>277</v>
      </c>
      <c r="R26" s="9">
        <v>2.5088567174825132</v>
      </c>
      <c r="S26" s="9">
        <v>241</v>
      </c>
      <c r="T26" s="9">
        <v>1.430359612803765</v>
      </c>
      <c r="U26" s="9">
        <v>152</v>
      </c>
      <c r="V26" s="9">
        <v>2.1480490143504101</v>
      </c>
      <c r="W26" s="9">
        <v>357</v>
      </c>
      <c r="X26" s="9">
        <v>1.4599896900383269</v>
      </c>
      <c r="Y26" s="9">
        <v>465.29240302538932</v>
      </c>
      <c r="Z26" s="9">
        <v>-1.027598707634384</v>
      </c>
      <c r="AA26" s="9">
        <v>0.19718667871530421</v>
      </c>
      <c r="AB26" s="9">
        <v>-5.2112988277368322</v>
      </c>
      <c r="AC26" s="9">
        <v>1.8752311366030839E-7</v>
      </c>
      <c r="AD26" s="9">
        <v>2.6241006144160981E-4</v>
      </c>
      <c r="AE26" s="9" t="s">
        <v>4581</v>
      </c>
      <c r="AF26" s="9" t="s">
        <v>4582</v>
      </c>
      <c r="AG26" s="9" t="s">
        <v>4583</v>
      </c>
      <c r="AH26" s="9" t="s">
        <v>4584</v>
      </c>
      <c r="AI26" s="9" t="s">
        <v>43</v>
      </c>
      <c r="AJ26" s="9" t="s">
        <v>43</v>
      </c>
      <c r="AK26" s="9" t="s">
        <v>43</v>
      </c>
      <c r="AL26" s="9" t="s">
        <v>43</v>
      </c>
      <c r="AM26" s="9" t="s">
        <v>43</v>
      </c>
      <c r="AN26" s="9" t="s">
        <v>4585</v>
      </c>
      <c r="AO26" s="9" t="s">
        <v>43</v>
      </c>
    </row>
    <row r="27" spans="1:41" s="20" customFormat="1" x14ac:dyDescent="0.3">
      <c r="A27" s="9" t="s">
        <v>4586</v>
      </c>
      <c r="B27" s="9">
        <v>2789</v>
      </c>
      <c r="C27" s="9" t="str">
        <f>IF(Z27&lt;0, "Down", "Up")</f>
        <v>Down</v>
      </c>
      <c r="D27" s="34" t="str">
        <f>IF(AD27&lt;0.05, "Sig", "N")</f>
        <v>Sig</v>
      </c>
      <c r="E27" s="35" t="str">
        <f>IF(AND(J27&gt;2,L27&gt;2,N27&gt;2,P27&gt;2),"Y","N")</f>
        <v>Y</v>
      </c>
      <c r="F27" s="35" t="str">
        <f>IF(AND(R27&gt;2,T27&gt;2,V27&gt;2,X27&gt;2),"Y","N")</f>
        <v>N</v>
      </c>
      <c r="G27" s="34" t="str">
        <f>IF(AVERAGE(J27,L27,N27,P27) &gt; AVERAGE(R27,T27,V27,X27), "Smaller", IF(AVERAGE(J27,L27,N27,P27) &lt; AVERAGE(R27,T27,V27,X27), "Larger", "Equal"))</f>
        <v>Smaller</v>
      </c>
      <c r="H27" s="35" t="str">
        <f>IF(OR(E27="Y", F27="Y"), "Expressed", "N")</f>
        <v>Expressed</v>
      </c>
      <c r="I27" s="9">
        <v>636</v>
      </c>
      <c r="J27" s="9">
        <v>4.2055119949388704</v>
      </c>
      <c r="K27" s="9">
        <v>1309</v>
      </c>
      <c r="L27" s="9">
        <v>4.8510442800833582</v>
      </c>
      <c r="M27" s="9">
        <v>2080</v>
      </c>
      <c r="N27" s="9">
        <v>7.0205719747429054</v>
      </c>
      <c r="O27" s="9">
        <v>604</v>
      </c>
      <c r="P27" s="9">
        <v>5.7159107230452859</v>
      </c>
      <c r="Q27" s="9">
        <v>217</v>
      </c>
      <c r="R27" s="9">
        <v>1.9315962128015109</v>
      </c>
      <c r="S27" s="9">
        <v>442</v>
      </c>
      <c r="T27" s="9">
        <v>2.5781666547495319</v>
      </c>
      <c r="U27" s="9">
        <v>217</v>
      </c>
      <c r="V27" s="9">
        <v>3.013844590563918</v>
      </c>
      <c r="W27" s="9">
        <v>776</v>
      </c>
      <c r="X27" s="9">
        <v>3.1189169843377922</v>
      </c>
      <c r="Y27" s="9">
        <v>639.1452948822706</v>
      </c>
      <c r="Z27" s="9">
        <v>-0.88916433547599605</v>
      </c>
      <c r="AA27" s="9">
        <v>0.2119337164715511</v>
      </c>
      <c r="AB27" s="9">
        <v>-4.1954831457662518</v>
      </c>
      <c r="AC27" s="9">
        <v>2.7229053506671919E-5</v>
      </c>
      <c r="AD27" s="9">
        <v>9.8468212035082662E-3</v>
      </c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</row>
    <row r="28" spans="1:41" s="20" customFormat="1" x14ac:dyDescent="0.3">
      <c r="A28" s="9" t="s">
        <v>1111</v>
      </c>
      <c r="B28" s="9">
        <v>1373</v>
      </c>
      <c r="C28" s="9" t="str">
        <f>IF(Z28&lt;0, "Down", "Up")</f>
        <v>Down</v>
      </c>
      <c r="D28" s="34" t="str">
        <f>IF(AD28&lt;0.05, "Sig", "N")</f>
        <v>Sig</v>
      </c>
      <c r="E28" s="35" t="str">
        <f>IF(AND(J28&gt;2,L28&gt;2,N28&gt;2,P28&gt;2),"Y","N")</f>
        <v>Y</v>
      </c>
      <c r="F28" s="35" t="str">
        <f>IF(AND(R28&gt;2,T28&gt;2,V28&gt;2,X28&gt;2),"Y","N")</f>
        <v>Y</v>
      </c>
      <c r="G28" s="34" t="str">
        <f>IF(AVERAGE(J28,L28,N28,P28) &gt; AVERAGE(R28,T28,V28,X28), "Smaller", IF(AVERAGE(J28,L28,N28,P28) &lt; AVERAGE(R28,T28,V28,X28), "Larger", "Equal"))</f>
        <v>Smaller</v>
      </c>
      <c r="H28" s="35" t="str">
        <f>IF(OR(E28="Y", F28="Y"), "Expressed", "N")</f>
        <v>Expressed</v>
      </c>
      <c r="I28" s="9">
        <v>7573</v>
      </c>
      <c r="J28" s="9">
        <v>101.7203144880459</v>
      </c>
      <c r="K28" s="9">
        <v>15046</v>
      </c>
      <c r="L28" s="9">
        <v>113.2647124658056</v>
      </c>
      <c r="M28" s="9">
        <v>18948</v>
      </c>
      <c r="N28" s="9">
        <v>129.91237254231621</v>
      </c>
      <c r="O28" s="9">
        <v>5683</v>
      </c>
      <c r="P28" s="9">
        <v>109.24564455264979</v>
      </c>
      <c r="Q28" s="9">
        <v>3367</v>
      </c>
      <c r="R28" s="9">
        <v>60.880429101311996</v>
      </c>
      <c r="S28" s="9">
        <v>4683</v>
      </c>
      <c r="T28" s="9">
        <v>55.486949911268127</v>
      </c>
      <c r="U28" s="9">
        <v>3115</v>
      </c>
      <c r="V28" s="9">
        <v>87.881436707277004</v>
      </c>
      <c r="W28" s="9">
        <v>8702</v>
      </c>
      <c r="X28" s="9">
        <v>71.045921248156759</v>
      </c>
      <c r="Y28" s="9">
        <v>7108.1904251258447</v>
      </c>
      <c r="Z28" s="9">
        <v>-0.5943179117806302</v>
      </c>
      <c r="AA28" s="9">
        <v>0.15625718185364351</v>
      </c>
      <c r="AB28" s="9">
        <v>-3.8034598136890212</v>
      </c>
      <c r="AC28" s="9">
        <v>1.426891497358113E-4</v>
      </c>
      <c r="AD28" s="9">
        <v>2.6856434410801679E-2</v>
      </c>
      <c r="AE28" s="9" t="s">
        <v>1112</v>
      </c>
      <c r="AF28" s="9" t="s">
        <v>1113</v>
      </c>
      <c r="AG28" s="9" t="s">
        <v>1114</v>
      </c>
      <c r="AH28" s="9" t="s">
        <v>1115</v>
      </c>
      <c r="AI28" s="9" t="s">
        <v>43</v>
      </c>
      <c r="AJ28" s="9" t="s">
        <v>43</v>
      </c>
      <c r="AK28" s="9" t="s">
        <v>43</v>
      </c>
      <c r="AL28" s="9" t="s">
        <v>43</v>
      </c>
      <c r="AM28" s="9" t="s">
        <v>43</v>
      </c>
      <c r="AN28" s="9" t="s">
        <v>731</v>
      </c>
      <c r="AO28" s="9" t="s">
        <v>43</v>
      </c>
    </row>
    <row r="29" spans="1:41" s="20" customFormat="1" x14ac:dyDescent="0.3">
      <c r="A29" s="9" t="s">
        <v>3924</v>
      </c>
      <c r="B29" s="9">
        <v>1123</v>
      </c>
      <c r="C29" s="9" t="str">
        <f>IF(Z29&lt;0, "Down", "Up")</f>
        <v>Down</v>
      </c>
      <c r="D29" s="34" t="str">
        <f>IF(AD29&lt;0.05, "Sig", "N")</f>
        <v>Sig</v>
      </c>
      <c r="E29" s="35" t="str">
        <f>IF(AND(J29&gt;2,L29&gt;2,N29&gt;2,P29&gt;2),"Y","N")</f>
        <v>N</v>
      </c>
      <c r="F29" s="35" t="str">
        <f>IF(AND(R29&gt;2,T29&gt;2,V29&gt;2,X29&gt;2),"Y","N")</f>
        <v>Y</v>
      </c>
      <c r="G29" s="34" t="str">
        <f>IF(AVERAGE(J29,L29,N29,P29) &gt; AVERAGE(R29,T29,V29,X29), "Smaller", IF(AVERAGE(J29,L29,N29,P29) &lt; AVERAGE(R29,T29,V29,X29), "Larger", "Equal"))</f>
        <v>Smaller</v>
      </c>
      <c r="H29" s="35" t="str">
        <f>IF(OR(E29="Y", F29="Y"), "Expressed", "N")</f>
        <v>Expressed</v>
      </c>
      <c r="I29" s="9">
        <v>1096</v>
      </c>
      <c r="J29" s="9">
        <v>17.99869727518022</v>
      </c>
      <c r="K29" s="9">
        <v>188</v>
      </c>
      <c r="L29" s="9">
        <v>1.73030315465482</v>
      </c>
      <c r="M29" s="9">
        <v>222</v>
      </c>
      <c r="N29" s="9">
        <v>1.8609336695740579</v>
      </c>
      <c r="O29" s="9">
        <v>93</v>
      </c>
      <c r="P29" s="9">
        <v>2.185748579684438</v>
      </c>
      <c r="Q29" s="9">
        <v>273</v>
      </c>
      <c r="R29" s="9">
        <v>6.0351492736228769</v>
      </c>
      <c r="S29" s="9">
        <v>268</v>
      </c>
      <c r="T29" s="9">
        <v>3.8823284077189961</v>
      </c>
      <c r="U29" s="9">
        <v>102</v>
      </c>
      <c r="V29" s="9">
        <v>3.518277168358463</v>
      </c>
      <c r="W29" s="9">
        <v>908</v>
      </c>
      <c r="X29" s="9">
        <v>9.0635158932498978</v>
      </c>
      <c r="Y29" s="9">
        <v>387.11700092194923</v>
      </c>
      <c r="Z29" s="9">
        <v>-1.9841375898450989E-2</v>
      </c>
      <c r="AA29" s="9">
        <v>0.92419794921190901</v>
      </c>
      <c r="AB29" s="9">
        <v>-2.1468751272787742E-2</v>
      </c>
      <c r="AC29" s="9"/>
      <c r="AD29" s="9"/>
      <c r="AE29" s="9" t="s">
        <v>3925</v>
      </c>
      <c r="AF29" s="9" t="s">
        <v>3926</v>
      </c>
      <c r="AG29" s="9" t="s">
        <v>43</v>
      </c>
      <c r="AH29" s="9" t="s">
        <v>43</v>
      </c>
      <c r="AI29" s="9" t="s">
        <v>43</v>
      </c>
      <c r="AJ29" s="9" t="s">
        <v>43</v>
      </c>
      <c r="AK29" s="9" t="s">
        <v>43</v>
      </c>
      <c r="AL29" s="9" t="s">
        <v>43</v>
      </c>
      <c r="AM29" s="9" t="s">
        <v>43</v>
      </c>
      <c r="AN29" s="9" t="s">
        <v>43</v>
      </c>
      <c r="AO29" s="9" t="s">
        <v>43</v>
      </c>
    </row>
    <row r="30" spans="1:41" s="20" customFormat="1" x14ac:dyDescent="0.3">
      <c r="A30" s="9" t="s">
        <v>4587</v>
      </c>
      <c r="B30" s="9">
        <v>327</v>
      </c>
      <c r="C30" s="9" t="str">
        <f>IF(Z30&lt;0, "Down", "Up")</f>
        <v>Down</v>
      </c>
      <c r="D30" s="34" t="str">
        <f>IF(AD30&lt;0.05, "Sig", "N")</f>
        <v>Sig</v>
      </c>
      <c r="E30" s="35" t="str">
        <f>IF(AND(J30&gt;2,L30&gt;2,N30&gt;2,P30&gt;2),"Y","N")</f>
        <v>Y</v>
      </c>
      <c r="F30" s="35" t="str">
        <f>IF(AND(R30&gt;2,T30&gt;2,V30&gt;2,X30&gt;2),"Y","N")</f>
        <v>N</v>
      </c>
      <c r="G30" s="34" t="str">
        <f>IF(AVERAGE(J30,L30,N30,P30) &gt; AVERAGE(R30,T30,V30,X30), "Smaller", IF(AVERAGE(J30,L30,N30,P30) &lt; AVERAGE(R30,T30,V30,X30), "Larger", "Equal"))</f>
        <v>Smaller</v>
      </c>
      <c r="H30" s="35" t="str">
        <f>IF(OR(E30="Y", F30="Y"), "Expressed", "N")</f>
        <v>Expressed</v>
      </c>
      <c r="I30" s="9">
        <v>106</v>
      </c>
      <c r="J30" s="9">
        <v>5.9781717400022973</v>
      </c>
      <c r="K30" s="9">
        <v>300</v>
      </c>
      <c r="L30" s="9">
        <v>9.4823855293644481</v>
      </c>
      <c r="M30" s="9">
        <v>323</v>
      </c>
      <c r="N30" s="9">
        <v>9.2984903577558544</v>
      </c>
      <c r="O30" s="9">
        <v>314</v>
      </c>
      <c r="P30" s="9">
        <v>25.344218725641579</v>
      </c>
      <c r="Q30" s="9">
        <v>13</v>
      </c>
      <c r="R30" s="9">
        <v>0.98696266699846957</v>
      </c>
      <c r="S30" s="9">
        <v>47</v>
      </c>
      <c r="T30" s="9">
        <v>2.338230586606147</v>
      </c>
      <c r="U30" s="9">
        <v>47</v>
      </c>
      <c r="V30" s="9">
        <v>5.5674937705560961</v>
      </c>
      <c r="W30" s="9">
        <v>63</v>
      </c>
      <c r="X30" s="9">
        <v>2.159650156716165</v>
      </c>
      <c r="Y30" s="9">
        <v>137.78078163691131</v>
      </c>
      <c r="Z30" s="9">
        <v>-2.0616160808345891</v>
      </c>
      <c r="AA30" s="9">
        <v>0.50001410427156412</v>
      </c>
      <c r="AB30" s="9">
        <v>-4.1231158545777724</v>
      </c>
      <c r="AC30" s="9">
        <v>3.7378157823654733E-5</v>
      </c>
      <c r="AD30" s="9">
        <v>1.1679767083051721E-2</v>
      </c>
      <c r="AE30" s="9" t="s">
        <v>4588</v>
      </c>
      <c r="AF30" s="9" t="s">
        <v>4589</v>
      </c>
      <c r="AG30" s="9" t="s">
        <v>43</v>
      </c>
      <c r="AH30" s="9" t="s">
        <v>43</v>
      </c>
      <c r="AI30" s="9" t="s">
        <v>43</v>
      </c>
      <c r="AJ30" s="9" t="s">
        <v>43</v>
      </c>
      <c r="AK30" s="9" t="s">
        <v>43</v>
      </c>
      <c r="AL30" s="9" t="s">
        <v>43</v>
      </c>
      <c r="AM30" s="9" t="s">
        <v>43</v>
      </c>
      <c r="AN30" s="9" t="s">
        <v>43</v>
      </c>
      <c r="AO30" s="9" t="s">
        <v>43</v>
      </c>
    </row>
    <row r="31" spans="1:41" s="20" customFormat="1" x14ac:dyDescent="0.3">
      <c r="A31" s="9" t="s">
        <v>4590</v>
      </c>
      <c r="B31" s="9">
        <v>1248</v>
      </c>
      <c r="C31" s="9" t="str">
        <f>IF(Z31&lt;0, "Down", "Up")</f>
        <v>Down</v>
      </c>
      <c r="D31" s="34" t="str">
        <f>IF(AD31&lt;0.05, "Sig", "N")</f>
        <v>Sig</v>
      </c>
      <c r="E31" s="35" t="str">
        <f>IF(AND(J31&gt;2,L31&gt;2,N31&gt;2,P31&gt;2),"Y","N")</f>
        <v>Y</v>
      </c>
      <c r="F31" s="35" t="str">
        <f>IF(AND(R31&gt;2,T31&gt;2,V31&gt;2,X31&gt;2),"Y","N")</f>
        <v>Y</v>
      </c>
      <c r="G31" s="34" t="str">
        <f>IF(AVERAGE(J31,L31,N31,P31) &gt; AVERAGE(R31,T31,V31,X31), "Smaller", IF(AVERAGE(J31,L31,N31,P31) &lt; AVERAGE(R31,T31,V31,X31), "Larger", "Equal"))</f>
        <v>Smaller</v>
      </c>
      <c r="H31" s="35" t="str">
        <f>IF(OR(E31="Y", F31="Y"), "Expressed", "N")</f>
        <v>Expressed</v>
      </c>
      <c r="I31" s="9">
        <v>8466</v>
      </c>
      <c r="J31" s="9">
        <v>125.10479437236209</v>
      </c>
      <c r="K31" s="9">
        <v>645</v>
      </c>
      <c r="L31" s="9">
        <v>5.3418198288619188</v>
      </c>
      <c r="M31" s="9">
        <v>609</v>
      </c>
      <c r="N31" s="9">
        <v>4.5936762356974228</v>
      </c>
      <c r="O31" s="9">
        <v>403</v>
      </c>
      <c r="P31" s="9">
        <v>8.5229015798111956</v>
      </c>
      <c r="Q31" s="9">
        <v>793</v>
      </c>
      <c r="R31" s="9">
        <v>15.77479512709813</v>
      </c>
      <c r="S31" s="9">
        <v>858</v>
      </c>
      <c r="T31" s="9">
        <v>11.184329015987119</v>
      </c>
      <c r="U31" s="9">
        <v>314</v>
      </c>
      <c r="V31" s="9">
        <v>9.7459616300661285</v>
      </c>
      <c r="W31" s="9">
        <v>8233</v>
      </c>
      <c r="X31" s="9">
        <v>73.949312106479582</v>
      </c>
      <c r="Y31" s="9">
        <v>2402.6239767316838</v>
      </c>
      <c r="Z31" s="9">
        <v>-0.29942750589689121</v>
      </c>
      <c r="AA31" s="9">
        <v>1.2787179405730369</v>
      </c>
      <c r="AB31" s="9">
        <v>-0.2341622780100415</v>
      </c>
      <c r="AC31" s="9"/>
      <c r="AD31" s="9"/>
      <c r="AE31" s="9" t="s">
        <v>4591</v>
      </c>
      <c r="AF31" s="9" t="s">
        <v>4592</v>
      </c>
      <c r="AG31" s="9" t="s">
        <v>43</v>
      </c>
      <c r="AH31" s="9" t="s">
        <v>4593</v>
      </c>
      <c r="AI31" s="9" t="s">
        <v>43</v>
      </c>
      <c r="AJ31" s="9" t="s">
        <v>43</v>
      </c>
      <c r="AK31" s="9" t="s">
        <v>43</v>
      </c>
      <c r="AL31" s="9" t="s">
        <v>43</v>
      </c>
      <c r="AM31" s="9" t="s">
        <v>43</v>
      </c>
      <c r="AN31" s="9" t="s">
        <v>4594</v>
      </c>
      <c r="AO31" s="9" t="s">
        <v>43</v>
      </c>
    </row>
    <row r="32" spans="1:41" s="20" customFormat="1" x14ac:dyDescent="0.3">
      <c r="A32" s="9" t="s">
        <v>4595</v>
      </c>
      <c r="B32" s="9">
        <v>609</v>
      </c>
      <c r="C32" s="9" t="str">
        <f>IF(Z32&lt;0, "Down", "Up")</f>
        <v>Down</v>
      </c>
      <c r="D32" s="34" t="str">
        <f>IF(AD32&lt;0.05, "Sig", "N")</f>
        <v>Sig</v>
      </c>
      <c r="E32" s="35" t="str">
        <f>IF(AND(J32&gt;2,L32&gt;2,N32&gt;2,P32&gt;2),"Y","N")</f>
        <v>Y</v>
      </c>
      <c r="F32" s="35" t="str">
        <f>IF(AND(R32&gt;2,T32&gt;2,V32&gt;2,X32&gt;2),"Y","N")</f>
        <v>N</v>
      </c>
      <c r="G32" s="34" t="str">
        <f>IF(AVERAGE(J32,L32,N32,P32) &gt; AVERAGE(R32,T32,V32,X32), "Smaller", IF(AVERAGE(J32,L32,N32,P32) &lt; AVERAGE(R32,T32,V32,X32), "Larger", "Equal"))</f>
        <v>Smaller</v>
      </c>
      <c r="H32" s="35" t="str">
        <f>IF(OR(E32="Y", F32="Y"), "Expressed", "N")</f>
        <v>Expressed</v>
      </c>
      <c r="I32" s="9">
        <v>197</v>
      </c>
      <c r="J32" s="9">
        <v>5.9656697543019481</v>
      </c>
      <c r="K32" s="9">
        <v>485</v>
      </c>
      <c r="L32" s="9">
        <v>8.2313023154327016</v>
      </c>
      <c r="M32" s="9">
        <v>234</v>
      </c>
      <c r="N32" s="9">
        <v>3.6170643911745</v>
      </c>
      <c r="O32" s="9">
        <v>229</v>
      </c>
      <c r="P32" s="9">
        <v>9.9246500519396861</v>
      </c>
      <c r="Q32" s="9">
        <v>81</v>
      </c>
      <c r="R32" s="9">
        <v>3.3019679374495969</v>
      </c>
      <c r="S32" s="9">
        <v>73</v>
      </c>
      <c r="T32" s="9">
        <v>1.95003676528929</v>
      </c>
      <c r="U32" s="9">
        <v>44</v>
      </c>
      <c r="V32" s="9">
        <v>2.7986269912574189</v>
      </c>
      <c r="W32" s="9">
        <v>147</v>
      </c>
      <c r="X32" s="9">
        <v>2.7057685871501378</v>
      </c>
      <c r="Y32" s="9">
        <v>164.64597973254331</v>
      </c>
      <c r="Z32" s="9">
        <v>-1.2357115708135209</v>
      </c>
      <c r="AA32" s="9">
        <v>0.31436832781581769</v>
      </c>
      <c r="AB32" s="9">
        <v>-3.9307762947974219</v>
      </c>
      <c r="AC32" s="9">
        <v>8.4672027836907386E-5</v>
      </c>
      <c r="AD32" s="9">
        <v>1.9578313199762751E-2</v>
      </c>
      <c r="AE32" s="9" t="s">
        <v>4596</v>
      </c>
      <c r="AF32" s="9" t="s">
        <v>4597</v>
      </c>
      <c r="AG32" s="9" t="s">
        <v>43</v>
      </c>
      <c r="AH32" s="9" t="s">
        <v>43</v>
      </c>
      <c r="AI32" s="9" t="s">
        <v>43</v>
      </c>
      <c r="AJ32" s="9" t="s">
        <v>43</v>
      </c>
      <c r="AK32" s="9" t="s">
        <v>43</v>
      </c>
      <c r="AL32" s="9" t="s">
        <v>43</v>
      </c>
      <c r="AM32" s="9" t="s">
        <v>43</v>
      </c>
      <c r="AN32" s="9" t="s">
        <v>43</v>
      </c>
      <c r="AO32" s="9" t="s">
        <v>43</v>
      </c>
    </row>
    <row r="33" spans="1:41" s="20" customFormat="1" x14ac:dyDescent="0.3">
      <c r="A33" s="9" t="s">
        <v>1130</v>
      </c>
      <c r="B33" s="9">
        <v>1768</v>
      </c>
      <c r="C33" s="9" t="str">
        <f>IF(Z33&lt;0, "Down", "Up")</f>
        <v>Down</v>
      </c>
      <c r="D33" s="34" t="str">
        <f>IF(AD33&lt;0.05, "Sig", "N")</f>
        <v>Sig</v>
      </c>
      <c r="E33" s="35" t="str">
        <f>IF(AND(J33&gt;2,L33&gt;2,N33&gt;2,P33&gt;2),"Y","N")</f>
        <v>Y</v>
      </c>
      <c r="F33" s="35" t="str">
        <f>IF(AND(R33&gt;2,T33&gt;2,V33&gt;2,X33&gt;2),"Y","N")</f>
        <v>Y</v>
      </c>
      <c r="G33" s="34" t="str">
        <f>IF(AVERAGE(J33,L33,N33,P33) &gt; AVERAGE(R33,T33,V33,X33), "Smaller", IF(AVERAGE(J33,L33,N33,P33) &lt; AVERAGE(R33,T33,V33,X33), "Larger", "Equal"))</f>
        <v>Smaller</v>
      </c>
      <c r="H33" s="35" t="str">
        <f>IF(OR(E33="Y", F33="Y"), "Expressed", "N")</f>
        <v>Expressed</v>
      </c>
      <c r="I33" s="9">
        <v>8823</v>
      </c>
      <c r="J33" s="9">
        <v>92.033151352595226</v>
      </c>
      <c r="K33" s="9">
        <v>15292</v>
      </c>
      <c r="L33" s="9">
        <v>89.397656714589829</v>
      </c>
      <c r="M33" s="9">
        <v>17627</v>
      </c>
      <c r="N33" s="9">
        <v>93.854223131426807</v>
      </c>
      <c r="O33" s="9">
        <v>5302</v>
      </c>
      <c r="P33" s="9">
        <v>79.150648097198584</v>
      </c>
      <c r="Q33" s="9">
        <v>3953</v>
      </c>
      <c r="R33" s="9">
        <v>55.50724587560471</v>
      </c>
      <c r="S33" s="9">
        <v>4938</v>
      </c>
      <c r="T33" s="9">
        <v>45.436624171899943</v>
      </c>
      <c r="U33" s="9">
        <v>2934</v>
      </c>
      <c r="V33" s="9">
        <v>64.281719196584532</v>
      </c>
      <c r="W33" s="9">
        <v>9413</v>
      </c>
      <c r="X33" s="9">
        <v>59.681043278481198</v>
      </c>
      <c r="Y33" s="9">
        <v>7297.852134980043</v>
      </c>
      <c r="Z33" s="9">
        <v>-0.5331010059490584</v>
      </c>
      <c r="AA33" s="9">
        <v>0.14307297029095131</v>
      </c>
      <c r="AB33" s="9">
        <v>-3.726077713106474</v>
      </c>
      <c r="AC33" s="9">
        <v>1.944824655152038E-4</v>
      </c>
      <c r="AD33" s="9">
        <v>3.3118614564057333E-2</v>
      </c>
      <c r="AE33" s="9" t="s">
        <v>1131</v>
      </c>
      <c r="AF33" s="9" t="s">
        <v>1132</v>
      </c>
      <c r="AG33" s="9" t="s">
        <v>1133</v>
      </c>
      <c r="AH33" s="9" t="s">
        <v>1134</v>
      </c>
      <c r="AI33" s="9" t="s">
        <v>43</v>
      </c>
      <c r="AJ33" s="9" t="s">
        <v>43</v>
      </c>
      <c r="AK33" s="9" t="s">
        <v>43</v>
      </c>
      <c r="AL33" s="9" t="s">
        <v>43</v>
      </c>
      <c r="AM33" s="9" t="s">
        <v>43</v>
      </c>
      <c r="AN33" s="9" t="s">
        <v>1135</v>
      </c>
      <c r="AO33" s="9" t="s">
        <v>43</v>
      </c>
    </row>
    <row r="34" spans="1:41" s="20" customFormat="1" x14ac:dyDescent="0.3">
      <c r="A34" s="9" t="s">
        <v>4598</v>
      </c>
      <c r="B34" s="9">
        <v>2044</v>
      </c>
      <c r="C34" s="9" t="str">
        <f>IF(Z34&lt;0, "Down", "Up")</f>
        <v>Down</v>
      </c>
      <c r="D34" s="34" t="str">
        <f>IF(AD34&lt;0.05, "Sig", "N")</f>
        <v>Sig</v>
      </c>
      <c r="E34" s="35" t="str">
        <f>IF(AND(J34&gt;2,L34&gt;2,N34&gt;2,P34&gt;2),"Y","N")</f>
        <v>Y</v>
      </c>
      <c r="F34" s="35" t="str">
        <f>IF(AND(R34&gt;2,T34&gt;2,V34&gt;2,X34&gt;2),"Y","N")</f>
        <v>Y</v>
      </c>
      <c r="G34" s="34" t="str">
        <f>IF(AVERAGE(J34,L34,N34,P34) &gt; AVERAGE(R34,T34,V34,X34), "Smaller", IF(AVERAGE(J34,L34,N34,P34) &lt; AVERAGE(R34,T34,V34,X34), "Larger", "Equal"))</f>
        <v>Smaller</v>
      </c>
      <c r="H34" s="35" t="str">
        <f>IF(OR(E34="Y", F34="Y"), "Expressed", "N")</f>
        <v>Expressed</v>
      </c>
      <c r="I34" s="9">
        <v>1073</v>
      </c>
      <c r="J34" s="9">
        <v>9.6811980605284962</v>
      </c>
      <c r="K34" s="9">
        <v>2515</v>
      </c>
      <c r="L34" s="9">
        <v>12.717484134502561</v>
      </c>
      <c r="M34" s="9">
        <v>3295</v>
      </c>
      <c r="N34" s="9">
        <v>15.17512240510535</v>
      </c>
      <c r="O34" s="9">
        <v>1227</v>
      </c>
      <c r="P34" s="9">
        <v>15.84384860313617</v>
      </c>
      <c r="Q34" s="9">
        <v>268</v>
      </c>
      <c r="R34" s="9">
        <v>3.2550602244873499</v>
      </c>
      <c r="S34" s="9">
        <v>381</v>
      </c>
      <c r="T34" s="9">
        <v>3.0323638890525459</v>
      </c>
      <c r="U34" s="9">
        <v>405</v>
      </c>
      <c r="V34" s="9">
        <v>7.6750951149560374</v>
      </c>
      <c r="W34" s="9">
        <v>1217</v>
      </c>
      <c r="X34" s="9">
        <v>6.674216574384249</v>
      </c>
      <c r="Y34" s="9">
        <v>1062.1125011958</v>
      </c>
      <c r="Z34" s="9">
        <v>-1.231638254545566</v>
      </c>
      <c r="AA34" s="9">
        <v>0.29780649637713091</v>
      </c>
      <c r="AB34" s="9">
        <v>-4.1356997564816931</v>
      </c>
      <c r="AC34" s="9">
        <v>3.5387462882664027E-5</v>
      </c>
      <c r="AD34" s="9">
        <v>1.12766880483024E-2</v>
      </c>
      <c r="AE34" s="9" t="s">
        <v>4599</v>
      </c>
      <c r="AF34" s="9" t="s">
        <v>4600</v>
      </c>
      <c r="AG34" s="9" t="s">
        <v>4601</v>
      </c>
      <c r="AH34" s="9" t="s">
        <v>3005</v>
      </c>
      <c r="AI34" s="9" t="s">
        <v>43</v>
      </c>
      <c r="AJ34" s="9" t="s">
        <v>43</v>
      </c>
      <c r="AK34" s="9" t="s">
        <v>43</v>
      </c>
      <c r="AL34" s="9" t="s">
        <v>43</v>
      </c>
      <c r="AM34" s="9" t="s">
        <v>43</v>
      </c>
      <c r="AN34" s="9" t="s">
        <v>3006</v>
      </c>
      <c r="AO34" s="9" t="s">
        <v>43</v>
      </c>
    </row>
    <row r="35" spans="1:41" s="20" customFormat="1" x14ac:dyDescent="0.3">
      <c r="A35" s="9" t="s">
        <v>4602</v>
      </c>
      <c r="B35" s="9">
        <v>2182</v>
      </c>
      <c r="C35" s="9" t="str">
        <f>IF(Z35&lt;0, "Down", "Up")</f>
        <v>Down</v>
      </c>
      <c r="D35" s="34" t="str">
        <f>IF(AD35&lt;0.05, "Sig", "N")</f>
        <v>Sig</v>
      </c>
      <c r="E35" s="35" t="str">
        <f>IF(AND(J35&gt;2,L35&gt;2,N35&gt;2,P35&gt;2),"Y","N")</f>
        <v>Y</v>
      </c>
      <c r="F35" s="35" t="str">
        <f>IF(AND(R35&gt;2,T35&gt;2,V35&gt;2,X35&gt;2),"Y","N")</f>
        <v>Y</v>
      </c>
      <c r="G35" s="34" t="str">
        <f>IF(AVERAGE(J35,L35,N35,P35) &gt; AVERAGE(R35,T35,V35,X35), "Smaller", IF(AVERAGE(J35,L35,N35,P35) &lt; AVERAGE(R35,T35,V35,X35), "Larger", "Equal"))</f>
        <v>Smaller</v>
      </c>
      <c r="H35" s="35" t="str">
        <f>IF(OR(E35="Y", F35="Y"), "Expressed", "N")</f>
        <v>Expressed</v>
      </c>
      <c r="I35" s="9">
        <v>420</v>
      </c>
      <c r="J35" s="9">
        <v>3.549807631789752</v>
      </c>
      <c r="K35" s="9">
        <v>1029</v>
      </c>
      <c r="L35" s="9">
        <v>4.8742155974291741</v>
      </c>
      <c r="M35" s="9">
        <v>1090</v>
      </c>
      <c r="N35" s="9">
        <v>4.702506744195996</v>
      </c>
      <c r="O35" s="9">
        <v>469</v>
      </c>
      <c r="P35" s="9">
        <v>5.6730303765326164</v>
      </c>
      <c r="Q35" s="9">
        <v>270</v>
      </c>
      <c r="R35" s="9">
        <v>3.0719500059682319</v>
      </c>
      <c r="S35" s="9">
        <v>398</v>
      </c>
      <c r="T35" s="9">
        <v>2.9673280215734499</v>
      </c>
      <c r="U35" s="9">
        <v>133</v>
      </c>
      <c r="V35" s="9">
        <v>2.36105731200397</v>
      </c>
      <c r="W35" s="9">
        <v>448</v>
      </c>
      <c r="X35" s="9">
        <v>2.3015153518563962</v>
      </c>
      <c r="Y35" s="9">
        <v>455.01032214898032</v>
      </c>
      <c r="Z35" s="9">
        <v>-0.67250041019758777</v>
      </c>
      <c r="AA35" s="9">
        <v>0.16489417520446151</v>
      </c>
      <c r="AB35" s="9">
        <v>-4.0783757786696651</v>
      </c>
      <c r="AC35" s="9">
        <v>4.5351422917945822E-5</v>
      </c>
      <c r="AD35" s="9">
        <v>1.36414537066737E-2</v>
      </c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</row>
    <row r="36" spans="1:41" s="20" customFormat="1" x14ac:dyDescent="0.3">
      <c r="A36" s="9" t="s">
        <v>4603</v>
      </c>
      <c r="B36" s="9">
        <v>2603</v>
      </c>
      <c r="C36" s="9" t="str">
        <f>IF(Z36&lt;0, "Down", "Up")</f>
        <v>Down</v>
      </c>
      <c r="D36" s="34" t="str">
        <f>IF(AD36&lt;0.05, "Sig", "N")</f>
        <v>Sig</v>
      </c>
      <c r="E36" s="35" t="str">
        <f>IF(AND(J36&gt;2,L36&gt;2,N36&gt;2,P36&gt;2),"Y","N")</f>
        <v>Y</v>
      </c>
      <c r="F36" s="35" t="str">
        <f>IF(AND(R36&gt;2,T36&gt;2,V36&gt;2,X36&gt;2),"Y","N")</f>
        <v>Y</v>
      </c>
      <c r="G36" s="34" t="str">
        <f>IF(AVERAGE(J36,L36,N36,P36) &gt; AVERAGE(R36,T36,V36,X36), "Smaller", IF(AVERAGE(J36,L36,N36,P36) &lt; AVERAGE(R36,T36,V36,X36), "Larger", "Equal"))</f>
        <v>Smaller</v>
      </c>
      <c r="H36" s="35" t="str">
        <f>IF(OR(E36="Y", F36="Y"), "Expressed", "N")</f>
        <v>Expressed</v>
      </c>
      <c r="I36" s="9">
        <v>2364</v>
      </c>
      <c r="J36" s="9">
        <v>16.74879545310743</v>
      </c>
      <c r="K36" s="9">
        <v>3392</v>
      </c>
      <c r="L36" s="9">
        <v>13.46870317710664</v>
      </c>
      <c r="M36" s="9">
        <v>2574</v>
      </c>
      <c r="N36" s="9">
        <v>9.3087646394460144</v>
      </c>
      <c r="O36" s="9">
        <v>984</v>
      </c>
      <c r="P36" s="9">
        <v>9.9774128466568932</v>
      </c>
      <c r="Q36" s="9">
        <v>473</v>
      </c>
      <c r="R36" s="9">
        <v>4.5112001733892928</v>
      </c>
      <c r="S36" s="9">
        <v>473</v>
      </c>
      <c r="T36" s="9">
        <v>2.9561345996923301</v>
      </c>
      <c r="U36" s="9">
        <v>307</v>
      </c>
      <c r="V36" s="9">
        <v>4.5685022366365811</v>
      </c>
      <c r="W36" s="9">
        <v>1886</v>
      </c>
      <c r="X36" s="9">
        <v>8.1219091765320055</v>
      </c>
      <c r="Y36" s="9">
        <v>1294.1370140842</v>
      </c>
      <c r="Z36" s="9">
        <v>-1.166887293716234</v>
      </c>
      <c r="AA36" s="9">
        <v>0.32045159292425501</v>
      </c>
      <c r="AB36" s="9">
        <v>-3.6413839702524151</v>
      </c>
      <c r="AC36" s="9">
        <v>2.7117633788021169E-4</v>
      </c>
      <c r="AD36" s="9">
        <v>4.2368011818808803E-2</v>
      </c>
      <c r="AE36" s="9" t="s">
        <v>4604</v>
      </c>
      <c r="AF36" s="9" t="s">
        <v>4605</v>
      </c>
      <c r="AG36" s="9" t="s">
        <v>4606</v>
      </c>
      <c r="AH36" s="9" t="s">
        <v>4607</v>
      </c>
      <c r="AI36" s="9" t="s">
        <v>43</v>
      </c>
      <c r="AJ36" s="9" t="s">
        <v>43</v>
      </c>
      <c r="AK36" s="9" t="s">
        <v>43</v>
      </c>
      <c r="AL36" s="9" t="s">
        <v>43</v>
      </c>
      <c r="AM36" s="9" t="s">
        <v>43</v>
      </c>
      <c r="AN36" s="9" t="s">
        <v>4608</v>
      </c>
      <c r="AO36" s="9" t="s">
        <v>43</v>
      </c>
    </row>
    <row r="37" spans="1:41" s="20" customFormat="1" x14ac:dyDescent="0.3">
      <c r="A37" s="9" t="s">
        <v>4609</v>
      </c>
      <c r="B37" s="9">
        <v>1768</v>
      </c>
      <c r="C37" s="9" t="str">
        <f>IF(Z37&lt;0, "Down", "Up")</f>
        <v>Down</v>
      </c>
      <c r="D37" s="34" t="str">
        <f>IF(AD37&lt;0.05, "Sig", "N")</f>
        <v>Sig</v>
      </c>
      <c r="E37" s="35" t="str">
        <f>IF(AND(J37&gt;2,L37&gt;2,N37&gt;2,P37&gt;2),"Y","N")</f>
        <v>Y</v>
      </c>
      <c r="F37" s="35" t="str">
        <f>IF(AND(R37&gt;2,T37&gt;2,V37&gt;2,X37&gt;2),"Y","N")</f>
        <v>Y</v>
      </c>
      <c r="G37" s="34" t="str">
        <f>IF(AVERAGE(J37,L37,N37,P37) &gt; AVERAGE(R37,T37,V37,X37), "Smaller", IF(AVERAGE(J37,L37,N37,P37) &lt; AVERAGE(R37,T37,V37,X37), "Larger", "Equal"))</f>
        <v>Smaller</v>
      </c>
      <c r="H37" s="35" t="str">
        <f>IF(OR(E37="Y", F37="Y"), "Expressed", "N")</f>
        <v>Expressed</v>
      </c>
      <c r="I37" s="9">
        <v>1357</v>
      </c>
      <c r="J37" s="9">
        <v>14.15493441975198</v>
      </c>
      <c r="K37" s="9">
        <v>2768</v>
      </c>
      <c r="L37" s="9">
        <v>16.18184107938691</v>
      </c>
      <c r="M37" s="9">
        <v>2933</v>
      </c>
      <c r="N37" s="9">
        <v>15.616635641032209</v>
      </c>
      <c r="O37" s="9">
        <v>904</v>
      </c>
      <c r="P37" s="9">
        <v>13.49531985663288</v>
      </c>
      <c r="Q37" s="9">
        <v>544</v>
      </c>
      <c r="R37" s="9">
        <v>7.6387406416212906</v>
      </c>
      <c r="S37" s="9">
        <v>579</v>
      </c>
      <c r="T37" s="9">
        <v>5.3276236118934923</v>
      </c>
      <c r="U37" s="9">
        <v>554</v>
      </c>
      <c r="V37" s="9">
        <v>12.13772066629442</v>
      </c>
      <c r="W37" s="9">
        <v>801</v>
      </c>
      <c r="X37" s="9">
        <v>5.0785632280955531</v>
      </c>
      <c r="Y37" s="9">
        <v>1117.0297709774541</v>
      </c>
      <c r="Z37" s="9">
        <v>-0.87593077243718387</v>
      </c>
      <c r="AA37" s="9">
        <v>0.23759190159413249</v>
      </c>
      <c r="AB37" s="9">
        <v>-3.6867029833933351</v>
      </c>
      <c r="AC37" s="9">
        <v>2.271782470923565E-4</v>
      </c>
      <c r="AD37" s="9">
        <v>3.7304754503405591E-2</v>
      </c>
      <c r="AE37" s="9" t="s">
        <v>4610</v>
      </c>
      <c r="AF37" s="9" t="s">
        <v>4611</v>
      </c>
      <c r="AG37" s="9" t="s">
        <v>4612</v>
      </c>
      <c r="AH37" s="9" t="s">
        <v>4613</v>
      </c>
      <c r="AI37" s="9" t="s">
        <v>43</v>
      </c>
      <c r="AJ37" s="9" t="s">
        <v>43</v>
      </c>
      <c r="AK37" s="9" t="s">
        <v>43</v>
      </c>
      <c r="AL37" s="9" t="s">
        <v>43</v>
      </c>
      <c r="AM37" s="9" t="s">
        <v>43</v>
      </c>
      <c r="AN37" s="9" t="s">
        <v>4614</v>
      </c>
      <c r="AO37" s="9" t="s">
        <v>43</v>
      </c>
    </row>
    <row r="38" spans="1:41" s="20" customFormat="1" x14ac:dyDescent="0.3">
      <c r="A38" s="9" t="s">
        <v>4615</v>
      </c>
      <c r="B38" s="9">
        <v>1804</v>
      </c>
      <c r="C38" s="9" t="str">
        <f>IF(Z38&lt;0, "Down", "Up")</f>
        <v>Down</v>
      </c>
      <c r="D38" s="34" t="str">
        <f>IF(AD38&lt;0.05, "Sig", "N")</f>
        <v>Sig</v>
      </c>
      <c r="E38" s="35" t="str">
        <f>IF(AND(J38&gt;2,L38&gt;2,N38&gt;2,P38&gt;2),"Y","N")</f>
        <v>Y</v>
      </c>
      <c r="F38" s="35" t="str">
        <f>IF(AND(R38&gt;2,T38&gt;2,V38&gt;2,X38&gt;2),"Y","N")</f>
        <v>Y</v>
      </c>
      <c r="G38" s="34" t="str">
        <f>IF(AVERAGE(J38,L38,N38,P38) &gt; AVERAGE(R38,T38,V38,X38), "Smaller", IF(AVERAGE(J38,L38,N38,P38) &lt; AVERAGE(R38,T38,V38,X38), "Larger", "Equal"))</f>
        <v>Smaller</v>
      </c>
      <c r="H38" s="35" t="str">
        <f>IF(OR(E38="Y", F38="Y"), "Expressed", "N")</f>
        <v>Expressed</v>
      </c>
      <c r="I38" s="9">
        <v>3800</v>
      </c>
      <c r="J38" s="9">
        <v>38.846986801483361</v>
      </c>
      <c r="K38" s="9">
        <v>7583</v>
      </c>
      <c r="L38" s="9">
        <v>43.44588310498667</v>
      </c>
      <c r="M38" s="9">
        <v>8166</v>
      </c>
      <c r="N38" s="9">
        <v>42.611862578324427</v>
      </c>
      <c r="O38" s="9">
        <v>3025</v>
      </c>
      <c r="P38" s="9">
        <v>44.257396087139171</v>
      </c>
      <c r="Q38" s="9">
        <v>2294</v>
      </c>
      <c r="R38" s="9">
        <v>31.56908583902857</v>
      </c>
      <c r="S38" s="9">
        <v>3286</v>
      </c>
      <c r="T38" s="9">
        <v>29.632497598495188</v>
      </c>
      <c r="U38" s="9">
        <v>1566</v>
      </c>
      <c r="V38" s="9">
        <v>33.625198672145913</v>
      </c>
      <c r="W38" s="9">
        <v>4835</v>
      </c>
      <c r="X38" s="9">
        <v>30.043501935956339</v>
      </c>
      <c r="Y38" s="9">
        <v>3782.4698762147232</v>
      </c>
      <c r="Z38" s="9">
        <v>-0.31003325011509691</v>
      </c>
      <c r="AA38" s="9">
        <v>7.5493738983753403E-2</v>
      </c>
      <c r="AB38" s="9">
        <v>-4.1067412250149324</v>
      </c>
      <c r="AC38" s="9">
        <v>4.0128036058940928E-5</v>
      </c>
      <c r="AD38" s="9">
        <v>1.2418469620740519E-2</v>
      </c>
      <c r="AE38" s="9" t="s">
        <v>4616</v>
      </c>
      <c r="AF38" s="9" t="s">
        <v>4617</v>
      </c>
      <c r="AG38" s="9" t="s">
        <v>4618</v>
      </c>
      <c r="AH38" s="9" t="s">
        <v>4619</v>
      </c>
      <c r="AI38" s="9" t="s">
        <v>43</v>
      </c>
      <c r="AJ38" s="9" t="s">
        <v>43</v>
      </c>
      <c r="AK38" s="9" t="s">
        <v>43</v>
      </c>
      <c r="AL38" s="9" t="s">
        <v>43</v>
      </c>
      <c r="AM38" s="9" t="s">
        <v>43</v>
      </c>
      <c r="AN38" s="9" t="s">
        <v>4620</v>
      </c>
      <c r="AO38" s="9" t="s">
        <v>43</v>
      </c>
    </row>
    <row r="39" spans="1:41" s="20" customFormat="1" x14ac:dyDescent="0.3">
      <c r="A39" s="9" t="s">
        <v>4621</v>
      </c>
      <c r="B39" s="9">
        <v>1509</v>
      </c>
      <c r="C39" s="9" t="str">
        <f>IF(Z39&lt;0, "Down", "Up")</f>
        <v>Down</v>
      </c>
      <c r="D39" s="34" t="str">
        <f>IF(AD39&lt;0.05, "Sig", "N")</f>
        <v>Sig</v>
      </c>
      <c r="E39" s="35" t="str">
        <f>IF(AND(J39&gt;2,L39&gt;2,N39&gt;2,P39&gt;2),"Y","N")</f>
        <v>Y</v>
      </c>
      <c r="F39" s="35" t="str">
        <f>IF(AND(R39&gt;2,T39&gt;2,V39&gt;2,X39&gt;2),"Y","N")</f>
        <v>Y</v>
      </c>
      <c r="G39" s="34" t="str">
        <f>IF(AVERAGE(J39,L39,N39,P39) &gt; AVERAGE(R39,T39,V39,X39), "Smaller", IF(AVERAGE(J39,L39,N39,P39) &lt; AVERAGE(R39,T39,V39,X39), "Larger", "Equal"))</f>
        <v>Smaller</v>
      </c>
      <c r="H39" s="35" t="str">
        <f>IF(OR(E39="Y", F39="Y"), "Expressed", "N")</f>
        <v>Expressed</v>
      </c>
      <c r="I39" s="9">
        <v>383</v>
      </c>
      <c r="J39" s="9">
        <v>4.6807970222040556</v>
      </c>
      <c r="K39" s="9">
        <v>779</v>
      </c>
      <c r="L39" s="9">
        <v>5.3357113166591423</v>
      </c>
      <c r="M39" s="9">
        <v>1035</v>
      </c>
      <c r="N39" s="9">
        <v>6.4566729019703857</v>
      </c>
      <c r="O39" s="9">
        <v>284</v>
      </c>
      <c r="P39" s="9">
        <v>4.9673654561228844</v>
      </c>
      <c r="Q39" s="9">
        <v>216</v>
      </c>
      <c r="R39" s="9">
        <v>3.5536089664798851</v>
      </c>
      <c r="S39" s="9">
        <v>239</v>
      </c>
      <c r="T39" s="9">
        <v>2.5765934187080379</v>
      </c>
      <c r="U39" s="9">
        <v>148</v>
      </c>
      <c r="V39" s="9">
        <v>3.7991121148264009</v>
      </c>
      <c r="W39" s="9">
        <v>434</v>
      </c>
      <c r="X39" s="9">
        <v>3.2239707884002309</v>
      </c>
      <c r="Y39" s="9">
        <v>370.15165366806741</v>
      </c>
      <c r="Z39" s="9">
        <v>-0.5878110118205595</v>
      </c>
      <c r="AA39" s="9">
        <v>0.16328416868383419</v>
      </c>
      <c r="AB39" s="9">
        <v>-3.599926536409864</v>
      </c>
      <c r="AC39" s="9">
        <v>3.1830709722977169E-4</v>
      </c>
      <c r="AD39" s="9">
        <v>4.6779515636256618E-2</v>
      </c>
      <c r="AE39" s="9" t="s">
        <v>4622</v>
      </c>
      <c r="AF39" s="9" t="s">
        <v>4623</v>
      </c>
      <c r="AG39" s="9" t="s">
        <v>43</v>
      </c>
      <c r="AH39" s="9" t="s">
        <v>4624</v>
      </c>
      <c r="AI39" s="9" t="s">
        <v>43</v>
      </c>
      <c r="AJ39" s="9" t="s">
        <v>43</v>
      </c>
      <c r="AK39" s="9" t="s">
        <v>43</v>
      </c>
      <c r="AL39" s="9" t="s">
        <v>43</v>
      </c>
      <c r="AM39" s="9" t="s">
        <v>43</v>
      </c>
      <c r="AN39" s="9" t="s">
        <v>731</v>
      </c>
      <c r="AO39" s="9" t="s">
        <v>43</v>
      </c>
    </row>
    <row r="40" spans="1:41" s="20" customFormat="1" x14ac:dyDescent="0.3">
      <c r="A40" s="9" t="s">
        <v>4625</v>
      </c>
      <c r="B40" s="9">
        <v>1125</v>
      </c>
      <c r="C40" s="9" t="str">
        <f>IF(Z40&lt;0, "Down", "Up")</f>
        <v>Down</v>
      </c>
      <c r="D40" s="34" t="str">
        <f>IF(AD40&lt;0.05, "Sig", "N")</f>
        <v>Sig</v>
      </c>
      <c r="E40" s="35" t="str">
        <f>IF(AND(J40&gt;2,L40&gt;2,N40&gt;2,P40&gt;2),"Y","N")</f>
        <v>Y</v>
      </c>
      <c r="F40" s="35" t="str">
        <f>IF(AND(R40&gt;2,T40&gt;2,V40&gt;2,X40&gt;2),"Y","N")</f>
        <v>N</v>
      </c>
      <c r="G40" s="34" t="str">
        <f>IF(AVERAGE(J40,L40,N40,P40) &gt; AVERAGE(R40,T40,V40,X40), "Smaller", IF(AVERAGE(J40,L40,N40,P40) &lt; AVERAGE(R40,T40,V40,X40), "Larger", "Equal"))</f>
        <v>Smaller</v>
      </c>
      <c r="H40" s="35" t="str">
        <f>IF(OR(E40="Y", F40="Y"), "Expressed", "N")</f>
        <v>Expressed</v>
      </c>
      <c r="I40" s="9">
        <v>335</v>
      </c>
      <c r="J40" s="9">
        <v>5.491646316633557</v>
      </c>
      <c r="K40" s="9">
        <v>855</v>
      </c>
      <c r="L40" s="9">
        <v>7.8552081725255078</v>
      </c>
      <c r="M40" s="9">
        <v>335</v>
      </c>
      <c r="N40" s="9">
        <v>2.80317337802646</v>
      </c>
      <c r="O40" s="9">
        <v>220</v>
      </c>
      <c r="P40" s="9">
        <v>5.1613958814512531</v>
      </c>
      <c r="Q40" s="9">
        <v>88</v>
      </c>
      <c r="R40" s="9">
        <v>1.9419376208921679</v>
      </c>
      <c r="S40" s="9">
        <v>166</v>
      </c>
      <c r="T40" s="9">
        <v>2.40045073668378</v>
      </c>
      <c r="U40" s="9">
        <v>37</v>
      </c>
      <c r="V40" s="9">
        <v>1.2739689291717859</v>
      </c>
      <c r="W40" s="9">
        <v>189</v>
      </c>
      <c r="X40" s="9">
        <v>1.8832149366564961</v>
      </c>
      <c r="Y40" s="9">
        <v>228.6889950885743</v>
      </c>
      <c r="Z40" s="9">
        <v>-1.361482563801204</v>
      </c>
      <c r="AA40" s="9">
        <v>0.32130109330947942</v>
      </c>
      <c r="AB40" s="9">
        <v>-4.2374040803210562</v>
      </c>
      <c r="AC40" s="9">
        <v>2.2611896960031102E-5</v>
      </c>
      <c r="AD40" s="9">
        <v>8.6638559959357261E-3</v>
      </c>
      <c r="AE40" s="9" t="s">
        <v>4626</v>
      </c>
      <c r="AF40" s="9" t="s">
        <v>4627</v>
      </c>
      <c r="AG40" s="9" t="s">
        <v>4628</v>
      </c>
      <c r="AH40" s="9" t="s">
        <v>43</v>
      </c>
      <c r="AI40" s="9" t="s">
        <v>43</v>
      </c>
      <c r="AJ40" s="9" t="s">
        <v>43</v>
      </c>
      <c r="AK40" s="9" t="s">
        <v>43</v>
      </c>
      <c r="AL40" s="9" t="s">
        <v>43</v>
      </c>
      <c r="AM40" s="9" t="s">
        <v>43</v>
      </c>
      <c r="AN40" s="9" t="s">
        <v>43</v>
      </c>
      <c r="AO40" s="9" t="s">
        <v>43</v>
      </c>
    </row>
    <row r="41" spans="1:41" s="20" customFormat="1" x14ac:dyDescent="0.3">
      <c r="A41" s="9" t="s">
        <v>4629</v>
      </c>
      <c r="B41" s="9">
        <v>1413</v>
      </c>
      <c r="C41" s="9" t="str">
        <f>IF(Z41&lt;0, "Down", "Up")</f>
        <v>Down</v>
      </c>
      <c r="D41" s="34" t="str">
        <f>IF(AD41&lt;0.05, "Sig", "N")</f>
        <v>Sig</v>
      </c>
      <c r="E41" s="35" t="str">
        <f>IF(AND(J41&gt;2,L41&gt;2,N41&gt;2,P41&gt;2),"Y","N")</f>
        <v>Y</v>
      </c>
      <c r="F41" s="35" t="str">
        <f>IF(AND(R41&gt;2,T41&gt;2,V41&gt;2,X41&gt;2),"Y","N")</f>
        <v>Y</v>
      </c>
      <c r="G41" s="34" t="str">
        <f>IF(AVERAGE(J41,L41,N41,P41) &gt; AVERAGE(R41,T41,V41,X41), "Smaller", IF(AVERAGE(J41,L41,N41,P41) &lt; AVERAGE(R41,T41,V41,X41), "Larger", "Equal"))</f>
        <v>Smaller</v>
      </c>
      <c r="H41" s="35" t="str">
        <f>IF(OR(E41="Y", F41="Y"), "Expressed", "N")</f>
        <v>Expressed</v>
      </c>
      <c r="I41" s="9">
        <v>1486</v>
      </c>
      <c r="J41" s="9">
        <v>19.39487219915739</v>
      </c>
      <c r="K41" s="9">
        <v>3028</v>
      </c>
      <c r="L41" s="9">
        <v>22.149188313784819</v>
      </c>
      <c r="M41" s="9">
        <v>3939</v>
      </c>
      <c r="N41" s="9">
        <v>26.242275729741959</v>
      </c>
      <c r="O41" s="9">
        <v>1255</v>
      </c>
      <c r="P41" s="9">
        <v>23.442211317390431</v>
      </c>
      <c r="Q41" s="9">
        <v>991</v>
      </c>
      <c r="R41" s="9">
        <v>17.411517283440741</v>
      </c>
      <c r="S41" s="9">
        <v>1343</v>
      </c>
      <c r="T41" s="9">
        <v>15.46219274886001</v>
      </c>
      <c r="U41" s="9">
        <v>558</v>
      </c>
      <c r="V41" s="9">
        <v>15.296838149377191</v>
      </c>
      <c r="W41" s="9">
        <v>1721</v>
      </c>
      <c r="X41" s="9">
        <v>13.653038561932689</v>
      </c>
      <c r="Y41" s="9">
        <v>1536.51792948143</v>
      </c>
      <c r="Z41" s="9">
        <v>-0.43314913251110421</v>
      </c>
      <c r="AA41" s="9">
        <v>0.110750925216498</v>
      </c>
      <c r="AB41" s="9">
        <v>-3.911020442171262</v>
      </c>
      <c r="AC41" s="9">
        <v>9.1906992167974295E-5</v>
      </c>
      <c r="AD41" s="9">
        <v>2.0369482978831049E-2</v>
      </c>
      <c r="AE41" s="9" t="s">
        <v>4630</v>
      </c>
      <c r="AF41" s="9" t="s">
        <v>4631</v>
      </c>
      <c r="AG41" s="9" t="s">
        <v>55</v>
      </c>
      <c r="AH41" s="9" t="s">
        <v>4632</v>
      </c>
      <c r="AI41" s="9" t="s">
        <v>43</v>
      </c>
      <c r="AJ41" s="9" t="s">
        <v>43</v>
      </c>
      <c r="AK41" s="9" t="s">
        <v>43</v>
      </c>
      <c r="AL41" s="9" t="s">
        <v>43</v>
      </c>
      <c r="AM41" s="9" t="s">
        <v>43</v>
      </c>
      <c r="AN41" s="9" t="s">
        <v>4633</v>
      </c>
      <c r="AO41" s="9" t="s">
        <v>43</v>
      </c>
    </row>
    <row r="42" spans="1:41" s="20" customFormat="1" x14ac:dyDescent="0.3">
      <c r="A42" s="9" t="s">
        <v>2790</v>
      </c>
      <c r="B42" s="9">
        <v>3436</v>
      </c>
      <c r="C42" s="9" t="str">
        <f>IF(Z42&lt;0, "Down", "Up")</f>
        <v>Down</v>
      </c>
      <c r="D42" s="34" t="str">
        <f>IF(AD42&lt;0.05, "Sig", "N")</f>
        <v>Sig</v>
      </c>
      <c r="E42" s="35" t="str">
        <f>IF(AND(J42&gt;2,L42&gt;2,N42&gt;2,P42&gt;2),"Y","N")</f>
        <v>Y</v>
      </c>
      <c r="F42" s="35" t="str">
        <f>IF(AND(R42&gt;2,T42&gt;2,V42&gt;2,X42&gt;2),"Y","N")</f>
        <v>Y</v>
      </c>
      <c r="G42" s="34" t="str">
        <f>IF(AVERAGE(J42,L42,N42,P42) &gt; AVERAGE(R42,T42,V42,X42), "Smaller", IF(AVERAGE(J42,L42,N42,P42) &lt; AVERAGE(R42,T42,V42,X42), "Larger", "Equal"))</f>
        <v>Smaller</v>
      </c>
      <c r="H42" s="35" t="str">
        <f>IF(OR(E42="Y", F42="Y"), "Expressed", "N")</f>
        <v>Expressed</v>
      </c>
      <c r="I42" s="9">
        <v>2345</v>
      </c>
      <c r="J42" s="9">
        <v>12.586354698337971</v>
      </c>
      <c r="K42" s="9">
        <v>4764</v>
      </c>
      <c r="L42" s="9">
        <v>14.330544901473379</v>
      </c>
      <c r="M42" s="9">
        <v>6109</v>
      </c>
      <c r="N42" s="9">
        <v>16.736885511753599</v>
      </c>
      <c r="O42" s="9">
        <v>2607</v>
      </c>
      <c r="P42" s="9">
        <v>20.02557009446944</v>
      </c>
      <c r="Q42" s="9">
        <v>1096</v>
      </c>
      <c r="R42" s="9">
        <v>7.9188574404700347</v>
      </c>
      <c r="S42" s="9">
        <v>1467</v>
      </c>
      <c r="T42" s="9">
        <v>6.9456707234429462</v>
      </c>
      <c r="U42" s="9">
        <v>777</v>
      </c>
      <c r="V42" s="9">
        <v>8.7594633153909935</v>
      </c>
      <c r="W42" s="9">
        <v>2922</v>
      </c>
      <c r="X42" s="9">
        <v>9.5327381730387675</v>
      </c>
      <c r="Y42" s="9">
        <v>2352.4042558763172</v>
      </c>
      <c r="Z42" s="9">
        <v>-0.80152263562302806</v>
      </c>
      <c r="AA42" s="9">
        <v>0.16812577477965701</v>
      </c>
      <c r="AB42" s="9">
        <v>-4.7673989111633297</v>
      </c>
      <c r="AC42" s="9">
        <v>1.8661957817436351E-6</v>
      </c>
      <c r="AD42" s="9">
        <v>1.501587780885473E-3</v>
      </c>
      <c r="AE42" s="9" t="s">
        <v>2791</v>
      </c>
      <c r="AF42" s="9" t="s">
        <v>2792</v>
      </c>
      <c r="AG42" s="9" t="s">
        <v>2793</v>
      </c>
      <c r="AH42" s="9" t="s">
        <v>1788</v>
      </c>
      <c r="AI42" s="9" t="s">
        <v>43</v>
      </c>
      <c r="AJ42" s="9" t="s">
        <v>43</v>
      </c>
      <c r="AK42" s="9" t="s">
        <v>43</v>
      </c>
      <c r="AL42" s="9" t="s">
        <v>43</v>
      </c>
      <c r="AM42" s="9" t="s">
        <v>43</v>
      </c>
      <c r="AN42" s="9" t="s">
        <v>1789</v>
      </c>
      <c r="AO42" s="9" t="s">
        <v>43</v>
      </c>
    </row>
    <row r="43" spans="1:41" s="20" customFormat="1" x14ac:dyDescent="0.3">
      <c r="A43" s="9" t="s">
        <v>4634</v>
      </c>
      <c r="B43" s="9">
        <v>1258</v>
      </c>
      <c r="C43" s="9" t="str">
        <f>IF(Z43&lt;0, "Down", "Up")</f>
        <v>Down</v>
      </c>
      <c r="D43" s="34" t="str">
        <f>IF(AD43&lt;0.05, "Sig", "N")</f>
        <v>Sig</v>
      </c>
      <c r="E43" s="35" t="str">
        <f>IF(AND(J43&gt;2,L43&gt;2,N43&gt;2,P43&gt;2),"Y","N")</f>
        <v>Y</v>
      </c>
      <c r="F43" s="35" t="str">
        <f>IF(AND(R43&gt;2,T43&gt;2,V43&gt;2,X43&gt;2),"Y","N")</f>
        <v>N</v>
      </c>
      <c r="G43" s="34" t="str">
        <f>IF(AVERAGE(J43,L43,N43,P43) &gt; AVERAGE(R43,T43,V43,X43), "Smaller", IF(AVERAGE(J43,L43,N43,P43) &lt; AVERAGE(R43,T43,V43,X43), "Larger", "Equal"))</f>
        <v>Smaller</v>
      </c>
      <c r="H43" s="35" t="str">
        <f>IF(OR(E43="Y", F43="Y"), "Expressed", "N")</f>
        <v>Expressed</v>
      </c>
      <c r="I43" s="9">
        <v>259</v>
      </c>
      <c r="J43" s="9">
        <v>3.7969020845908039</v>
      </c>
      <c r="K43" s="9">
        <v>550</v>
      </c>
      <c r="L43" s="9">
        <v>4.5188315777853623</v>
      </c>
      <c r="M43" s="9">
        <v>864</v>
      </c>
      <c r="N43" s="9">
        <v>6.465331190094961</v>
      </c>
      <c r="O43" s="9">
        <v>337</v>
      </c>
      <c r="P43" s="9">
        <v>7.0704372508859894</v>
      </c>
      <c r="Q43" s="9">
        <v>97</v>
      </c>
      <c r="R43" s="9">
        <v>1.914239258562092</v>
      </c>
      <c r="S43" s="9">
        <v>199</v>
      </c>
      <c r="T43" s="9">
        <v>2.573414047326418</v>
      </c>
      <c r="U43" s="9">
        <v>61</v>
      </c>
      <c r="V43" s="9">
        <v>1.878273487827393</v>
      </c>
      <c r="W43" s="9">
        <v>332</v>
      </c>
      <c r="X43" s="9">
        <v>2.9583397634659931</v>
      </c>
      <c r="Y43" s="9">
        <v>276.2546793571716</v>
      </c>
      <c r="Z43" s="9">
        <v>-1.058549896369035</v>
      </c>
      <c r="AA43" s="9">
        <v>0.25584964383243908</v>
      </c>
      <c r="AB43" s="9">
        <v>-4.1373905412285819</v>
      </c>
      <c r="AC43" s="9">
        <v>3.5127793034711763E-5</v>
      </c>
      <c r="AD43" s="9">
        <v>1.12766880483024E-2</v>
      </c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</row>
    <row r="44" spans="1:41" s="20" customFormat="1" x14ac:dyDescent="0.3">
      <c r="A44" s="9" t="s">
        <v>4635</v>
      </c>
      <c r="B44" s="9">
        <v>842</v>
      </c>
      <c r="C44" s="9" t="str">
        <f>IF(Z44&lt;0, "Down", "Up")</f>
        <v>Down</v>
      </c>
      <c r="D44" s="34" t="str">
        <f>IF(AD44&lt;0.05, "Sig", "N")</f>
        <v>Sig</v>
      </c>
      <c r="E44" s="35" t="str">
        <f>IF(AND(J44&gt;2,L44&gt;2,N44&gt;2,P44&gt;2),"Y","N")</f>
        <v>Y</v>
      </c>
      <c r="F44" s="35" t="str">
        <f>IF(AND(R44&gt;2,T44&gt;2,V44&gt;2,X44&gt;2),"Y","N")</f>
        <v>Y</v>
      </c>
      <c r="G44" s="34" t="str">
        <f>IF(AVERAGE(J44,L44,N44,P44) &gt; AVERAGE(R44,T44,V44,X44), "Smaller", IF(AVERAGE(J44,L44,N44,P44) &lt; AVERAGE(R44,T44,V44,X44), "Larger", "Equal"))</f>
        <v>Smaller</v>
      </c>
      <c r="H44" s="35" t="str">
        <f>IF(OR(E44="Y", F44="Y"), "Expressed", "N")</f>
        <v>Expressed</v>
      </c>
      <c r="I44" s="9">
        <v>906</v>
      </c>
      <c r="J44" s="9">
        <v>19.843870345051769</v>
      </c>
      <c r="K44" s="9">
        <v>1990</v>
      </c>
      <c r="L44" s="9">
        <v>24.427841391620451</v>
      </c>
      <c r="M44" s="9">
        <v>1741</v>
      </c>
      <c r="N44" s="9">
        <v>19.464549429351141</v>
      </c>
      <c r="O44" s="9">
        <v>721</v>
      </c>
      <c r="P44" s="9">
        <v>22.60061128450738</v>
      </c>
      <c r="Q44" s="9">
        <v>534</v>
      </c>
      <c r="R44" s="9">
        <v>15.74469641749852</v>
      </c>
      <c r="S44" s="9">
        <v>590</v>
      </c>
      <c r="T44" s="9">
        <v>11.39927293359084</v>
      </c>
      <c r="U44" s="9">
        <v>293</v>
      </c>
      <c r="V44" s="9">
        <v>13.47923246704276</v>
      </c>
      <c r="W44" s="9">
        <v>1019</v>
      </c>
      <c r="X44" s="9">
        <v>13.56602774327685</v>
      </c>
      <c r="Y44" s="9">
        <v>840.54304281123302</v>
      </c>
      <c r="Z44" s="9">
        <v>-0.54375290738492965</v>
      </c>
      <c r="AA44" s="9">
        <v>0.13588646014431849</v>
      </c>
      <c r="AB44" s="9">
        <v>-4.001523822222139</v>
      </c>
      <c r="AC44" s="9">
        <v>6.2935857391058439E-5</v>
      </c>
      <c r="AD44" s="9">
        <v>1.6369912847941238E-2</v>
      </c>
      <c r="AE44" s="9" t="s">
        <v>4636</v>
      </c>
      <c r="AF44" s="9" t="s">
        <v>4637</v>
      </c>
      <c r="AG44" s="9" t="s">
        <v>4638</v>
      </c>
      <c r="AH44" s="9" t="s">
        <v>43</v>
      </c>
      <c r="AI44" s="9" t="s">
        <v>43</v>
      </c>
      <c r="AJ44" s="9" t="s">
        <v>43</v>
      </c>
      <c r="AK44" s="9" t="s">
        <v>43</v>
      </c>
      <c r="AL44" s="9" t="s">
        <v>43</v>
      </c>
      <c r="AM44" s="9" t="s">
        <v>43</v>
      </c>
      <c r="AN44" s="9" t="s">
        <v>43</v>
      </c>
      <c r="AO44" s="9" t="s">
        <v>43</v>
      </c>
    </row>
    <row r="45" spans="1:41" s="20" customFormat="1" x14ac:dyDescent="0.3">
      <c r="A45" s="9" t="s">
        <v>4639</v>
      </c>
      <c r="B45" s="9">
        <v>609</v>
      </c>
      <c r="C45" s="9" t="str">
        <f>IF(Z45&lt;0, "Down", "Up")</f>
        <v>Down</v>
      </c>
      <c r="D45" s="34" t="str">
        <f>IF(AD45&lt;0.05, "Sig", "N")</f>
        <v>Sig</v>
      </c>
      <c r="E45" s="35" t="str">
        <f>IF(AND(J45&gt;2,L45&gt;2,N45&gt;2,P45&gt;2),"Y","N")</f>
        <v>Y</v>
      </c>
      <c r="F45" s="35" t="str">
        <f>IF(AND(R45&gt;2,T45&gt;2,V45&gt;2,X45&gt;2),"Y","N")</f>
        <v>Y</v>
      </c>
      <c r="G45" s="34" t="str">
        <f>IF(AVERAGE(J45,L45,N45,P45) &gt; AVERAGE(R45,T45,V45,X45), "Smaller", IF(AVERAGE(J45,L45,N45,P45) &lt; AVERAGE(R45,T45,V45,X45), "Larger", "Equal"))</f>
        <v>Smaller</v>
      </c>
      <c r="H45" s="35" t="str">
        <f>IF(OR(E45="Y", F45="Y"), "Expressed", "N")</f>
        <v>Expressed</v>
      </c>
      <c r="I45" s="9">
        <v>1097</v>
      </c>
      <c r="J45" s="9">
        <v>33.219998581062107</v>
      </c>
      <c r="K45" s="9">
        <v>1336</v>
      </c>
      <c r="L45" s="9">
        <v>22.674267821480591</v>
      </c>
      <c r="M45" s="9">
        <v>3747</v>
      </c>
      <c r="N45" s="9">
        <v>57.919402879191679</v>
      </c>
      <c r="O45" s="9">
        <v>538</v>
      </c>
      <c r="P45" s="9">
        <v>23.316426759578821</v>
      </c>
      <c r="Q45" s="9">
        <v>276</v>
      </c>
      <c r="R45" s="9">
        <v>11.251150009087519</v>
      </c>
      <c r="S45" s="9">
        <v>362</v>
      </c>
      <c r="T45" s="9">
        <v>9.6700453292427788</v>
      </c>
      <c r="U45" s="9">
        <v>202</v>
      </c>
      <c r="V45" s="9">
        <v>12.84824209622724</v>
      </c>
      <c r="W45" s="9">
        <v>913</v>
      </c>
      <c r="X45" s="9">
        <v>16.805215782776031</v>
      </c>
      <c r="Y45" s="9">
        <v>806.67813320726418</v>
      </c>
      <c r="Z45" s="9">
        <v>-1.302127509827385</v>
      </c>
      <c r="AA45" s="9">
        <v>0.31137131337940338</v>
      </c>
      <c r="AB45" s="9">
        <v>-4.181912250345146</v>
      </c>
      <c r="AC45" s="9">
        <v>2.8906754062610111E-5</v>
      </c>
      <c r="AD45" s="9">
        <v>1.0176915644023239E-2</v>
      </c>
      <c r="AE45" s="9" t="s">
        <v>4640</v>
      </c>
      <c r="AF45" s="9" t="s">
        <v>4641</v>
      </c>
      <c r="AG45" s="9" t="s">
        <v>4642</v>
      </c>
      <c r="AH45" s="9" t="s">
        <v>4643</v>
      </c>
      <c r="AI45" s="9" t="s">
        <v>43</v>
      </c>
      <c r="AJ45" s="9" t="s">
        <v>43</v>
      </c>
      <c r="AK45" s="9" t="s">
        <v>43</v>
      </c>
      <c r="AL45" s="9" t="s">
        <v>43</v>
      </c>
      <c r="AM45" s="9" t="s">
        <v>43</v>
      </c>
      <c r="AN45" s="9" t="s">
        <v>2977</v>
      </c>
      <c r="AO45" s="9" t="s">
        <v>43</v>
      </c>
    </row>
    <row r="46" spans="1:41" s="20" customFormat="1" x14ac:dyDescent="0.3">
      <c r="A46" s="9" t="s">
        <v>4644</v>
      </c>
      <c r="B46" s="9">
        <v>3034</v>
      </c>
      <c r="C46" s="9" t="str">
        <f>IF(Z46&lt;0, "Down", "Up")</f>
        <v>Down</v>
      </c>
      <c r="D46" s="34" t="str">
        <f>IF(AD46&lt;0.05, "Sig", "N")</f>
        <v>Sig</v>
      </c>
      <c r="E46" s="35" t="str">
        <f>IF(AND(J46&gt;2,L46&gt;2,N46&gt;2,P46&gt;2),"Y","N")</f>
        <v>Y</v>
      </c>
      <c r="F46" s="35" t="str">
        <f>IF(AND(R46&gt;2,T46&gt;2,V46&gt;2,X46&gt;2),"Y","N")</f>
        <v>Y</v>
      </c>
      <c r="G46" s="34" t="str">
        <f>IF(AVERAGE(J46,L46,N46,P46) &gt; AVERAGE(R46,T46,V46,X46), "Smaller", IF(AVERAGE(J46,L46,N46,P46) &lt; AVERAGE(R46,T46,V46,X46), "Larger", "Equal"))</f>
        <v>Smaller</v>
      </c>
      <c r="H46" s="35" t="str">
        <f>IF(OR(E46="Y", F46="Y"), "Expressed", "N")</f>
        <v>Expressed</v>
      </c>
      <c r="I46" s="9">
        <v>21955</v>
      </c>
      <c r="J46" s="9">
        <v>133.45293808666059</v>
      </c>
      <c r="K46" s="9">
        <v>6991</v>
      </c>
      <c r="L46" s="9">
        <v>23.815945743904969</v>
      </c>
      <c r="M46" s="9">
        <v>6543</v>
      </c>
      <c r="N46" s="9">
        <v>20.30107423231291</v>
      </c>
      <c r="O46" s="9">
        <v>3204</v>
      </c>
      <c r="P46" s="9">
        <v>27.872372887114281</v>
      </c>
      <c r="Q46" s="9">
        <v>4498</v>
      </c>
      <c r="R46" s="9">
        <v>36.805184597739228</v>
      </c>
      <c r="S46" s="9">
        <v>5563</v>
      </c>
      <c r="T46" s="9">
        <v>29.828452000209179</v>
      </c>
      <c r="U46" s="9">
        <v>2473</v>
      </c>
      <c r="V46" s="9">
        <v>31.573169013095342</v>
      </c>
      <c r="W46" s="9">
        <v>23577</v>
      </c>
      <c r="X46" s="9">
        <v>87.109109774834053</v>
      </c>
      <c r="Y46" s="9">
        <v>8801.0199269714249</v>
      </c>
      <c r="Z46" s="9">
        <v>-6.2378538294250677E-2</v>
      </c>
      <c r="AA46" s="9">
        <v>0.79372918962443939</v>
      </c>
      <c r="AB46" s="9">
        <v>-7.8589195294387112E-2</v>
      </c>
      <c r="AC46" s="9"/>
      <c r="AD46" s="9"/>
      <c r="AE46" s="9" t="s">
        <v>4645</v>
      </c>
      <c r="AF46" s="9" t="s">
        <v>4646</v>
      </c>
      <c r="AG46" s="9" t="s">
        <v>55</v>
      </c>
      <c r="AH46" s="9" t="s">
        <v>4647</v>
      </c>
      <c r="AI46" s="9" t="s">
        <v>43</v>
      </c>
      <c r="AJ46" s="9" t="s">
        <v>43</v>
      </c>
      <c r="AK46" s="9" t="s">
        <v>43</v>
      </c>
      <c r="AL46" s="9" t="s">
        <v>43</v>
      </c>
      <c r="AM46" s="9" t="s">
        <v>43</v>
      </c>
      <c r="AN46" s="9" t="s">
        <v>4648</v>
      </c>
      <c r="AO46" s="9" t="s">
        <v>43</v>
      </c>
    </row>
    <row r="47" spans="1:41" s="20" customFormat="1" x14ac:dyDescent="0.3">
      <c r="A47" s="9" t="s">
        <v>4649</v>
      </c>
      <c r="B47" s="9">
        <v>1460</v>
      </c>
      <c r="C47" s="9" t="str">
        <f>IF(Z47&lt;0, "Down", "Up")</f>
        <v>Down</v>
      </c>
      <c r="D47" s="34" t="str">
        <f>IF(AD47&lt;0.05, "Sig", "N")</f>
        <v>Sig</v>
      </c>
      <c r="E47" s="35" t="str">
        <f>IF(AND(J47&gt;2,L47&gt;2,N47&gt;2,P47&gt;2),"Y","N")</f>
        <v>Y</v>
      </c>
      <c r="F47" s="35" t="str">
        <f>IF(AND(R47&gt;2,T47&gt;2,V47&gt;2,X47&gt;2),"Y","N")</f>
        <v>Y</v>
      </c>
      <c r="G47" s="34" t="str">
        <f>IF(AVERAGE(J47,L47,N47,P47) &gt; AVERAGE(R47,T47,V47,X47), "Smaller", IF(AVERAGE(J47,L47,N47,P47) &lt; AVERAGE(R47,T47,V47,X47), "Larger", "Equal"))</f>
        <v>Smaller</v>
      </c>
      <c r="H47" s="35" t="str">
        <f>IF(OR(E47="Y", F47="Y"), "Expressed", "N")</f>
        <v>Expressed</v>
      </c>
      <c r="I47" s="9">
        <v>1832</v>
      </c>
      <c r="J47" s="9">
        <v>23.141040806750681</v>
      </c>
      <c r="K47" s="9">
        <v>3513</v>
      </c>
      <c r="L47" s="9">
        <v>24.86963438183319</v>
      </c>
      <c r="M47" s="9">
        <v>3711</v>
      </c>
      <c r="N47" s="9">
        <v>23.9274145503746</v>
      </c>
      <c r="O47" s="9">
        <v>1219</v>
      </c>
      <c r="P47" s="9">
        <v>22.036766117450849</v>
      </c>
      <c r="Q47" s="9">
        <v>914</v>
      </c>
      <c r="R47" s="9">
        <v>15.54169799721647</v>
      </c>
      <c r="S47" s="9">
        <v>1337</v>
      </c>
      <c r="T47" s="9">
        <v>14.89758196201721</v>
      </c>
      <c r="U47" s="9">
        <v>634</v>
      </c>
      <c r="V47" s="9">
        <v>16.820776355641922</v>
      </c>
      <c r="W47" s="9">
        <v>2177</v>
      </c>
      <c r="X47" s="9">
        <v>16.714607457196639</v>
      </c>
      <c r="Y47" s="9">
        <v>1644.946356404728</v>
      </c>
      <c r="Z47" s="9">
        <v>-0.4260787379126515</v>
      </c>
      <c r="AA47" s="9">
        <v>0.1117704826241524</v>
      </c>
      <c r="AB47" s="9">
        <v>-3.81208641055452</v>
      </c>
      <c r="AC47" s="9">
        <v>1.3779868255815221E-4</v>
      </c>
      <c r="AD47" s="9">
        <v>2.624290294753923E-2</v>
      </c>
      <c r="AE47" s="9" t="s">
        <v>4650</v>
      </c>
      <c r="AF47" s="9" t="s">
        <v>4651</v>
      </c>
      <c r="AG47" s="9" t="s">
        <v>4652</v>
      </c>
      <c r="AH47" s="9" t="s">
        <v>4556</v>
      </c>
      <c r="AI47" s="9" t="s">
        <v>43</v>
      </c>
      <c r="AJ47" s="9" t="s">
        <v>43</v>
      </c>
      <c r="AK47" s="9" t="s">
        <v>43</v>
      </c>
      <c r="AL47" s="9" t="s">
        <v>43</v>
      </c>
      <c r="AM47" s="9" t="s">
        <v>43</v>
      </c>
      <c r="AN47" s="9" t="s">
        <v>4557</v>
      </c>
      <c r="AO47" s="9" t="s">
        <v>43</v>
      </c>
    </row>
    <row r="48" spans="1:41" s="20" customFormat="1" x14ac:dyDescent="0.3">
      <c r="A48" s="9" t="s">
        <v>4653</v>
      </c>
      <c r="B48" s="9">
        <v>1851</v>
      </c>
      <c r="C48" s="9" t="str">
        <f>IF(Z48&lt;0, "Down", "Up")</f>
        <v>Down</v>
      </c>
      <c r="D48" s="34" t="str">
        <f>IF(AD48&lt;0.05, "Sig", "N")</f>
        <v>Sig</v>
      </c>
      <c r="E48" s="35" t="str">
        <f>IF(AND(J48&gt;2,L48&gt;2,N48&gt;2,P48&gt;2),"Y","N")</f>
        <v>Y</v>
      </c>
      <c r="F48" s="35" t="str">
        <f>IF(AND(R48&gt;2,T48&gt;2,V48&gt;2,X48&gt;2),"Y","N")</f>
        <v>N</v>
      </c>
      <c r="G48" s="34" t="str">
        <f>IF(AVERAGE(J48,L48,N48,P48) &gt; AVERAGE(R48,T48,V48,X48), "Smaller", IF(AVERAGE(J48,L48,N48,P48) &lt; AVERAGE(R48,T48,V48,X48), "Larger", "Equal"))</f>
        <v>Smaller</v>
      </c>
      <c r="H48" s="35" t="str">
        <f>IF(OR(E48="Y", F48="Y"), "Expressed", "N")</f>
        <v>Expressed</v>
      </c>
      <c r="I48" s="9">
        <v>636</v>
      </c>
      <c r="J48" s="9">
        <v>6.3366682624983834</v>
      </c>
      <c r="K48" s="9">
        <v>1066</v>
      </c>
      <c r="L48" s="9">
        <v>5.9524381642299966</v>
      </c>
      <c r="M48" s="9">
        <v>537</v>
      </c>
      <c r="N48" s="9">
        <v>2.7310241612040849</v>
      </c>
      <c r="O48" s="9">
        <v>437</v>
      </c>
      <c r="P48" s="9">
        <v>6.2312048775071762</v>
      </c>
      <c r="Q48" s="9">
        <v>190</v>
      </c>
      <c r="R48" s="9">
        <v>2.548310289681873</v>
      </c>
      <c r="S48" s="9">
        <v>208</v>
      </c>
      <c r="T48" s="9">
        <v>1.828075583969605</v>
      </c>
      <c r="U48" s="9">
        <v>133</v>
      </c>
      <c r="V48" s="9">
        <v>2.7832669123677269</v>
      </c>
      <c r="W48" s="9">
        <v>301</v>
      </c>
      <c r="X48" s="9">
        <v>1.8228489617375589</v>
      </c>
      <c r="Y48" s="9">
        <v>395.90951764706477</v>
      </c>
      <c r="Z48" s="9">
        <v>-1.138839184282366</v>
      </c>
      <c r="AA48" s="9">
        <v>0.2810443285695054</v>
      </c>
      <c r="AB48" s="9">
        <v>-4.0521692434747649</v>
      </c>
      <c r="AC48" s="9">
        <v>5.0744934621174982E-5</v>
      </c>
      <c r="AD48" s="9">
        <v>1.498372220901391E-2</v>
      </c>
      <c r="AE48" s="9" t="s">
        <v>4654</v>
      </c>
      <c r="AF48" s="9" t="s">
        <v>4655</v>
      </c>
      <c r="AG48" s="9" t="s">
        <v>4656</v>
      </c>
      <c r="AH48" s="9" t="s">
        <v>4657</v>
      </c>
      <c r="AI48" s="9" t="s">
        <v>43</v>
      </c>
      <c r="AJ48" s="9" t="s">
        <v>43</v>
      </c>
      <c r="AK48" s="9" t="s">
        <v>43</v>
      </c>
      <c r="AL48" s="9" t="s">
        <v>43</v>
      </c>
      <c r="AM48" s="9" t="s">
        <v>43</v>
      </c>
      <c r="AN48" s="9" t="s">
        <v>4658</v>
      </c>
      <c r="AO48" s="9" t="s">
        <v>43</v>
      </c>
    </row>
    <row r="49" spans="1:41" s="20" customFormat="1" x14ac:dyDescent="0.3">
      <c r="A49" s="9" t="s">
        <v>4659</v>
      </c>
      <c r="B49" s="9">
        <v>762</v>
      </c>
      <c r="C49" s="9" t="str">
        <f>IF(Z49&lt;0, "Down", "Up")</f>
        <v>Down</v>
      </c>
      <c r="D49" s="34" t="str">
        <f>IF(AD49&lt;0.05, "Sig", "N")</f>
        <v>Sig</v>
      </c>
      <c r="E49" s="35" t="str">
        <f>IF(AND(J49&gt;2,L49&gt;2,N49&gt;2,P49&gt;2),"Y","N")</f>
        <v>Y</v>
      </c>
      <c r="F49" s="35" t="str">
        <f>IF(AND(R49&gt;2,T49&gt;2,V49&gt;2,X49&gt;2),"Y","N")</f>
        <v>Y</v>
      </c>
      <c r="G49" s="34" t="str">
        <f>IF(AVERAGE(J49,L49,N49,P49) &gt; AVERAGE(R49,T49,V49,X49), "Smaller", IF(AVERAGE(J49,L49,N49,P49) &lt; AVERAGE(R49,T49,V49,X49), "Larger", "Equal"))</f>
        <v>Smaller</v>
      </c>
      <c r="H49" s="35" t="str">
        <f>IF(OR(E49="Y", F49="Y"), "Expressed", "N")</f>
        <v>Expressed</v>
      </c>
      <c r="I49" s="9">
        <v>336</v>
      </c>
      <c r="J49" s="9">
        <v>8.1319477717220376</v>
      </c>
      <c r="K49" s="9">
        <v>546</v>
      </c>
      <c r="L49" s="9">
        <v>7.4059670917925944</v>
      </c>
      <c r="M49" s="9">
        <v>496</v>
      </c>
      <c r="N49" s="9">
        <v>6.1275149643074576</v>
      </c>
      <c r="O49" s="9">
        <v>188</v>
      </c>
      <c r="P49" s="9">
        <v>6.5117825633914341</v>
      </c>
      <c r="Q49" s="9">
        <v>68</v>
      </c>
      <c r="R49" s="9">
        <v>2.2154352779505322</v>
      </c>
      <c r="S49" s="9">
        <v>124</v>
      </c>
      <c r="T49" s="9">
        <v>2.647304792140114</v>
      </c>
      <c r="U49" s="9">
        <v>46</v>
      </c>
      <c r="V49" s="9">
        <v>2.3383660383287199</v>
      </c>
      <c r="W49" s="9">
        <v>248</v>
      </c>
      <c r="X49" s="9">
        <v>3.6482729056587542</v>
      </c>
      <c r="Y49" s="9">
        <v>211.056435032541</v>
      </c>
      <c r="Z49" s="9">
        <v>-1.2211613642169961</v>
      </c>
      <c r="AA49" s="9">
        <v>0.2446920158806111</v>
      </c>
      <c r="AB49" s="9">
        <v>-4.9906056796426874</v>
      </c>
      <c r="AC49" s="9">
        <v>6.0190258963157982E-7</v>
      </c>
      <c r="AD49" s="9">
        <v>6.2491080152556121E-4</v>
      </c>
      <c r="AE49" s="9" t="s">
        <v>4660</v>
      </c>
      <c r="AF49" s="9" t="s">
        <v>4661</v>
      </c>
      <c r="AG49" s="9" t="s">
        <v>43</v>
      </c>
      <c r="AH49" s="9" t="s">
        <v>43</v>
      </c>
      <c r="AI49" s="9" t="s">
        <v>43</v>
      </c>
      <c r="AJ49" s="9" t="s">
        <v>43</v>
      </c>
      <c r="AK49" s="9" t="s">
        <v>43</v>
      </c>
      <c r="AL49" s="9" t="s">
        <v>43</v>
      </c>
      <c r="AM49" s="9" t="s">
        <v>43</v>
      </c>
      <c r="AN49" s="9" t="s">
        <v>43</v>
      </c>
      <c r="AO49" s="9" t="s">
        <v>43</v>
      </c>
    </row>
    <row r="50" spans="1:41" s="20" customFormat="1" x14ac:dyDescent="0.3">
      <c r="A50" s="9" t="s">
        <v>4662</v>
      </c>
      <c r="B50" s="9">
        <v>2454</v>
      </c>
      <c r="C50" s="9" t="str">
        <f>IF(Z50&lt;0, "Down", "Up")</f>
        <v>Down</v>
      </c>
      <c r="D50" s="34" t="str">
        <f>IF(AD50&lt;0.05, "Sig", "N")</f>
        <v>Sig</v>
      </c>
      <c r="E50" s="35" t="str">
        <f>IF(AND(J50&gt;2,L50&gt;2,N50&gt;2,P50&gt;2),"Y","N")</f>
        <v>Y</v>
      </c>
      <c r="F50" s="35" t="str">
        <f>IF(AND(R50&gt;2,T50&gt;2,V50&gt;2,X50&gt;2),"Y","N")</f>
        <v>N</v>
      </c>
      <c r="G50" s="34" t="str">
        <f>IF(AVERAGE(J50,L50,N50,P50) &gt; AVERAGE(R50,T50,V50,X50), "Smaller", IF(AVERAGE(J50,L50,N50,P50) &lt; AVERAGE(R50,T50,V50,X50), "Larger", "Equal"))</f>
        <v>Smaller</v>
      </c>
      <c r="H50" s="35" t="str">
        <f>IF(OR(E50="Y", F50="Y"), "Expressed", "N")</f>
        <v>Expressed</v>
      </c>
      <c r="I50" s="9">
        <v>701</v>
      </c>
      <c r="J50" s="9">
        <v>5.2680966517718719</v>
      </c>
      <c r="K50" s="9">
        <v>1416</v>
      </c>
      <c r="L50" s="9">
        <v>5.9639336273195864</v>
      </c>
      <c r="M50" s="9">
        <v>660</v>
      </c>
      <c r="N50" s="9">
        <v>2.5317863411361849</v>
      </c>
      <c r="O50" s="9">
        <v>496</v>
      </c>
      <c r="P50" s="9">
        <v>5.3346278836960046</v>
      </c>
      <c r="Q50" s="9">
        <v>224</v>
      </c>
      <c r="R50" s="9">
        <v>2.2660974682560311</v>
      </c>
      <c r="S50" s="9">
        <v>195</v>
      </c>
      <c r="T50" s="9">
        <v>1.2926986193183601</v>
      </c>
      <c r="U50" s="9">
        <v>161</v>
      </c>
      <c r="V50" s="9">
        <v>2.541329349724001</v>
      </c>
      <c r="W50" s="9">
        <v>461</v>
      </c>
      <c r="X50" s="9">
        <v>2.1057992922115609</v>
      </c>
      <c r="Y50" s="9">
        <v>473.74768103189018</v>
      </c>
      <c r="Z50" s="9">
        <v>-1.1054497183334759</v>
      </c>
      <c r="AA50" s="9">
        <v>0.28906946644688691</v>
      </c>
      <c r="AB50" s="9">
        <v>-3.8241663220995679</v>
      </c>
      <c r="AC50" s="9">
        <v>1.3121531845232141E-4</v>
      </c>
      <c r="AD50" s="9">
        <v>2.5307074817975141E-2</v>
      </c>
      <c r="AE50" s="9" t="s">
        <v>4663</v>
      </c>
      <c r="AF50" s="9" t="s">
        <v>4664</v>
      </c>
      <c r="AG50" s="9" t="s">
        <v>43</v>
      </c>
      <c r="AH50" s="9" t="s">
        <v>4665</v>
      </c>
      <c r="AI50" s="9" t="s">
        <v>43</v>
      </c>
      <c r="AJ50" s="9" t="s">
        <v>43</v>
      </c>
      <c r="AK50" s="9" t="s">
        <v>43</v>
      </c>
      <c r="AL50" s="9" t="s">
        <v>43</v>
      </c>
      <c r="AM50" s="9" t="s">
        <v>43</v>
      </c>
      <c r="AN50" s="9" t="s">
        <v>3480</v>
      </c>
      <c r="AO50" s="9" t="s">
        <v>43</v>
      </c>
    </row>
    <row r="51" spans="1:41" s="20" customFormat="1" x14ac:dyDescent="0.3">
      <c r="A51" s="9" t="s">
        <v>4666</v>
      </c>
      <c r="B51" s="9">
        <v>4223</v>
      </c>
      <c r="C51" s="9" t="str">
        <f>IF(Z51&lt;0, "Down", "Up")</f>
        <v>Down</v>
      </c>
      <c r="D51" s="34" t="str">
        <f>IF(AD51&lt;0.05, "Sig", "N")</f>
        <v>Sig</v>
      </c>
      <c r="E51" s="35" t="str">
        <f>IF(AND(J51&gt;2,L51&gt;2,N51&gt;2,P51&gt;2),"Y","N")</f>
        <v>Y</v>
      </c>
      <c r="F51" s="35" t="str">
        <f>IF(AND(R51&gt;2,T51&gt;2,V51&gt;2,X51&gt;2),"Y","N")</f>
        <v>Y</v>
      </c>
      <c r="G51" s="34" t="str">
        <f>IF(AVERAGE(J51,L51,N51,P51) &gt; AVERAGE(R51,T51,V51,X51), "Smaller", IF(AVERAGE(J51,L51,N51,P51) &lt; AVERAGE(R51,T51,V51,X51), "Larger", "Equal"))</f>
        <v>Smaller</v>
      </c>
      <c r="H51" s="35" t="str">
        <f>IF(OR(E51="Y", F51="Y"), "Expressed", "N")</f>
        <v>Expressed</v>
      </c>
      <c r="I51" s="9">
        <v>1777</v>
      </c>
      <c r="J51" s="9">
        <v>7.7602662341195234</v>
      </c>
      <c r="K51" s="9">
        <v>2960</v>
      </c>
      <c r="L51" s="9">
        <v>7.2446054160410744</v>
      </c>
      <c r="M51" s="9">
        <v>3161</v>
      </c>
      <c r="N51" s="9">
        <v>7.0462993549427946</v>
      </c>
      <c r="O51" s="9">
        <v>1200</v>
      </c>
      <c r="P51" s="9">
        <v>7.4999294340076972</v>
      </c>
      <c r="Q51" s="9">
        <v>883</v>
      </c>
      <c r="R51" s="9">
        <v>5.1909249245305942</v>
      </c>
      <c r="S51" s="9">
        <v>1091</v>
      </c>
      <c r="T51" s="9">
        <v>4.2028210729785176</v>
      </c>
      <c r="U51" s="9">
        <v>545</v>
      </c>
      <c r="V51" s="9">
        <v>4.9990220843287503</v>
      </c>
      <c r="W51" s="9">
        <v>1685</v>
      </c>
      <c r="X51" s="9">
        <v>4.4726965262031566</v>
      </c>
      <c r="Y51" s="9">
        <v>1456.0520096227069</v>
      </c>
      <c r="Z51" s="9">
        <v>-0.52705263965279625</v>
      </c>
      <c r="AA51" s="9">
        <v>0.11542398890167491</v>
      </c>
      <c r="AB51" s="9">
        <v>-4.5662313758864403</v>
      </c>
      <c r="AC51" s="9">
        <v>4.9657065705805459E-6</v>
      </c>
      <c r="AD51" s="9">
        <v>3.073485884117978E-3</v>
      </c>
      <c r="AE51" s="9" t="s">
        <v>4667</v>
      </c>
      <c r="AF51" s="9" t="s">
        <v>4668</v>
      </c>
      <c r="AG51" s="9" t="s">
        <v>4669</v>
      </c>
      <c r="AH51" s="9" t="s">
        <v>4670</v>
      </c>
      <c r="AI51" s="9" t="s">
        <v>43</v>
      </c>
      <c r="AJ51" s="9" t="s">
        <v>43</v>
      </c>
      <c r="AK51" s="9" t="s">
        <v>43</v>
      </c>
      <c r="AL51" s="9" t="s">
        <v>43</v>
      </c>
      <c r="AM51" s="9" t="s">
        <v>43</v>
      </c>
      <c r="AN51" s="9" t="s">
        <v>4671</v>
      </c>
      <c r="AO51" s="9" t="s">
        <v>43</v>
      </c>
    </row>
    <row r="52" spans="1:41" s="20" customFormat="1" x14ac:dyDescent="0.3">
      <c r="A52" s="9" t="s">
        <v>4672</v>
      </c>
      <c r="B52" s="9">
        <v>969</v>
      </c>
      <c r="C52" s="9" t="str">
        <f>IF(Z52&lt;0, "Down", "Up")</f>
        <v>Down</v>
      </c>
      <c r="D52" s="34" t="str">
        <f>IF(AD52&lt;0.05, "Sig", "N")</f>
        <v>Sig</v>
      </c>
      <c r="E52" s="35" t="str">
        <f>IF(AND(J52&gt;2,L52&gt;2,N52&gt;2,P52&gt;2),"Y","N")</f>
        <v>Y</v>
      </c>
      <c r="F52" s="35" t="str">
        <f>IF(AND(R52&gt;2,T52&gt;2,V52&gt;2,X52&gt;2),"Y","N")</f>
        <v>Y</v>
      </c>
      <c r="G52" s="34" t="str">
        <f>IF(AVERAGE(J52,L52,N52,P52) &gt; AVERAGE(R52,T52,V52,X52), "Smaller", IF(AVERAGE(J52,L52,N52,P52) &lt; AVERAGE(R52,T52,V52,X52), "Larger", "Equal"))</f>
        <v>Smaller</v>
      </c>
      <c r="H52" s="35" t="str">
        <f>IF(OR(E52="Y", F52="Y"), "Expressed", "N")</f>
        <v>Expressed</v>
      </c>
      <c r="I52" s="9">
        <v>17162</v>
      </c>
      <c r="J52" s="9">
        <v>326.62873972805698</v>
      </c>
      <c r="K52" s="9">
        <v>2497</v>
      </c>
      <c r="L52" s="9">
        <v>26.634151874960889</v>
      </c>
      <c r="M52" s="9">
        <v>3042</v>
      </c>
      <c r="N52" s="9">
        <v>29.552423926654821</v>
      </c>
      <c r="O52" s="9">
        <v>1197</v>
      </c>
      <c r="P52" s="9">
        <v>32.60373735275023</v>
      </c>
      <c r="Q52" s="9">
        <v>3373</v>
      </c>
      <c r="R52" s="9">
        <v>86.416702372149629</v>
      </c>
      <c r="S52" s="9">
        <v>2352</v>
      </c>
      <c r="T52" s="9">
        <v>39.486693829592561</v>
      </c>
      <c r="U52" s="9">
        <v>1228</v>
      </c>
      <c r="V52" s="9">
        <v>49.089004425036201</v>
      </c>
      <c r="W52" s="9">
        <v>17453</v>
      </c>
      <c r="X52" s="9">
        <v>201.90027943305461</v>
      </c>
      <c r="Y52" s="9">
        <v>5756.4127644612954</v>
      </c>
      <c r="Z52" s="9">
        <v>-7.1532148739902213E-2</v>
      </c>
      <c r="AA52" s="9">
        <v>1.04593332014313</v>
      </c>
      <c r="AB52" s="9">
        <v>-6.8390735204910985E-2</v>
      </c>
      <c r="AC52" s="9"/>
      <c r="AD52" s="9"/>
      <c r="AE52" s="9" t="s">
        <v>4673</v>
      </c>
      <c r="AF52" s="9" t="s">
        <v>4674</v>
      </c>
      <c r="AG52" s="9" t="s">
        <v>4675</v>
      </c>
      <c r="AH52" s="9" t="s">
        <v>43</v>
      </c>
      <c r="AI52" s="9" t="s">
        <v>43</v>
      </c>
      <c r="AJ52" s="9" t="s">
        <v>43</v>
      </c>
      <c r="AK52" s="9" t="s">
        <v>43</v>
      </c>
      <c r="AL52" s="9" t="s">
        <v>43</v>
      </c>
      <c r="AM52" s="9" t="s">
        <v>43</v>
      </c>
      <c r="AN52" s="9" t="s">
        <v>43</v>
      </c>
      <c r="AO52" s="9" t="s">
        <v>43</v>
      </c>
    </row>
    <row r="53" spans="1:41" s="20" customFormat="1" x14ac:dyDescent="0.3">
      <c r="A53" s="9" t="s">
        <v>4676</v>
      </c>
      <c r="B53" s="9">
        <v>1545</v>
      </c>
      <c r="C53" s="9" t="str">
        <f>IF(Z53&lt;0, "Down", "Up")</f>
        <v>Down</v>
      </c>
      <c r="D53" s="34" t="str">
        <f>IF(AD53&lt;0.05, "Sig", "N")</f>
        <v>Sig</v>
      </c>
      <c r="E53" s="35" t="str">
        <f>IF(AND(J53&gt;2,L53&gt;2,N53&gt;2,P53&gt;2),"Y","N")</f>
        <v>Y</v>
      </c>
      <c r="F53" s="35" t="str">
        <f>IF(AND(R53&gt;2,T53&gt;2,V53&gt;2,X53&gt;2),"Y","N")</f>
        <v>Y</v>
      </c>
      <c r="G53" s="34" t="str">
        <f>IF(AVERAGE(J53,L53,N53,P53) &gt; AVERAGE(R53,T53,V53,X53), "Smaller", IF(AVERAGE(J53,L53,N53,P53) &lt; AVERAGE(R53,T53,V53,X53), "Larger", "Equal"))</f>
        <v>Smaller</v>
      </c>
      <c r="H53" s="35" t="str">
        <f>IF(OR(E53="Y", F53="Y"), "Expressed", "N")</f>
        <v>Expressed</v>
      </c>
      <c r="I53" s="9">
        <v>641</v>
      </c>
      <c r="J53" s="9">
        <v>7.6513808628360591</v>
      </c>
      <c r="K53" s="9">
        <v>1126</v>
      </c>
      <c r="L53" s="9">
        <v>7.5327579647962208</v>
      </c>
      <c r="M53" s="9">
        <v>2022</v>
      </c>
      <c r="N53" s="9">
        <v>12.3199896472312</v>
      </c>
      <c r="O53" s="9">
        <v>316</v>
      </c>
      <c r="P53" s="9">
        <v>5.3982825415002074</v>
      </c>
      <c r="Q53" s="9">
        <v>175</v>
      </c>
      <c r="R53" s="9">
        <v>2.8119959481696499</v>
      </c>
      <c r="S53" s="9">
        <v>196</v>
      </c>
      <c r="T53" s="9">
        <v>2.06378674869877</v>
      </c>
      <c r="U53" s="9">
        <v>169</v>
      </c>
      <c r="V53" s="9">
        <v>4.2370916235246376</v>
      </c>
      <c r="W53" s="9">
        <v>373</v>
      </c>
      <c r="X53" s="9">
        <v>2.7062689604441101</v>
      </c>
      <c r="Y53" s="9">
        <v>485.1316462140673</v>
      </c>
      <c r="Z53" s="9">
        <v>-1.3677724636255779</v>
      </c>
      <c r="AA53" s="9">
        <v>0.27397563965986271</v>
      </c>
      <c r="AB53" s="9">
        <v>-4.9923141536366176</v>
      </c>
      <c r="AC53" s="9">
        <v>5.9660110640758307E-7</v>
      </c>
      <c r="AD53" s="9">
        <v>6.2491080152556121E-4</v>
      </c>
      <c r="AE53" s="9" t="s">
        <v>4677</v>
      </c>
      <c r="AF53" s="9" t="s">
        <v>4678</v>
      </c>
      <c r="AG53" s="9" t="s">
        <v>4679</v>
      </c>
      <c r="AH53" s="9" t="s">
        <v>4680</v>
      </c>
      <c r="AI53" s="9" t="s">
        <v>43</v>
      </c>
      <c r="AJ53" s="9" t="s">
        <v>43</v>
      </c>
      <c r="AK53" s="9" t="s">
        <v>43</v>
      </c>
      <c r="AL53" s="9" t="s">
        <v>43</v>
      </c>
      <c r="AM53" s="9" t="s">
        <v>43</v>
      </c>
      <c r="AN53" s="9" t="s">
        <v>4681</v>
      </c>
      <c r="AO53" s="9" t="s">
        <v>43</v>
      </c>
    </row>
    <row r="54" spans="1:41" s="20" customFormat="1" x14ac:dyDescent="0.3">
      <c r="A54" s="9" t="s">
        <v>4682</v>
      </c>
      <c r="B54" s="9">
        <v>968</v>
      </c>
      <c r="C54" s="9" t="str">
        <f>IF(Z54&lt;0, "Down", "Up")</f>
        <v>Down</v>
      </c>
      <c r="D54" s="34" t="str">
        <f>IF(AD54&lt;0.05, "Sig", "N")</f>
        <v>Sig</v>
      </c>
      <c r="E54" s="35" t="str">
        <f>IF(AND(J54&gt;2,L54&gt;2,N54&gt;2,P54&gt;2),"Y","N")</f>
        <v>Y</v>
      </c>
      <c r="F54" s="35" t="str">
        <f>IF(AND(R54&gt;2,T54&gt;2,V54&gt;2,X54&gt;2),"Y","N")</f>
        <v>Y</v>
      </c>
      <c r="G54" s="34" t="str">
        <f>IF(AVERAGE(J54,L54,N54,P54) &gt; AVERAGE(R54,T54,V54,X54), "Smaller", IF(AVERAGE(J54,L54,N54,P54) &lt; AVERAGE(R54,T54,V54,X54), "Larger", "Equal"))</f>
        <v>Smaller</v>
      </c>
      <c r="H54" s="35" t="str">
        <f>IF(OR(E54="Y", F54="Y"), "Expressed", "N")</f>
        <v>Expressed</v>
      </c>
      <c r="I54" s="9">
        <v>394</v>
      </c>
      <c r="J54" s="9">
        <v>7.5063902486981124</v>
      </c>
      <c r="K54" s="9">
        <v>823</v>
      </c>
      <c r="L54" s="9">
        <v>8.7875656888708313</v>
      </c>
      <c r="M54" s="9">
        <v>803</v>
      </c>
      <c r="N54" s="9">
        <v>7.8090438829858568</v>
      </c>
      <c r="O54" s="9">
        <v>414</v>
      </c>
      <c r="P54" s="9">
        <v>11.288129844975209</v>
      </c>
      <c r="Q54" s="9">
        <v>209</v>
      </c>
      <c r="R54" s="9">
        <v>5.3601390297740306</v>
      </c>
      <c r="S54" s="9">
        <v>251</v>
      </c>
      <c r="T54" s="9">
        <v>4.2182818677877778</v>
      </c>
      <c r="U54" s="9">
        <v>160</v>
      </c>
      <c r="V54" s="9">
        <v>6.4025688868360948</v>
      </c>
      <c r="W54" s="9">
        <v>415</v>
      </c>
      <c r="X54" s="9">
        <v>4.805774047572597</v>
      </c>
      <c r="Y54" s="9">
        <v>384.86195318353481</v>
      </c>
      <c r="Z54" s="9">
        <v>-0.64489607466077692</v>
      </c>
      <c r="AA54" s="9">
        <v>0.17562409498751269</v>
      </c>
      <c r="AB54" s="9">
        <v>-3.6720250413625228</v>
      </c>
      <c r="AC54" s="9">
        <v>2.4063609639957709E-4</v>
      </c>
      <c r="AD54" s="9">
        <v>3.9314074937159327E-2</v>
      </c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</row>
    <row r="55" spans="1:41" s="20" customFormat="1" x14ac:dyDescent="0.3">
      <c r="A55" s="9" t="s">
        <v>4683</v>
      </c>
      <c r="B55" s="9">
        <v>2224</v>
      </c>
      <c r="C55" s="9" t="str">
        <f>IF(Z55&lt;0, "Down", "Up")</f>
        <v>Down</v>
      </c>
      <c r="D55" s="34" t="str">
        <f>IF(AD55&lt;0.05, "Sig", "N")</f>
        <v>Sig</v>
      </c>
      <c r="E55" s="35" t="str">
        <f>IF(AND(J55&gt;2,L55&gt;2,N55&gt;2,P55&gt;2),"Y","N")</f>
        <v>Y</v>
      </c>
      <c r="F55" s="35" t="str">
        <f>IF(AND(R55&gt;2,T55&gt;2,V55&gt;2,X55&gt;2),"Y","N")</f>
        <v>Y</v>
      </c>
      <c r="G55" s="34" t="str">
        <f>IF(AVERAGE(J55,L55,N55,P55) &gt; AVERAGE(R55,T55,V55,X55), "Smaller", IF(AVERAGE(J55,L55,N55,P55) &lt; AVERAGE(R55,T55,V55,X55), "Larger", "Equal"))</f>
        <v>Smaller</v>
      </c>
      <c r="H55" s="35" t="str">
        <f>IF(OR(E55="Y", F55="Y"), "Expressed", "N")</f>
        <v>Expressed</v>
      </c>
      <c r="I55" s="9">
        <v>12759</v>
      </c>
      <c r="J55" s="9">
        <v>105.80157410765661</v>
      </c>
      <c r="K55" s="9">
        <v>3267</v>
      </c>
      <c r="L55" s="9">
        <v>15.183030279511099</v>
      </c>
      <c r="M55" s="9">
        <v>3213</v>
      </c>
      <c r="N55" s="9">
        <v>13.599834333121571</v>
      </c>
      <c r="O55" s="9">
        <v>1851</v>
      </c>
      <c r="P55" s="9">
        <v>21.966893698162711</v>
      </c>
      <c r="Q55" s="9">
        <v>2470</v>
      </c>
      <c r="R55" s="9">
        <v>27.571938174736921</v>
      </c>
      <c r="S55" s="9">
        <v>2595</v>
      </c>
      <c r="T55" s="9">
        <v>18.981905687695591</v>
      </c>
      <c r="U55" s="9">
        <v>1447</v>
      </c>
      <c r="V55" s="9">
        <v>25.202486031687751</v>
      </c>
      <c r="W55" s="9">
        <v>9332</v>
      </c>
      <c r="X55" s="9">
        <v>47.036018833714522</v>
      </c>
      <c r="Y55" s="9">
        <v>4524.7760475278956</v>
      </c>
      <c r="Z55" s="9">
        <v>-0.32840225436045212</v>
      </c>
      <c r="AA55" s="9">
        <v>0.79661355591244709</v>
      </c>
      <c r="AB55" s="9">
        <v>-0.41224788597062939</v>
      </c>
      <c r="AC55" s="9"/>
      <c r="AD55" s="9"/>
      <c r="AE55" s="9" t="s">
        <v>4684</v>
      </c>
      <c r="AF55" s="9" t="s">
        <v>4685</v>
      </c>
      <c r="AG55" s="9" t="s">
        <v>43</v>
      </c>
      <c r="AH55" s="9" t="s">
        <v>4686</v>
      </c>
      <c r="AI55" s="9" t="s">
        <v>43</v>
      </c>
      <c r="AJ55" s="9" t="s">
        <v>43</v>
      </c>
      <c r="AK55" s="9" t="s">
        <v>43</v>
      </c>
      <c r="AL55" s="9" t="s">
        <v>43</v>
      </c>
      <c r="AM55" s="9" t="s">
        <v>43</v>
      </c>
      <c r="AN55" s="9" t="s">
        <v>4687</v>
      </c>
      <c r="AO55" s="9" t="s">
        <v>43</v>
      </c>
    </row>
    <row r="56" spans="1:41" s="20" customFormat="1" x14ac:dyDescent="0.3">
      <c r="A56" s="9" t="s">
        <v>4688</v>
      </c>
      <c r="B56" s="9">
        <v>1854</v>
      </c>
      <c r="C56" s="9" t="str">
        <f>IF(Z56&lt;0, "Down", "Up")</f>
        <v>Down</v>
      </c>
      <c r="D56" s="34" t="str">
        <f>IF(AD56&lt;0.05, "Sig", "N")</f>
        <v>Sig</v>
      </c>
      <c r="E56" s="35" t="str">
        <f>IF(AND(J56&gt;2,L56&gt;2,N56&gt;2,P56&gt;2),"Y","N")</f>
        <v>Y</v>
      </c>
      <c r="F56" s="35" t="str">
        <f>IF(AND(R56&gt;2,T56&gt;2,V56&gt;2,X56&gt;2),"Y","N")</f>
        <v>Y</v>
      </c>
      <c r="G56" s="34" t="str">
        <f>IF(AVERAGE(J56,L56,N56,P56) &gt; AVERAGE(R56,T56,V56,X56), "Smaller", IF(AVERAGE(J56,L56,N56,P56) &lt; AVERAGE(R56,T56,V56,X56), "Larger", "Equal"))</f>
        <v>Smaller</v>
      </c>
      <c r="H56" s="35" t="str">
        <f>IF(OR(E56="Y", F56="Y"), "Expressed", "N")</f>
        <v>Expressed</v>
      </c>
      <c r="I56" s="9">
        <v>744</v>
      </c>
      <c r="J56" s="9">
        <v>7.4007115989989964</v>
      </c>
      <c r="K56" s="9">
        <v>1716</v>
      </c>
      <c r="L56" s="9">
        <v>9.5664688185245073</v>
      </c>
      <c r="M56" s="9">
        <v>1509</v>
      </c>
      <c r="N56" s="9">
        <v>7.6619124537058552</v>
      </c>
      <c r="O56" s="9">
        <v>726</v>
      </c>
      <c r="P56" s="9">
        <v>10.33531942280894</v>
      </c>
      <c r="Q56" s="9">
        <v>331</v>
      </c>
      <c r="R56" s="9">
        <v>4.4322412325912106</v>
      </c>
      <c r="S56" s="9">
        <v>416</v>
      </c>
      <c r="T56" s="9">
        <v>3.650235065725715</v>
      </c>
      <c r="U56" s="9">
        <v>241</v>
      </c>
      <c r="V56" s="9">
        <v>5.0352025703621184</v>
      </c>
      <c r="W56" s="9">
        <v>653</v>
      </c>
      <c r="X56" s="9">
        <v>3.9481537783065321</v>
      </c>
      <c r="Y56" s="9">
        <v>680.31227899161547</v>
      </c>
      <c r="Z56" s="9">
        <v>-0.91080166859832601</v>
      </c>
      <c r="AA56" s="9">
        <v>0.14780568882473469</v>
      </c>
      <c r="AB56" s="9">
        <v>-6.1621557048344586</v>
      </c>
      <c r="AC56" s="9">
        <v>7.1761235992696929E-10</v>
      </c>
      <c r="AD56" s="9">
        <v>2.5662615338055008E-6</v>
      </c>
      <c r="AE56" s="9" t="s">
        <v>4689</v>
      </c>
      <c r="AF56" s="9" t="s">
        <v>4690</v>
      </c>
      <c r="AG56" s="9" t="s">
        <v>4691</v>
      </c>
      <c r="AH56" s="9" t="s">
        <v>4692</v>
      </c>
      <c r="AI56" s="9" t="s">
        <v>43</v>
      </c>
      <c r="AJ56" s="9" t="s">
        <v>43</v>
      </c>
      <c r="AK56" s="9" t="s">
        <v>43</v>
      </c>
      <c r="AL56" s="9" t="s">
        <v>43</v>
      </c>
      <c r="AM56" s="9" t="s">
        <v>43</v>
      </c>
      <c r="AN56" s="9" t="s">
        <v>4693</v>
      </c>
      <c r="AO56" s="9" t="s">
        <v>43</v>
      </c>
    </row>
    <row r="57" spans="1:41" s="20" customFormat="1" x14ac:dyDescent="0.3">
      <c r="A57" s="9" t="s">
        <v>2001</v>
      </c>
      <c r="B57" s="9">
        <v>1541</v>
      </c>
      <c r="C57" s="9" t="str">
        <f>IF(Z57&lt;0, "Down", "Up")</f>
        <v>Down</v>
      </c>
      <c r="D57" s="34" t="str">
        <f>IF(AD57&lt;0.05, "Sig", "N")</f>
        <v>Sig</v>
      </c>
      <c r="E57" s="35" t="str">
        <f>IF(AND(J57&gt;2,L57&gt;2,N57&gt;2,P57&gt;2),"Y","N")</f>
        <v>Y</v>
      </c>
      <c r="F57" s="35" t="str">
        <f>IF(AND(R57&gt;2,T57&gt;2,V57&gt;2,X57&gt;2),"Y","N")</f>
        <v>Y</v>
      </c>
      <c r="G57" s="34" t="str">
        <f>IF(AVERAGE(J57,L57,N57,P57) &gt; AVERAGE(R57,T57,V57,X57), "Smaller", IF(AVERAGE(J57,L57,N57,P57) &lt; AVERAGE(R57,T57,V57,X57), "Larger", "Equal"))</f>
        <v>Smaller</v>
      </c>
      <c r="H57" s="35" t="str">
        <f>IF(OR(E57="Y", F57="Y"), "Expressed", "N")</f>
        <v>Expressed</v>
      </c>
      <c r="I57" s="9">
        <v>2950</v>
      </c>
      <c r="J57" s="9">
        <v>35.304466402563982</v>
      </c>
      <c r="K57" s="9">
        <v>8985</v>
      </c>
      <c r="L57" s="9">
        <v>60.264221310616563</v>
      </c>
      <c r="M57" s="9">
        <v>9197</v>
      </c>
      <c r="N57" s="9">
        <v>56.182521046467258</v>
      </c>
      <c r="O57" s="9">
        <v>3712</v>
      </c>
      <c r="P57" s="9">
        <v>63.577338212909069</v>
      </c>
      <c r="Q57" s="9">
        <v>703</v>
      </c>
      <c r="R57" s="9">
        <v>11.325511149217551</v>
      </c>
      <c r="S57" s="9">
        <v>2483</v>
      </c>
      <c r="T57" s="9">
        <v>26.212673184303942</v>
      </c>
      <c r="U57" s="9">
        <v>1062</v>
      </c>
      <c r="V57" s="9">
        <v>26.695097569636982</v>
      </c>
      <c r="W57" s="9">
        <v>3862</v>
      </c>
      <c r="X57" s="9">
        <v>28.09313713021611</v>
      </c>
      <c r="Y57" s="9">
        <v>3336.1829299574861</v>
      </c>
      <c r="Z57" s="9">
        <v>-1.066436819479915</v>
      </c>
      <c r="AA57" s="9">
        <v>0.28010187411522741</v>
      </c>
      <c r="AB57" s="9">
        <v>-3.8073176869970098</v>
      </c>
      <c r="AC57" s="9">
        <v>1.40482232577117E-4</v>
      </c>
      <c r="AD57" s="9">
        <v>2.6596592091144171E-2</v>
      </c>
      <c r="AE57" s="9" t="s">
        <v>2002</v>
      </c>
      <c r="AF57" s="9" t="s">
        <v>2003</v>
      </c>
      <c r="AG57" s="9" t="s">
        <v>2004</v>
      </c>
      <c r="AH57" s="9" t="s">
        <v>2005</v>
      </c>
      <c r="AI57" s="9" t="s">
        <v>43</v>
      </c>
      <c r="AJ57" s="9" t="s">
        <v>43</v>
      </c>
      <c r="AK57" s="9" t="s">
        <v>43</v>
      </c>
      <c r="AL57" s="9" t="s">
        <v>43</v>
      </c>
      <c r="AM57" s="9" t="s">
        <v>43</v>
      </c>
      <c r="AN57" s="9" t="s">
        <v>345</v>
      </c>
      <c r="AO57" s="9" t="s">
        <v>43</v>
      </c>
    </row>
    <row r="58" spans="1:41" s="20" customFormat="1" x14ac:dyDescent="0.3">
      <c r="A58" s="9" t="s">
        <v>4694</v>
      </c>
      <c r="B58" s="9">
        <v>1901</v>
      </c>
      <c r="C58" s="9" t="str">
        <f>IF(Z58&lt;0, "Down", "Up")</f>
        <v>Down</v>
      </c>
      <c r="D58" s="34" t="str">
        <f>IF(AD58&lt;0.05, "Sig", "N")</f>
        <v>Sig</v>
      </c>
      <c r="E58" s="35" t="str">
        <f>IF(AND(J58&gt;2,L58&gt;2,N58&gt;2,P58&gt;2),"Y","N")</f>
        <v>Y</v>
      </c>
      <c r="F58" s="35" t="str">
        <f>IF(AND(R58&gt;2,T58&gt;2,V58&gt;2,X58&gt;2),"Y","N")</f>
        <v>N</v>
      </c>
      <c r="G58" s="34" t="str">
        <f>IF(AVERAGE(J58,L58,N58,P58) &gt; AVERAGE(R58,T58,V58,X58), "Smaller", IF(AVERAGE(J58,L58,N58,P58) &lt; AVERAGE(R58,T58,V58,X58), "Larger", "Equal"))</f>
        <v>Smaller</v>
      </c>
      <c r="H58" s="35" t="str">
        <f>IF(OR(E58="Y", F58="Y"), "Expressed", "N")</f>
        <v>Expressed</v>
      </c>
      <c r="I58" s="9">
        <v>233</v>
      </c>
      <c r="J58" s="9">
        <v>2.260393651020391</v>
      </c>
      <c r="K58" s="9">
        <v>857</v>
      </c>
      <c r="L58" s="9">
        <v>4.6595375037060549</v>
      </c>
      <c r="M58" s="9">
        <v>1097</v>
      </c>
      <c r="N58" s="9">
        <v>5.4322804889129923</v>
      </c>
      <c r="O58" s="9">
        <v>311</v>
      </c>
      <c r="P58" s="9">
        <v>4.3179268902079224</v>
      </c>
      <c r="Q58" s="9">
        <v>114</v>
      </c>
      <c r="R58" s="9">
        <v>1.488770861504833</v>
      </c>
      <c r="S58" s="9">
        <v>135</v>
      </c>
      <c r="T58" s="9">
        <v>1.1552843323864079</v>
      </c>
      <c r="U58" s="9">
        <v>149</v>
      </c>
      <c r="V58" s="9">
        <v>3.036084020535716</v>
      </c>
      <c r="W58" s="9">
        <v>220</v>
      </c>
      <c r="X58" s="9">
        <v>1.2972723819056049</v>
      </c>
      <c r="Y58" s="9">
        <v>313.29757105408538</v>
      </c>
      <c r="Z58" s="9">
        <v>-1.1447840234461251</v>
      </c>
      <c r="AA58" s="9">
        <v>0.31643298120763003</v>
      </c>
      <c r="AB58" s="9">
        <v>-3.6177771959079261</v>
      </c>
      <c r="AC58" s="9">
        <v>2.9714401803435461E-4</v>
      </c>
      <c r="AD58" s="9">
        <v>4.48994376546277E-2</v>
      </c>
      <c r="AE58" s="9" t="s">
        <v>4695</v>
      </c>
      <c r="AF58" s="9" t="s">
        <v>4696</v>
      </c>
      <c r="AG58" s="9" t="s">
        <v>4697</v>
      </c>
      <c r="AH58" s="9" t="s">
        <v>4698</v>
      </c>
      <c r="AI58" s="9" t="s">
        <v>43</v>
      </c>
      <c r="AJ58" s="9" t="s">
        <v>43</v>
      </c>
      <c r="AK58" s="9" t="s">
        <v>43</v>
      </c>
      <c r="AL58" s="9" t="s">
        <v>43</v>
      </c>
      <c r="AM58" s="9" t="s">
        <v>43</v>
      </c>
      <c r="AN58" s="9" t="s">
        <v>4699</v>
      </c>
      <c r="AO58" s="9" t="s">
        <v>43</v>
      </c>
    </row>
    <row r="59" spans="1:41" s="20" customFormat="1" x14ac:dyDescent="0.3">
      <c r="A59" s="9" t="s">
        <v>4700</v>
      </c>
      <c r="B59" s="9">
        <v>1904</v>
      </c>
      <c r="C59" s="9" t="str">
        <f>IF(Z59&lt;0, "Down", "Up")</f>
        <v>Down</v>
      </c>
      <c r="D59" s="34" t="str">
        <f>IF(AD59&lt;0.05, "Sig", "N")</f>
        <v>Sig</v>
      </c>
      <c r="E59" s="35" t="str">
        <f>IF(AND(J59&gt;2,L59&gt;2,N59&gt;2,P59&gt;2),"Y","N")</f>
        <v>Y</v>
      </c>
      <c r="F59" s="35" t="str">
        <f>IF(AND(R59&gt;2,T59&gt;2,V59&gt;2,X59&gt;2),"Y","N")</f>
        <v>N</v>
      </c>
      <c r="G59" s="34" t="str">
        <f>IF(AVERAGE(J59,L59,N59,P59) &gt; AVERAGE(R59,T59,V59,X59), "Smaller", IF(AVERAGE(J59,L59,N59,P59) &lt; AVERAGE(R59,T59,V59,X59), "Larger", "Equal"))</f>
        <v>Smaller</v>
      </c>
      <c r="H59" s="35" t="str">
        <f>IF(OR(E59="Y", F59="Y"), "Expressed", "N")</f>
        <v>Expressed</v>
      </c>
      <c r="I59" s="9">
        <v>294</v>
      </c>
      <c r="J59" s="9">
        <v>2.8476765634431032</v>
      </c>
      <c r="K59" s="9">
        <v>497</v>
      </c>
      <c r="L59" s="9">
        <v>2.6979478533732149</v>
      </c>
      <c r="M59" s="9">
        <v>582</v>
      </c>
      <c r="N59" s="9">
        <v>2.8774892908297138</v>
      </c>
      <c r="O59" s="9">
        <v>168</v>
      </c>
      <c r="P59" s="9">
        <v>2.3288383823393022</v>
      </c>
      <c r="Q59" s="9">
        <v>74</v>
      </c>
      <c r="R59" s="9">
        <v>0.9648724392384036</v>
      </c>
      <c r="S59" s="9">
        <v>148</v>
      </c>
      <c r="T59" s="9">
        <v>1.264538345581431</v>
      </c>
      <c r="U59" s="9">
        <v>92</v>
      </c>
      <c r="V59" s="9">
        <v>1.8716753374017701</v>
      </c>
      <c r="W59" s="9">
        <v>224</v>
      </c>
      <c r="X59" s="9">
        <v>1.318777966846286</v>
      </c>
      <c r="Y59" s="9">
        <v>218.44608711130729</v>
      </c>
      <c r="Z59" s="9">
        <v>-0.87828681013019994</v>
      </c>
      <c r="AA59" s="9">
        <v>0.2177096152040201</v>
      </c>
      <c r="AB59" s="9">
        <v>-4.0342123121532314</v>
      </c>
      <c r="AC59" s="9">
        <v>5.4785766039574762E-5</v>
      </c>
      <c r="AD59" s="9">
        <v>1.544530869472072E-2</v>
      </c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</row>
    <row r="60" spans="1:41" s="20" customFormat="1" x14ac:dyDescent="0.3">
      <c r="A60" s="9" t="s">
        <v>4162</v>
      </c>
      <c r="B60" s="9">
        <v>4279</v>
      </c>
      <c r="C60" s="9" t="str">
        <f>IF(Z60&lt;0, "Down", "Up")</f>
        <v>Down</v>
      </c>
      <c r="D60" s="34" t="str">
        <f>IF(AD60&lt;0.05, "Sig", "N")</f>
        <v>Sig</v>
      </c>
      <c r="E60" s="35" t="str">
        <f>IF(AND(J60&gt;2,L60&gt;2,N60&gt;2,P60&gt;2),"Y","N")</f>
        <v>Y</v>
      </c>
      <c r="F60" s="35" t="str">
        <f>IF(AND(R60&gt;2,T60&gt;2,V60&gt;2,X60&gt;2),"Y","N")</f>
        <v>Y</v>
      </c>
      <c r="G60" s="34" t="str">
        <f>IF(AVERAGE(J60,L60,N60,P60) &gt; AVERAGE(R60,T60,V60,X60), "Smaller", IF(AVERAGE(J60,L60,N60,P60) &lt; AVERAGE(R60,T60,V60,X60), "Larger", "Equal"))</f>
        <v>Smaller</v>
      </c>
      <c r="H60" s="35" t="str">
        <f>IF(OR(E60="Y", F60="Y"), "Expressed", "N")</f>
        <v>Expressed</v>
      </c>
      <c r="I60" s="9">
        <v>8497</v>
      </c>
      <c r="J60" s="9">
        <v>36.621287297903862</v>
      </c>
      <c r="K60" s="9">
        <v>17549</v>
      </c>
      <c r="L60" s="9">
        <v>42.389099832612807</v>
      </c>
      <c r="M60" s="9">
        <v>18968</v>
      </c>
      <c r="N60" s="9">
        <v>41.72889935485459</v>
      </c>
      <c r="O60" s="9">
        <v>6227</v>
      </c>
      <c r="P60" s="9">
        <v>38.409052320021217</v>
      </c>
      <c r="Q60" s="9">
        <v>2299</v>
      </c>
      <c r="R60" s="9">
        <v>13.33834082473332</v>
      </c>
      <c r="S60" s="9">
        <v>4100</v>
      </c>
      <c r="T60" s="9">
        <v>15.587583833282091</v>
      </c>
      <c r="U60" s="9">
        <v>3409</v>
      </c>
      <c r="V60" s="9">
        <v>30.859888263170529</v>
      </c>
      <c r="W60" s="9">
        <v>4999</v>
      </c>
      <c r="X60" s="9">
        <v>13.095782654416681</v>
      </c>
      <c r="Y60" s="9">
        <v>6991.0559419171186</v>
      </c>
      <c r="Z60" s="9">
        <v>-1.0119987565612349</v>
      </c>
      <c r="AA60" s="9">
        <v>0.2430129275459029</v>
      </c>
      <c r="AB60" s="9">
        <v>-4.1643823922498031</v>
      </c>
      <c r="AC60" s="9">
        <v>3.1219650053684913E-5</v>
      </c>
      <c r="AD60" s="9">
        <v>1.0466712885185921E-2</v>
      </c>
      <c r="AE60" s="9" t="s">
        <v>4163</v>
      </c>
      <c r="AF60" s="9" t="s">
        <v>4164</v>
      </c>
      <c r="AG60" s="9" t="s">
        <v>4165</v>
      </c>
      <c r="AH60" s="9" t="s">
        <v>4166</v>
      </c>
      <c r="AI60" s="9" t="s">
        <v>43</v>
      </c>
      <c r="AJ60" s="9" t="s">
        <v>43</v>
      </c>
      <c r="AK60" s="9" t="s">
        <v>43</v>
      </c>
      <c r="AL60" s="9" t="s">
        <v>43</v>
      </c>
      <c r="AM60" s="9" t="s">
        <v>43</v>
      </c>
      <c r="AN60" s="9" t="s">
        <v>4167</v>
      </c>
      <c r="AO60" s="9" t="s">
        <v>43</v>
      </c>
    </row>
    <row r="61" spans="1:41" s="20" customFormat="1" x14ac:dyDescent="0.3">
      <c r="A61" s="9" t="s">
        <v>4701</v>
      </c>
      <c r="B61" s="9">
        <v>1263</v>
      </c>
      <c r="C61" s="9" t="str">
        <f>IF(Z61&lt;0, "Down", "Up")</f>
        <v>Down</v>
      </c>
      <c r="D61" s="34" t="str">
        <f>IF(AD61&lt;0.05, "Sig", "N")</f>
        <v>Sig</v>
      </c>
      <c r="E61" s="35" t="str">
        <f>IF(AND(J61&gt;2,L61&gt;2,N61&gt;2,P61&gt;2),"Y","N")</f>
        <v>Y</v>
      </c>
      <c r="F61" s="35" t="str">
        <f>IF(AND(R61&gt;2,T61&gt;2,V61&gt;2,X61&gt;2),"Y","N")</f>
        <v>Y</v>
      </c>
      <c r="G61" s="34" t="str">
        <f>IF(AVERAGE(J61,L61,N61,P61) &gt; AVERAGE(R61,T61,V61,X61), "Smaller", IF(AVERAGE(J61,L61,N61,P61) &lt; AVERAGE(R61,T61,V61,X61), "Larger", "Equal"))</f>
        <v>Smaller</v>
      </c>
      <c r="H61" s="35" t="str">
        <f>IF(OR(E61="Y", F61="Y"), "Expressed", "N")</f>
        <v>Expressed</v>
      </c>
      <c r="I61" s="9">
        <v>29746</v>
      </c>
      <c r="J61" s="9">
        <v>434.3456712905886</v>
      </c>
      <c r="K61" s="9">
        <v>52836</v>
      </c>
      <c r="L61" s="9">
        <v>432.38506792886369</v>
      </c>
      <c r="M61" s="9">
        <v>54851</v>
      </c>
      <c r="N61" s="9">
        <v>408.82634529938321</v>
      </c>
      <c r="O61" s="9">
        <v>18074</v>
      </c>
      <c r="P61" s="9">
        <v>377.70083065759258</v>
      </c>
      <c r="Q61" s="9">
        <v>8995</v>
      </c>
      <c r="R61" s="9">
        <v>176.80841981947461</v>
      </c>
      <c r="S61" s="9">
        <v>16004</v>
      </c>
      <c r="T61" s="9">
        <v>206.1400723493648</v>
      </c>
      <c r="U61" s="9">
        <v>10613</v>
      </c>
      <c r="V61" s="9">
        <v>325.49509481848651</v>
      </c>
      <c r="W61" s="9">
        <v>23657</v>
      </c>
      <c r="X61" s="9">
        <v>209.96501035178301</v>
      </c>
      <c r="Y61" s="9">
        <v>23061.991708401489</v>
      </c>
      <c r="Z61" s="9">
        <v>-0.72920670876381255</v>
      </c>
      <c r="AA61" s="9">
        <v>0.18776388498402991</v>
      </c>
      <c r="AB61" s="9">
        <v>-3.8836366686055448</v>
      </c>
      <c r="AC61" s="9">
        <v>1.0290564618444991E-4</v>
      </c>
      <c r="AD61" s="9">
        <v>2.1367859499654959E-2</v>
      </c>
      <c r="AE61" s="9" t="s">
        <v>4702</v>
      </c>
      <c r="AF61" s="9" t="s">
        <v>4703</v>
      </c>
      <c r="AG61" s="9" t="s">
        <v>4704</v>
      </c>
      <c r="AH61" s="9" t="s">
        <v>802</v>
      </c>
      <c r="AI61" s="9" t="s">
        <v>43</v>
      </c>
      <c r="AJ61" s="9" t="s">
        <v>43</v>
      </c>
      <c r="AK61" s="9" t="s">
        <v>43</v>
      </c>
      <c r="AL61" s="9" t="s">
        <v>43</v>
      </c>
      <c r="AM61" s="9" t="s">
        <v>43</v>
      </c>
      <c r="AN61" s="9" t="s">
        <v>75</v>
      </c>
      <c r="AO61" s="9" t="s">
        <v>43</v>
      </c>
    </row>
    <row r="62" spans="1:41" s="20" customFormat="1" x14ac:dyDescent="0.3">
      <c r="A62" s="9" t="s">
        <v>4705</v>
      </c>
      <c r="B62" s="9">
        <v>1684</v>
      </c>
      <c r="C62" s="9" t="str">
        <f>IF(Z62&lt;0, "Down", "Up")</f>
        <v>Down</v>
      </c>
      <c r="D62" s="34" t="str">
        <f>IF(AD62&lt;0.05, "Sig", "N")</f>
        <v>Sig</v>
      </c>
      <c r="E62" s="35" t="str">
        <f>IF(AND(J62&gt;2,L62&gt;2,N62&gt;2,P62&gt;2),"Y","N")</f>
        <v>Y</v>
      </c>
      <c r="F62" s="35" t="str">
        <f>IF(AND(R62&gt;2,T62&gt;2,V62&gt;2,X62&gt;2),"Y","N")</f>
        <v>Y</v>
      </c>
      <c r="G62" s="34" t="str">
        <f>IF(AVERAGE(J62,L62,N62,P62) &gt; AVERAGE(R62,T62,V62,X62), "Smaller", IF(AVERAGE(J62,L62,N62,P62) &lt; AVERAGE(R62,T62,V62,X62), "Larger", "Equal"))</f>
        <v>Smaller</v>
      </c>
      <c r="H62" s="35" t="str">
        <f>IF(OR(E62="Y", F62="Y"), "Expressed", "N")</f>
        <v>Expressed</v>
      </c>
      <c r="I62" s="9">
        <v>11616</v>
      </c>
      <c r="J62" s="9">
        <v>127.2110363841729</v>
      </c>
      <c r="K62" s="9">
        <v>21468</v>
      </c>
      <c r="L62" s="9">
        <v>131.7630399485698</v>
      </c>
      <c r="M62" s="9">
        <v>31200</v>
      </c>
      <c r="N62" s="9">
        <v>174.40951814926919</v>
      </c>
      <c r="O62" s="9">
        <v>10504</v>
      </c>
      <c r="P62" s="9">
        <v>164.63025029990669</v>
      </c>
      <c r="Q62" s="9">
        <v>3998</v>
      </c>
      <c r="R62" s="9">
        <v>58.939415989849323</v>
      </c>
      <c r="S62" s="9">
        <v>7172</v>
      </c>
      <c r="T62" s="9">
        <v>69.284394474333482</v>
      </c>
      <c r="U62" s="9">
        <v>5097</v>
      </c>
      <c r="V62" s="9">
        <v>117.2417199394487</v>
      </c>
      <c r="W62" s="9">
        <v>8630</v>
      </c>
      <c r="X62" s="9">
        <v>57.445936910931891</v>
      </c>
      <c r="Y62" s="9">
        <v>10695.576298856689</v>
      </c>
      <c r="Z62" s="9">
        <v>-0.86003805925192212</v>
      </c>
      <c r="AA62" s="9">
        <v>0.21750143462290311</v>
      </c>
      <c r="AB62" s="9">
        <v>-3.954171891983278</v>
      </c>
      <c r="AC62" s="9">
        <v>7.6800183127046957E-5</v>
      </c>
      <c r="AD62" s="9">
        <v>1.8175102161352989E-2</v>
      </c>
      <c r="AE62" s="9" t="s">
        <v>4706</v>
      </c>
      <c r="AF62" s="9" t="s">
        <v>4707</v>
      </c>
      <c r="AG62" s="9" t="s">
        <v>4708</v>
      </c>
      <c r="AH62" s="9" t="s">
        <v>3352</v>
      </c>
      <c r="AI62" s="9" t="s">
        <v>43</v>
      </c>
      <c r="AJ62" s="9" t="s">
        <v>43</v>
      </c>
      <c r="AK62" s="9" t="s">
        <v>43</v>
      </c>
      <c r="AL62" s="9" t="s">
        <v>43</v>
      </c>
      <c r="AM62" s="9" t="s">
        <v>43</v>
      </c>
      <c r="AN62" s="9" t="s">
        <v>3353</v>
      </c>
      <c r="AO62" s="9" t="s">
        <v>43</v>
      </c>
    </row>
    <row r="63" spans="1:41" s="20" customFormat="1" x14ac:dyDescent="0.3">
      <c r="A63" s="9" t="s">
        <v>4709</v>
      </c>
      <c r="B63" s="9">
        <v>2709</v>
      </c>
      <c r="C63" s="9" t="str">
        <f>IF(Z63&lt;0, "Down", "Up")</f>
        <v>Down</v>
      </c>
      <c r="D63" s="34" t="str">
        <f>IF(AD63&lt;0.05, "Sig", "N")</f>
        <v>Sig</v>
      </c>
      <c r="E63" s="35" t="str">
        <f>IF(AND(J63&gt;2,L63&gt;2,N63&gt;2,P63&gt;2),"Y","N")</f>
        <v>Y</v>
      </c>
      <c r="F63" s="35" t="str">
        <f>IF(AND(R63&gt;2,T63&gt;2,V63&gt;2,X63&gt;2),"Y","N")</f>
        <v>Y</v>
      </c>
      <c r="G63" s="34" t="str">
        <f>IF(AVERAGE(J63,L63,N63,P63) &gt; AVERAGE(R63,T63,V63,X63), "Smaller", IF(AVERAGE(J63,L63,N63,P63) &lt; AVERAGE(R63,T63,V63,X63), "Larger", "Equal"))</f>
        <v>Smaller</v>
      </c>
      <c r="H63" s="35" t="str">
        <f>IF(OR(E63="Y", F63="Y"), "Expressed", "N")</f>
        <v>Expressed</v>
      </c>
      <c r="I63" s="9">
        <v>2957</v>
      </c>
      <c r="J63" s="9">
        <v>20.130408784506159</v>
      </c>
      <c r="K63" s="9">
        <v>6154</v>
      </c>
      <c r="L63" s="9">
        <v>23.47970269361484</v>
      </c>
      <c r="M63" s="9">
        <v>5574</v>
      </c>
      <c r="N63" s="9">
        <v>19.369376219962671</v>
      </c>
      <c r="O63" s="9">
        <v>2895</v>
      </c>
      <c r="P63" s="9">
        <v>28.205680075508489</v>
      </c>
      <c r="Q63" s="9">
        <v>1350</v>
      </c>
      <c r="R63" s="9">
        <v>12.3717144943202</v>
      </c>
      <c r="S63" s="9">
        <v>1835</v>
      </c>
      <c r="T63" s="9">
        <v>11.019561056054959</v>
      </c>
      <c r="U63" s="9">
        <v>1259</v>
      </c>
      <c r="V63" s="9">
        <v>18.002232219485489</v>
      </c>
      <c r="W63" s="9">
        <v>2741</v>
      </c>
      <c r="X63" s="9">
        <v>11.34202600980738</v>
      </c>
      <c r="Y63" s="9">
        <v>2758.701160492441</v>
      </c>
      <c r="Z63" s="9">
        <v>-0.66866115815613225</v>
      </c>
      <c r="AA63" s="9">
        <v>0.17722398703101849</v>
      </c>
      <c r="AB63" s="9">
        <v>-3.7729720979536499</v>
      </c>
      <c r="AC63" s="9">
        <v>1.6131433443568839E-4</v>
      </c>
      <c r="AD63" s="9">
        <v>2.9167987942767589E-2</v>
      </c>
      <c r="AE63" s="9" t="s">
        <v>4710</v>
      </c>
      <c r="AF63" s="9" t="s">
        <v>4711</v>
      </c>
      <c r="AG63" s="9" t="s">
        <v>4712</v>
      </c>
      <c r="AH63" s="9" t="s">
        <v>4713</v>
      </c>
      <c r="AI63" s="9" t="s">
        <v>43</v>
      </c>
      <c r="AJ63" s="9" t="s">
        <v>43</v>
      </c>
      <c r="AK63" s="9" t="s">
        <v>43</v>
      </c>
      <c r="AL63" s="9" t="s">
        <v>43</v>
      </c>
      <c r="AM63" s="9" t="s">
        <v>43</v>
      </c>
      <c r="AN63" s="9" t="s">
        <v>4714</v>
      </c>
      <c r="AO63" s="9" t="s">
        <v>43</v>
      </c>
    </row>
    <row r="64" spans="1:41" s="20" customFormat="1" x14ac:dyDescent="0.3">
      <c r="A64" s="9" t="s">
        <v>4715</v>
      </c>
      <c r="B64" s="9">
        <v>1532</v>
      </c>
      <c r="C64" s="9" t="str">
        <f>IF(Z64&lt;0, "Down", "Up")</f>
        <v>Down</v>
      </c>
      <c r="D64" s="34" t="str">
        <f>IF(AD64&lt;0.05, "Sig", "N")</f>
        <v>Sig</v>
      </c>
      <c r="E64" s="35" t="str">
        <f>IF(AND(J64&gt;2,L64&gt;2,N64&gt;2,P64&gt;2),"Y","N")</f>
        <v>Y</v>
      </c>
      <c r="F64" s="35" t="str">
        <f>IF(AND(R64&gt;2,T64&gt;2,V64&gt;2,X64&gt;2),"Y","N")</f>
        <v>Y</v>
      </c>
      <c r="G64" s="34" t="str">
        <f>IF(AVERAGE(J64,L64,N64,P64) &gt; AVERAGE(R64,T64,V64,X64), "Smaller", IF(AVERAGE(J64,L64,N64,P64) &lt; AVERAGE(R64,T64,V64,X64), "Larger", "Equal"))</f>
        <v>Smaller</v>
      </c>
      <c r="H64" s="35" t="str">
        <f>IF(OR(E64="Y", F64="Y"), "Expressed", "N")</f>
        <v>Expressed</v>
      </c>
      <c r="I64" s="9">
        <v>3431</v>
      </c>
      <c r="J64" s="9">
        <v>41.30210889368292</v>
      </c>
      <c r="K64" s="9">
        <v>863</v>
      </c>
      <c r="L64" s="9">
        <v>5.8223208850569543</v>
      </c>
      <c r="M64" s="9">
        <v>837</v>
      </c>
      <c r="N64" s="9">
        <v>5.1430928882042117</v>
      </c>
      <c r="O64" s="9">
        <v>393</v>
      </c>
      <c r="P64" s="9">
        <v>6.7706567590987277</v>
      </c>
      <c r="Q64" s="9">
        <v>645</v>
      </c>
      <c r="R64" s="9">
        <v>10.452160620103539</v>
      </c>
      <c r="S64" s="9">
        <v>820</v>
      </c>
      <c r="T64" s="9">
        <v>8.7074766609156757</v>
      </c>
      <c r="U64" s="9">
        <v>255</v>
      </c>
      <c r="V64" s="9">
        <v>6.4474955288292328</v>
      </c>
      <c r="W64" s="9">
        <v>3380</v>
      </c>
      <c r="X64" s="9">
        <v>24.731390984003781</v>
      </c>
      <c r="Y64" s="9">
        <v>1248.5200548957409</v>
      </c>
      <c r="Z64" s="9">
        <v>-0.14695126818923779</v>
      </c>
      <c r="AA64" s="9">
        <v>0.88185080326417087</v>
      </c>
      <c r="AB64" s="9">
        <v>-0.16663960348541679</v>
      </c>
      <c r="AC64" s="9"/>
      <c r="AD64" s="9"/>
      <c r="AE64" s="9" t="s">
        <v>4716</v>
      </c>
      <c r="AF64" s="9" t="s">
        <v>4717</v>
      </c>
      <c r="AG64" s="9" t="s">
        <v>43</v>
      </c>
      <c r="AH64" s="9" t="s">
        <v>4718</v>
      </c>
      <c r="AI64" s="9" t="s">
        <v>43</v>
      </c>
      <c r="AJ64" s="9" t="s">
        <v>43</v>
      </c>
      <c r="AK64" s="9" t="s">
        <v>43</v>
      </c>
      <c r="AL64" s="9" t="s">
        <v>43</v>
      </c>
      <c r="AM64" s="9" t="s">
        <v>43</v>
      </c>
      <c r="AN64" s="9" t="s">
        <v>4719</v>
      </c>
      <c r="AO64" s="9" t="s">
        <v>43</v>
      </c>
    </row>
    <row r="65" spans="1:41" s="20" customFormat="1" x14ac:dyDescent="0.3">
      <c r="A65" s="9" t="s">
        <v>4720</v>
      </c>
      <c r="B65" s="9">
        <v>2059</v>
      </c>
      <c r="C65" s="9" t="str">
        <f>IF(Z65&lt;0, "Down", "Up")</f>
        <v>Down</v>
      </c>
      <c r="D65" s="34" t="str">
        <f>IF(AD65&lt;0.05, "Sig", "N")</f>
        <v>Sig</v>
      </c>
      <c r="E65" s="35" t="str">
        <f>IF(AND(J65&gt;2,L65&gt;2,N65&gt;2,P65&gt;2),"Y","N")</f>
        <v>Y</v>
      </c>
      <c r="F65" s="35" t="str">
        <f>IF(AND(R65&gt;2,T65&gt;2,V65&gt;2,X65&gt;2),"Y","N")</f>
        <v>Y</v>
      </c>
      <c r="G65" s="34" t="str">
        <f>IF(AVERAGE(J65,L65,N65,P65) &gt; AVERAGE(R65,T65,V65,X65), "Smaller", IF(AVERAGE(J65,L65,N65,P65) &lt; AVERAGE(R65,T65,V65,X65), "Larger", "Equal"))</f>
        <v>Smaller</v>
      </c>
      <c r="H65" s="35" t="str">
        <f>IF(OR(E65="Y", F65="Y"), "Expressed", "N")</f>
        <v>Expressed</v>
      </c>
      <c r="I65" s="9">
        <v>1779</v>
      </c>
      <c r="J65" s="9">
        <v>15.93418576899739</v>
      </c>
      <c r="K65" s="9">
        <v>3341</v>
      </c>
      <c r="L65" s="9">
        <v>16.771203768057902</v>
      </c>
      <c r="M65" s="9">
        <v>2808</v>
      </c>
      <c r="N65" s="9">
        <v>12.83803136022499</v>
      </c>
      <c r="O65" s="9">
        <v>1154</v>
      </c>
      <c r="P65" s="9">
        <v>14.792666791236011</v>
      </c>
      <c r="Q65" s="9">
        <v>736</v>
      </c>
      <c r="R65" s="9">
        <v>8.8741464860408588</v>
      </c>
      <c r="S65" s="9">
        <v>823</v>
      </c>
      <c r="T65" s="9">
        <v>6.5025053857794317</v>
      </c>
      <c r="U65" s="9">
        <v>505</v>
      </c>
      <c r="V65" s="9">
        <v>9.5004607049567635</v>
      </c>
      <c r="W65" s="9">
        <v>1593</v>
      </c>
      <c r="X65" s="9">
        <v>8.6726144050908864</v>
      </c>
      <c r="Y65" s="9">
        <v>1373.3213287006299</v>
      </c>
      <c r="Z65" s="9">
        <v>-0.72661256411567521</v>
      </c>
      <c r="AA65" s="9">
        <v>0.1607486572678101</v>
      </c>
      <c r="AB65" s="9">
        <v>-4.5201781244438388</v>
      </c>
      <c r="AC65" s="9">
        <v>6.1787621748355E-6</v>
      </c>
      <c r="AD65" s="9">
        <v>3.4286803551220788E-3</v>
      </c>
      <c r="AE65" s="9" t="s">
        <v>4721</v>
      </c>
      <c r="AF65" s="9" t="s">
        <v>4722</v>
      </c>
      <c r="AG65" s="9" t="s">
        <v>4723</v>
      </c>
      <c r="AH65" s="9" t="s">
        <v>4724</v>
      </c>
      <c r="AI65" s="9" t="s">
        <v>43</v>
      </c>
      <c r="AJ65" s="9" t="s">
        <v>43</v>
      </c>
      <c r="AK65" s="9" t="s">
        <v>43</v>
      </c>
      <c r="AL65" s="9" t="s">
        <v>43</v>
      </c>
      <c r="AM65" s="9" t="s">
        <v>43</v>
      </c>
      <c r="AN65" s="9" t="s">
        <v>4725</v>
      </c>
      <c r="AO65" s="9" t="s">
        <v>43</v>
      </c>
    </row>
    <row r="66" spans="1:41" s="20" customFormat="1" x14ac:dyDescent="0.3">
      <c r="A66" s="9" t="s">
        <v>4726</v>
      </c>
      <c r="B66" s="9">
        <v>2040</v>
      </c>
      <c r="C66" s="9" t="str">
        <f>IF(Z66&lt;0, "Down", "Up")</f>
        <v>Down</v>
      </c>
      <c r="D66" s="34" t="str">
        <f>IF(AD66&lt;0.05, "Sig", "N")</f>
        <v>Sig</v>
      </c>
      <c r="E66" s="35" t="str">
        <f>IF(AND(J66&gt;2,L66&gt;2,N66&gt;2,P66&gt;2),"Y","N")</f>
        <v>Y</v>
      </c>
      <c r="F66" s="35" t="str">
        <f>IF(AND(R66&gt;2,T66&gt;2,V66&gt;2,X66&gt;2),"Y","N")</f>
        <v>Y</v>
      </c>
      <c r="G66" s="34" t="str">
        <f>IF(AVERAGE(J66,L66,N66,P66) &gt; AVERAGE(R66,T66,V66,X66), "Smaller", IF(AVERAGE(J66,L66,N66,P66) &lt; AVERAGE(R66,T66,V66,X66), "Larger", "Equal"))</f>
        <v>Smaller</v>
      </c>
      <c r="H66" s="35" t="str">
        <f>IF(OR(E66="Y", F66="Y"), "Expressed", "N")</f>
        <v>Expressed</v>
      </c>
      <c r="I66" s="9">
        <v>5072</v>
      </c>
      <c r="J66" s="9">
        <v>45.852112792963233</v>
      </c>
      <c r="K66" s="9">
        <v>21810</v>
      </c>
      <c r="L66" s="9">
        <v>110.5018641916804</v>
      </c>
      <c r="M66" s="9">
        <v>19654</v>
      </c>
      <c r="N66" s="9">
        <v>90.693979760313951</v>
      </c>
      <c r="O66" s="9">
        <v>7318</v>
      </c>
      <c r="P66" s="9">
        <v>94.68021823310562</v>
      </c>
      <c r="Q66" s="9">
        <v>1839</v>
      </c>
      <c r="R66" s="9">
        <v>22.379825063632381</v>
      </c>
      <c r="S66" s="9">
        <v>5792</v>
      </c>
      <c r="T66" s="9">
        <v>46.188687102030222</v>
      </c>
      <c r="U66" s="9">
        <v>2186</v>
      </c>
      <c r="V66" s="9">
        <v>41.507791323075203</v>
      </c>
      <c r="W66" s="9">
        <v>4024</v>
      </c>
      <c r="X66" s="9">
        <v>22.111510577456059</v>
      </c>
      <c r="Y66" s="9">
        <v>6746.7707802312052</v>
      </c>
      <c r="Z66" s="9">
        <v>-1.2268606311404029</v>
      </c>
      <c r="AA66" s="9">
        <v>0.28797958351633091</v>
      </c>
      <c r="AB66" s="9">
        <v>-4.2602347574783188</v>
      </c>
      <c r="AC66" s="9">
        <v>2.042122980651783E-5</v>
      </c>
      <c r="AD66" s="9">
        <v>8.0153326990582488E-3</v>
      </c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</row>
    <row r="67" spans="1:41" s="20" customFormat="1" x14ac:dyDescent="0.3">
      <c r="A67" s="9" t="s">
        <v>4727</v>
      </c>
      <c r="B67" s="9">
        <v>4146</v>
      </c>
      <c r="C67" s="9" t="str">
        <f>IF(Z67&lt;0, "Down", "Up")</f>
        <v>Down</v>
      </c>
      <c r="D67" s="34" t="str">
        <f>IF(AD67&lt;0.05, "Sig", "N")</f>
        <v>Sig</v>
      </c>
      <c r="E67" s="35" t="str">
        <f>IF(AND(J67&gt;2,L67&gt;2,N67&gt;2,P67&gt;2),"Y","N")</f>
        <v>Y</v>
      </c>
      <c r="F67" s="35" t="str">
        <f>IF(AND(R67&gt;2,T67&gt;2,V67&gt;2,X67&gt;2),"Y","N")</f>
        <v>N</v>
      </c>
      <c r="G67" s="34" t="str">
        <f>IF(AVERAGE(J67,L67,N67,P67) &gt; AVERAGE(R67,T67,V67,X67), "Smaller", IF(AVERAGE(J67,L67,N67,P67) &lt; AVERAGE(R67,T67,V67,X67), "Larger", "Equal"))</f>
        <v>Smaller</v>
      </c>
      <c r="H67" s="35" t="str">
        <f>IF(OR(E67="Y", F67="Y"), "Expressed", "N")</f>
        <v>Expressed</v>
      </c>
      <c r="I67" s="9">
        <v>782</v>
      </c>
      <c r="J67" s="9">
        <v>3.4784657372028218</v>
      </c>
      <c r="K67" s="9">
        <v>1183</v>
      </c>
      <c r="L67" s="9">
        <v>2.9491682750963761</v>
      </c>
      <c r="M67" s="9">
        <v>1546</v>
      </c>
      <c r="N67" s="9">
        <v>3.5102485385896292</v>
      </c>
      <c r="O67" s="9">
        <v>677</v>
      </c>
      <c r="P67" s="9">
        <v>4.309792722679374</v>
      </c>
      <c r="Q67" s="9">
        <v>396</v>
      </c>
      <c r="R67" s="9">
        <v>2.3712154379562471</v>
      </c>
      <c r="S67" s="9">
        <v>359</v>
      </c>
      <c r="T67" s="9">
        <v>1.40864767503903</v>
      </c>
      <c r="U67" s="9">
        <v>233</v>
      </c>
      <c r="V67" s="9">
        <v>2.1768888642856972</v>
      </c>
      <c r="W67" s="9">
        <v>698</v>
      </c>
      <c r="X67" s="9">
        <v>1.887194808803428</v>
      </c>
      <c r="Y67" s="9">
        <v>648.83672082147757</v>
      </c>
      <c r="Z67" s="9">
        <v>-0.74176775735136635</v>
      </c>
      <c r="AA67" s="9">
        <v>0.18606028234565539</v>
      </c>
      <c r="AB67" s="9">
        <v>-3.9867066092769861</v>
      </c>
      <c r="AC67" s="9">
        <v>6.6996787640220224E-5</v>
      </c>
      <c r="AD67" s="9">
        <v>1.6715438838763471E-2</v>
      </c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</row>
    <row r="68" spans="1:41" s="20" customFormat="1" x14ac:dyDescent="0.3">
      <c r="A68" s="9" t="s">
        <v>4728</v>
      </c>
      <c r="B68" s="9">
        <v>1079</v>
      </c>
      <c r="C68" s="9" t="str">
        <f>IF(Z68&lt;0, "Down", "Up")</f>
        <v>Down</v>
      </c>
      <c r="D68" s="34" t="str">
        <f>IF(AD68&lt;0.05, "Sig", "N")</f>
        <v>Sig</v>
      </c>
      <c r="E68" s="35" t="str">
        <f>IF(AND(J68&gt;2,L68&gt;2,N68&gt;2,P68&gt;2),"Y","N")</f>
        <v>N</v>
      </c>
      <c r="F68" s="35" t="str">
        <f>IF(AND(R68&gt;2,T68&gt;2,V68&gt;2,X68&gt;2),"Y","N")</f>
        <v>Y</v>
      </c>
      <c r="G68" s="34" t="str">
        <f>IF(AVERAGE(J68,L68,N68,P68) &gt; AVERAGE(R68,T68,V68,X68), "Smaller", IF(AVERAGE(J68,L68,N68,P68) &lt; AVERAGE(R68,T68,V68,X68), "Larger", "Equal"))</f>
        <v>Smaller</v>
      </c>
      <c r="H68" s="35" t="str">
        <f>IF(OR(E68="Y", F68="Y"), "Expressed", "N")</f>
        <v>Expressed</v>
      </c>
      <c r="I68" s="9">
        <v>577</v>
      </c>
      <c r="J68" s="9">
        <v>9.8619919363832107</v>
      </c>
      <c r="K68" s="9">
        <v>120</v>
      </c>
      <c r="L68" s="9">
        <v>1.1494865868775439</v>
      </c>
      <c r="M68" s="9">
        <v>187</v>
      </c>
      <c r="N68" s="9">
        <v>1.631465285442067</v>
      </c>
      <c r="O68" s="9">
        <v>62</v>
      </c>
      <c r="P68" s="9">
        <v>1.5165867500683501</v>
      </c>
      <c r="Q68" s="9">
        <v>118</v>
      </c>
      <c r="R68" s="9">
        <v>2.714974083467808</v>
      </c>
      <c r="S68" s="9">
        <v>172</v>
      </c>
      <c r="T68" s="9">
        <v>2.5932490902347749</v>
      </c>
      <c r="U68" s="9">
        <v>73</v>
      </c>
      <c r="V68" s="9">
        <v>2.6206622325033928</v>
      </c>
      <c r="W68" s="9">
        <v>408</v>
      </c>
      <c r="X68" s="9">
        <v>4.2386672743493232</v>
      </c>
      <c r="Y68" s="9">
        <v>210.29361354281991</v>
      </c>
      <c r="Z68" s="9">
        <v>-0.15266044371641921</v>
      </c>
      <c r="AA68" s="9">
        <v>0.79922714318445354</v>
      </c>
      <c r="AB68" s="9">
        <v>-0.19101008395204949</v>
      </c>
      <c r="AC68" s="9"/>
      <c r="AD68" s="9"/>
      <c r="AE68" s="9" t="s">
        <v>4729</v>
      </c>
      <c r="AF68" s="9" t="s">
        <v>4730</v>
      </c>
      <c r="AG68" s="9" t="s">
        <v>4731</v>
      </c>
      <c r="AH68" s="9" t="s">
        <v>4732</v>
      </c>
      <c r="AI68" s="9" t="s">
        <v>43</v>
      </c>
      <c r="AJ68" s="9" t="s">
        <v>43</v>
      </c>
      <c r="AK68" s="9" t="s">
        <v>43</v>
      </c>
      <c r="AL68" s="9" t="s">
        <v>43</v>
      </c>
      <c r="AM68" s="9" t="s">
        <v>43</v>
      </c>
      <c r="AN68" s="9" t="s">
        <v>4733</v>
      </c>
      <c r="AO68" s="9" t="s">
        <v>43</v>
      </c>
    </row>
    <row r="69" spans="1:41" s="20" customFormat="1" x14ac:dyDescent="0.3">
      <c r="A69" s="9" t="s">
        <v>4734</v>
      </c>
      <c r="B69" s="9">
        <v>1424</v>
      </c>
      <c r="C69" s="9" t="str">
        <f>IF(Z69&lt;0, "Down", "Up")</f>
        <v>Down</v>
      </c>
      <c r="D69" s="34" t="str">
        <f>IF(AD69&lt;0.05, "Sig", "N")</f>
        <v>Sig</v>
      </c>
      <c r="E69" s="35" t="str">
        <f>IF(AND(J69&gt;2,L69&gt;2,N69&gt;2,P69&gt;2),"Y","N")</f>
        <v>Y</v>
      </c>
      <c r="F69" s="35" t="str">
        <f>IF(AND(R69&gt;2,T69&gt;2,V69&gt;2,X69&gt;2),"Y","N")</f>
        <v>Y</v>
      </c>
      <c r="G69" s="34" t="str">
        <f>IF(AVERAGE(J69,L69,N69,P69) &gt; AVERAGE(R69,T69,V69,X69), "Smaller", IF(AVERAGE(J69,L69,N69,P69) &lt; AVERAGE(R69,T69,V69,X69), "Larger", "Equal"))</f>
        <v>Smaller</v>
      </c>
      <c r="H69" s="35" t="str">
        <f>IF(OR(E69="Y", F69="Y"), "Expressed", "N")</f>
        <v>Expressed</v>
      </c>
      <c r="I69" s="9">
        <v>683</v>
      </c>
      <c r="J69" s="9">
        <v>8.845471529731908</v>
      </c>
      <c r="K69" s="9">
        <v>1336</v>
      </c>
      <c r="L69" s="9">
        <v>9.6970709994955637</v>
      </c>
      <c r="M69" s="9">
        <v>1887</v>
      </c>
      <c r="N69" s="9">
        <v>12.474397712724141</v>
      </c>
      <c r="O69" s="9">
        <v>654</v>
      </c>
      <c r="P69" s="9">
        <v>12.12173461369305</v>
      </c>
      <c r="Q69" s="9">
        <v>159</v>
      </c>
      <c r="R69" s="9">
        <v>2.7719938388748608</v>
      </c>
      <c r="S69" s="9">
        <v>370</v>
      </c>
      <c r="T69" s="9">
        <v>4.2269680652862442</v>
      </c>
      <c r="U69" s="9">
        <v>228</v>
      </c>
      <c r="V69" s="9">
        <v>6.2020389905208626</v>
      </c>
      <c r="W69" s="9">
        <v>731</v>
      </c>
      <c r="X69" s="9">
        <v>5.7543728209265428</v>
      </c>
      <c r="Y69" s="9">
        <v>623.88626951416757</v>
      </c>
      <c r="Z69" s="9">
        <v>-1.04491573390876</v>
      </c>
      <c r="AA69" s="9">
        <v>0.24900600534006651</v>
      </c>
      <c r="AB69" s="9">
        <v>-4.1963475237543877</v>
      </c>
      <c r="AC69" s="9">
        <v>2.7125392932218059E-5</v>
      </c>
      <c r="AD69" s="9">
        <v>9.8468212035082662E-3</v>
      </c>
      <c r="AE69" s="9" t="s">
        <v>4735</v>
      </c>
      <c r="AF69" s="9" t="s">
        <v>4736</v>
      </c>
      <c r="AG69" s="9" t="s">
        <v>4737</v>
      </c>
      <c r="AH69" s="9" t="s">
        <v>4738</v>
      </c>
      <c r="AI69" s="9" t="s">
        <v>43</v>
      </c>
      <c r="AJ69" s="9" t="s">
        <v>43</v>
      </c>
      <c r="AK69" s="9" t="s">
        <v>43</v>
      </c>
      <c r="AL69" s="9" t="s">
        <v>43</v>
      </c>
      <c r="AM69" s="9" t="s">
        <v>43</v>
      </c>
      <c r="AN69" s="9" t="s">
        <v>1042</v>
      </c>
      <c r="AO69" s="9" t="s">
        <v>43</v>
      </c>
    </row>
    <row r="70" spans="1:41" s="20" customFormat="1" x14ac:dyDescent="0.3">
      <c r="A70" s="20" t="s">
        <v>46</v>
      </c>
      <c r="B70" s="20">
        <v>3229</v>
      </c>
      <c r="C70" s="20" t="str">
        <f>IF(Z70&lt;0, "Down", "Up")</f>
        <v>Up</v>
      </c>
      <c r="D70" s="21" t="str">
        <f>IF(AD70&lt;0.05, "Sig", "N")</f>
        <v>Sig</v>
      </c>
      <c r="E70" s="22" t="str">
        <f>IF(AND(J70&gt;2,L70&gt;2,N70&gt;2,P70&gt;2),"Y","N")</f>
        <v>Y</v>
      </c>
      <c r="F70" s="22" t="str">
        <f>IF(AND(R70&gt;2,T70&gt;2,V70&gt;2,X70&gt;2),"Y","N")</f>
        <v>Y</v>
      </c>
      <c r="G70" s="21" t="str">
        <f>IF(AVERAGE(J70,L70,N70,P70) &gt; AVERAGE(R70,T70,V70,X70), "Smaller", IF(AVERAGE(J70,L70,N70,P70) &lt; AVERAGE(R70,T70,V70,X70), "Larger", "Equal"))</f>
        <v>Larger</v>
      </c>
      <c r="H70" s="22" t="str">
        <f>IF(OR(E70="Y", F70="Y"), "Expressed", "N")</f>
        <v>Expressed</v>
      </c>
      <c r="I70" s="20">
        <v>1310</v>
      </c>
      <c r="J70" s="20">
        <v>7.4819280116654614</v>
      </c>
      <c r="K70" s="20">
        <v>3575</v>
      </c>
      <c r="L70" s="20">
        <v>11.443321713084829</v>
      </c>
      <c r="M70" s="20">
        <v>3312</v>
      </c>
      <c r="N70" s="20">
        <v>9.6556153945601118</v>
      </c>
      <c r="O70" s="20">
        <v>1219</v>
      </c>
      <c r="P70" s="20">
        <v>9.9639760085098281</v>
      </c>
      <c r="Q70" s="20">
        <v>5024</v>
      </c>
      <c r="R70" s="20">
        <v>38.626620376708708</v>
      </c>
      <c r="S70" s="20">
        <v>6951</v>
      </c>
      <c r="T70" s="20">
        <v>35.020026910724489</v>
      </c>
      <c r="U70" s="20">
        <v>1128</v>
      </c>
      <c r="V70" s="20">
        <v>13.53164791307657</v>
      </c>
      <c r="W70" s="20">
        <v>10476</v>
      </c>
      <c r="X70" s="20">
        <v>36.3678856722807</v>
      </c>
      <c r="Y70" s="20">
        <v>3867.8347625366468</v>
      </c>
      <c r="Z70" s="20">
        <v>1.827942080768048</v>
      </c>
      <c r="AA70" s="20">
        <v>0.28748733326673231</v>
      </c>
      <c r="AB70" s="20">
        <v>6.3583395483795924</v>
      </c>
      <c r="AC70" s="20">
        <v>2.0394626267392049E-10</v>
      </c>
      <c r="AD70" s="20">
        <v>9.3771578059430436E-7</v>
      </c>
      <c r="AE70" s="20" t="s">
        <v>47</v>
      </c>
      <c r="AF70" s="20" t="s">
        <v>48</v>
      </c>
      <c r="AG70" s="20" t="s">
        <v>49</v>
      </c>
      <c r="AH70" s="20" t="s">
        <v>50</v>
      </c>
      <c r="AI70" s="20" t="s">
        <v>43</v>
      </c>
      <c r="AJ70" s="20" t="s">
        <v>43</v>
      </c>
      <c r="AK70" s="20" t="s">
        <v>43</v>
      </c>
      <c r="AL70" s="20" t="s">
        <v>43</v>
      </c>
      <c r="AM70" s="20" t="s">
        <v>43</v>
      </c>
      <c r="AN70" s="20" t="s">
        <v>51</v>
      </c>
      <c r="AO70" s="20" t="s">
        <v>43</v>
      </c>
    </row>
    <row r="71" spans="1:41" s="20" customFormat="1" x14ac:dyDescent="0.3">
      <c r="A71" s="20" t="s">
        <v>52</v>
      </c>
      <c r="B71" s="20">
        <v>3365</v>
      </c>
      <c r="C71" s="20" t="str">
        <f>IF(Z71&lt;0, "Down", "Up")</f>
        <v>Up</v>
      </c>
      <c r="D71" s="21" t="str">
        <f>IF(AD71&lt;0.05, "Sig", "N")</f>
        <v>Sig</v>
      </c>
      <c r="E71" s="22" t="str">
        <f>IF(AND(J71&gt;2,L71&gt;2,N71&gt;2,P71&gt;2),"Y","N")</f>
        <v>Y</v>
      </c>
      <c r="F71" s="22" t="str">
        <f>IF(AND(R71&gt;2,T71&gt;2,V71&gt;2,X71&gt;2),"Y","N")</f>
        <v>Y</v>
      </c>
      <c r="G71" s="21" t="str">
        <f>IF(AVERAGE(J71,L71,N71,P71) &gt; AVERAGE(R71,T71,V71,X71), "Smaller", IF(AVERAGE(J71,L71,N71,P71) &lt; AVERAGE(R71,T71,V71,X71), "Larger", "Equal"))</f>
        <v>Larger</v>
      </c>
      <c r="H71" s="22" t="str">
        <f>IF(OR(E71="Y", F71="Y"), "Expressed", "N")</f>
        <v>Expressed</v>
      </c>
      <c r="I71" s="20">
        <v>5263</v>
      </c>
      <c r="J71" s="20">
        <v>28.84420517176174</v>
      </c>
      <c r="K71" s="20">
        <v>13029</v>
      </c>
      <c r="L71" s="20">
        <v>40.019358442103247</v>
      </c>
      <c r="M71" s="20">
        <v>12715</v>
      </c>
      <c r="N71" s="20">
        <v>35.570418211445521</v>
      </c>
      <c r="O71" s="20">
        <v>4902</v>
      </c>
      <c r="P71" s="20">
        <v>38.449017880904087</v>
      </c>
      <c r="Q71" s="20">
        <v>18182</v>
      </c>
      <c r="R71" s="20">
        <v>134.14105278584381</v>
      </c>
      <c r="S71" s="20">
        <v>29546</v>
      </c>
      <c r="T71" s="20">
        <v>142.84033396465449</v>
      </c>
      <c r="U71" s="20">
        <v>3972</v>
      </c>
      <c r="V71" s="20">
        <v>45.722903979793003</v>
      </c>
      <c r="W71" s="20">
        <v>47007</v>
      </c>
      <c r="X71" s="20">
        <v>156.59146063718231</v>
      </c>
      <c r="Y71" s="20">
        <v>15544.66753934498</v>
      </c>
      <c r="Z71" s="20">
        <v>1.898749532589346</v>
      </c>
      <c r="AA71" s="20">
        <v>0.31395433071056822</v>
      </c>
      <c r="AB71" s="20">
        <v>6.047852655167822</v>
      </c>
      <c r="AC71" s="20">
        <v>1.4678910675891691E-9</v>
      </c>
      <c r="AD71" s="20">
        <v>4.2949158191234E-6</v>
      </c>
      <c r="AE71" s="20" t="s">
        <v>53</v>
      </c>
      <c r="AF71" s="20" t="s">
        <v>54</v>
      </c>
      <c r="AG71" s="20" t="s">
        <v>55</v>
      </c>
      <c r="AH71" s="20" t="s">
        <v>56</v>
      </c>
      <c r="AI71" s="20" t="s">
        <v>43</v>
      </c>
      <c r="AJ71" s="20" t="s">
        <v>43</v>
      </c>
      <c r="AK71" s="20" t="s">
        <v>43</v>
      </c>
      <c r="AL71" s="20" t="s">
        <v>43</v>
      </c>
      <c r="AM71" s="20" t="s">
        <v>43</v>
      </c>
      <c r="AN71" s="20" t="s">
        <v>57</v>
      </c>
      <c r="AO71" s="20" t="s">
        <v>43</v>
      </c>
    </row>
    <row r="72" spans="1:41" s="20" customFormat="1" x14ac:dyDescent="0.3">
      <c r="A72" s="20" t="s">
        <v>4188</v>
      </c>
      <c r="B72" s="20">
        <v>2017</v>
      </c>
      <c r="C72" s="20" t="str">
        <f>IF(Z72&lt;0, "Down", "Up")</f>
        <v>Up</v>
      </c>
      <c r="D72" s="21" t="str">
        <f>IF(AD72&lt;0.05, "Sig", "N")</f>
        <v>Sig</v>
      </c>
      <c r="E72" s="22" t="str">
        <f>IF(AND(J72&gt;2,L72&gt;2,N72&gt;2,P72&gt;2),"Y","N")</f>
        <v>Y</v>
      </c>
      <c r="F72" s="22" t="str">
        <f>IF(AND(R72&gt;2,T72&gt;2,V72&gt;2,X72&gt;2),"Y","N")</f>
        <v>Y</v>
      </c>
      <c r="G72" s="21" t="str">
        <f>IF(AVERAGE(J72,L72,N72,P72) &gt; AVERAGE(R72,T72,V72,X72), "Smaller", IF(AVERAGE(J72,L72,N72,P72) &lt; AVERAGE(R72,T72,V72,X72), "Larger", "Equal"))</f>
        <v>Larger</v>
      </c>
      <c r="H72" s="22" t="str">
        <f>IF(OR(E72="Y", F72="Y"), "Expressed", "N")</f>
        <v>Expressed</v>
      </c>
      <c r="I72" s="20">
        <v>567</v>
      </c>
      <c r="J72" s="20">
        <v>5.1842678933877417</v>
      </c>
      <c r="K72" s="20">
        <v>928</v>
      </c>
      <c r="L72" s="20">
        <v>4.7553904861986744</v>
      </c>
      <c r="M72" s="20">
        <v>1183</v>
      </c>
      <c r="N72" s="20">
        <v>5.5212386794055979</v>
      </c>
      <c r="O72" s="20">
        <v>375</v>
      </c>
      <c r="P72" s="20">
        <v>4.9070714551026438</v>
      </c>
      <c r="Q72" s="20">
        <v>884</v>
      </c>
      <c r="R72" s="20">
        <v>10.880566119671769</v>
      </c>
      <c r="S72" s="20">
        <v>650</v>
      </c>
      <c r="T72" s="20">
        <v>5.2425754615885882</v>
      </c>
      <c r="U72" s="20">
        <v>629</v>
      </c>
      <c r="V72" s="20">
        <v>12.079650852955091</v>
      </c>
      <c r="W72" s="20">
        <v>1294</v>
      </c>
      <c r="X72" s="20">
        <v>7.1914917488062962</v>
      </c>
      <c r="Y72" s="20">
        <v>812.4490814107769</v>
      </c>
      <c r="Z72" s="20">
        <v>0.90243927329287288</v>
      </c>
      <c r="AA72" s="20">
        <v>0.22904182682559579</v>
      </c>
      <c r="AB72" s="20">
        <v>3.9400632006835878</v>
      </c>
      <c r="AC72" s="20">
        <v>8.1460145601599756E-5</v>
      </c>
      <c r="AD72" s="20">
        <v>1.8998512943387599E-2</v>
      </c>
      <c r="AE72" s="20" t="s">
        <v>4189</v>
      </c>
      <c r="AF72" s="20" t="s">
        <v>4190</v>
      </c>
      <c r="AG72" s="20" t="s">
        <v>4191</v>
      </c>
      <c r="AH72" s="20" t="s">
        <v>4192</v>
      </c>
      <c r="AI72" s="20" t="s">
        <v>43</v>
      </c>
      <c r="AJ72" s="20" t="s">
        <v>43</v>
      </c>
      <c r="AK72" s="20" t="s">
        <v>43</v>
      </c>
      <c r="AL72" s="20" t="s">
        <v>43</v>
      </c>
      <c r="AM72" s="20" t="s">
        <v>43</v>
      </c>
      <c r="AN72" s="20" t="s">
        <v>4193</v>
      </c>
      <c r="AO72" s="20" t="s">
        <v>43</v>
      </c>
    </row>
    <row r="73" spans="1:41" s="20" customFormat="1" x14ac:dyDescent="0.3">
      <c r="A73" s="20" t="s">
        <v>4194</v>
      </c>
      <c r="B73" s="20">
        <v>2628</v>
      </c>
      <c r="C73" s="20" t="str">
        <f>IF(Z73&lt;0, "Down", "Up")</f>
        <v>Up</v>
      </c>
      <c r="D73" s="21" t="str">
        <f>IF(AD73&lt;0.05, "Sig", "N")</f>
        <v>Sig</v>
      </c>
      <c r="E73" s="22" t="str">
        <f>IF(AND(J73&gt;2,L73&gt;2,N73&gt;2,P73&gt;2),"Y","N")</f>
        <v>N</v>
      </c>
      <c r="F73" s="22" t="str">
        <f>IF(AND(R73&gt;2,T73&gt;2,V73&gt;2,X73&gt;2),"Y","N")</f>
        <v>Y</v>
      </c>
      <c r="G73" s="21" t="str">
        <f>IF(AVERAGE(J73,L73,N73,P73) &gt; AVERAGE(R73,T73,V73,X73), "Smaller", IF(AVERAGE(J73,L73,N73,P73) &lt; AVERAGE(R73,T73,V73,X73), "Larger", "Equal"))</f>
        <v>Larger</v>
      </c>
      <c r="H73" s="22" t="str">
        <f>IF(OR(E73="Y", F73="Y"), "Expressed", "N")</f>
        <v>Expressed</v>
      </c>
      <c r="I73" s="20">
        <v>335</v>
      </c>
      <c r="J73" s="20">
        <v>2.3508759917095698</v>
      </c>
      <c r="K73" s="20">
        <v>504</v>
      </c>
      <c r="L73" s="20">
        <v>1.982208262713719</v>
      </c>
      <c r="M73" s="20">
        <v>485</v>
      </c>
      <c r="N73" s="20">
        <v>1.737296933580599</v>
      </c>
      <c r="O73" s="20">
        <v>144</v>
      </c>
      <c r="P73" s="20">
        <v>1.446219269397923</v>
      </c>
      <c r="Q73" s="20">
        <v>377</v>
      </c>
      <c r="R73" s="20">
        <v>3.561402957057263</v>
      </c>
      <c r="S73" s="20">
        <v>608</v>
      </c>
      <c r="T73" s="20">
        <v>3.7637039112883168</v>
      </c>
      <c r="U73" s="20">
        <v>170</v>
      </c>
      <c r="V73" s="20">
        <v>2.505723782386196</v>
      </c>
      <c r="W73" s="20">
        <v>1002</v>
      </c>
      <c r="X73" s="20">
        <v>4.2739847578500063</v>
      </c>
      <c r="Y73" s="20">
        <v>417.31344557841459</v>
      </c>
      <c r="Z73" s="20">
        <v>1.039585148200852</v>
      </c>
      <c r="AA73" s="20">
        <v>0.24338672179751539</v>
      </c>
      <c r="AB73" s="20">
        <v>4.2713305825521983</v>
      </c>
      <c r="AC73" s="20">
        <v>1.943101148500554E-5</v>
      </c>
      <c r="AD73" s="20">
        <v>7.7257319152889328E-3</v>
      </c>
      <c r="AE73" s="20" t="s">
        <v>4195</v>
      </c>
      <c r="AF73" s="20" t="s">
        <v>4196</v>
      </c>
      <c r="AG73" s="20" t="s">
        <v>4197</v>
      </c>
      <c r="AH73" s="20" t="s">
        <v>4198</v>
      </c>
      <c r="AI73" s="20" t="s">
        <v>43</v>
      </c>
      <c r="AJ73" s="20" t="s">
        <v>43</v>
      </c>
      <c r="AK73" s="20" t="s">
        <v>43</v>
      </c>
      <c r="AL73" s="20" t="s">
        <v>43</v>
      </c>
      <c r="AM73" s="20" t="s">
        <v>43</v>
      </c>
      <c r="AN73" s="20" t="s">
        <v>1563</v>
      </c>
      <c r="AO73" s="20" t="s">
        <v>43</v>
      </c>
    </row>
    <row r="74" spans="1:41" s="20" customFormat="1" x14ac:dyDescent="0.3">
      <c r="A74" s="20" t="s">
        <v>4199</v>
      </c>
      <c r="B74" s="20">
        <v>1553</v>
      </c>
      <c r="C74" s="20" t="str">
        <f>IF(Z74&lt;0, "Down", "Up")</f>
        <v>Up</v>
      </c>
      <c r="D74" s="21" t="str">
        <f>IF(AD74&lt;0.05, "Sig", "N")</f>
        <v>Sig</v>
      </c>
      <c r="E74" s="22" t="str">
        <f>IF(AND(J74&gt;2,L74&gt;2,N74&gt;2,P74&gt;2),"Y","N")</f>
        <v>Y</v>
      </c>
      <c r="F74" s="22" t="str">
        <f>IF(AND(R74&gt;2,T74&gt;2,V74&gt;2,X74&gt;2),"Y","N")</f>
        <v>Y</v>
      </c>
      <c r="G74" s="21" t="str">
        <f>IF(AVERAGE(J74,L74,N74,P74) &gt; AVERAGE(R74,T74,V74,X74), "Smaller", IF(AVERAGE(J74,L74,N74,P74) &lt; AVERAGE(R74,T74,V74,X74), "Larger", "Equal"))</f>
        <v>Larger</v>
      </c>
      <c r="H74" s="22" t="str">
        <f>IF(OR(E74="Y", F74="Y"), "Expressed", "N")</f>
        <v>Expressed</v>
      </c>
      <c r="I74" s="20">
        <v>1129</v>
      </c>
      <c r="J74" s="20">
        <v>13.407035545865391</v>
      </c>
      <c r="K74" s="20">
        <v>2024</v>
      </c>
      <c r="L74" s="20">
        <v>13.470482716975321</v>
      </c>
      <c r="M74" s="20">
        <v>2013</v>
      </c>
      <c r="N74" s="20">
        <v>12.20197117031681</v>
      </c>
      <c r="O74" s="20">
        <v>602</v>
      </c>
      <c r="P74" s="20">
        <v>10.231093369761931</v>
      </c>
      <c r="Q74" s="20">
        <v>1274</v>
      </c>
      <c r="R74" s="20">
        <v>20.365876127902741</v>
      </c>
      <c r="S74" s="20">
        <v>2016</v>
      </c>
      <c r="T74" s="20">
        <v>21.11817109053916</v>
      </c>
      <c r="U74" s="20">
        <v>726</v>
      </c>
      <c r="V74" s="20">
        <v>18.108179859401272</v>
      </c>
      <c r="W74" s="20">
        <v>2669</v>
      </c>
      <c r="X74" s="20">
        <v>19.264942913624129</v>
      </c>
      <c r="Y74" s="20">
        <v>1448.428807949769</v>
      </c>
      <c r="Z74" s="20">
        <v>0.80178516304648828</v>
      </c>
      <c r="AA74" s="20">
        <v>0.14863052532217269</v>
      </c>
      <c r="AB74" s="20">
        <v>5.394485159145689</v>
      </c>
      <c r="AC74" s="20">
        <v>6.8720306382014977E-8</v>
      </c>
      <c r="AD74" s="20">
        <v>1.1640858215290269E-4</v>
      </c>
      <c r="AE74" s="20" t="s">
        <v>4200</v>
      </c>
      <c r="AF74" s="20" t="s">
        <v>4201</v>
      </c>
      <c r="AG74" s="20" t="s">
        <v>4202</v>
      </c>
      <c r="AH74" s="20" t="s">
        <v>4203</v>
      </c>
      <c r="AI74" s="20" t="s">
        <v>43</v>
      </c>
      <c r="AJ74" s="20" t="s">
        <v>43</v>
      </c>
      <c r="AK74" s="20" t="s">
        <v>43</v>
      </c>
      <c r="AL74" s="20" t="s">
        <v>43</v>
      </c>
      <c r="AM74" s="20" t="s">
        <v>43</v>
      </c>
      <c r="AN74" s="20" t="s">
        <v>4204</v>
      </c>
      <c r="AO74" s="20" t="s">
        <v>2044</v>
      </c>
    </row>
    <row r="75" spans="1:41" s="20" customFormat="1" x14ac:dyDescent="0.3">
      <c r="A75" s="20" t="s">
        <v>4205</v>
      </c>
      <c r="B75" s="20">
        <v>864</v>
      </c>
      <c r="C75" s="20" t="str">
        <f>IF(Z75&lt;0, "Down", "Up")</f>
        <v>Up</v>
      </c>
      <c r="D75" s="21" t="str">
        <f>IF(AD75&lt;0.05, "Sig", "N")</f>
        <v>Sig</v>
      </c>
      <c r="E75" s="22" t="str">
        <f>IF(AND(J75&gt;2,L75&gt;2,N75&gt;2,P75&gt;2),"Y","N")</f>
        <v>Y</v>
      </c>
      <c r="F75" s="22" t="str">
        <f>IF(AND(R75&gt;2,T75&gt;2,V75&gt;2,X75&gt;2),"Y","N")</f>
        <v>Y</v>
      </c>
      <c r="G75" s="21" t="str">
        <f>IF(AVERAGE(J75,L75,N75,P75) &gt; AVERAGE(R75,T75,V75,X75), "Smaller", IF(AVERAGE(J75,L75,N75,P75) &lt; AVERAGE(R75,T75,V75,X75), "Larger", "Equal"))</f>
        <v>Larger</v>
      </c>
      <c r="H75" s="22" t="str">
        <f>IF(OR(E75="Y", F75="Y"), "Expressed", "N")</f>
        <v>Expressed</v>
      </c>
      <c r="I75" s="20">
        <v>442</v>
      </c>
      <c r="J75" s="20">
        <v>9.4344981030473889</v>
      </c>
      <c r="K75" s="20">
        <v>1536</v>
      </c>
      <c r="L75" s="20">
        <v>18.374755959123991</v>
      </c>
      <c r="M75" s="20">
        <v>1433</v>
      </c>
      <c r="N75" s="20">
        <v>15.61313530282928</v>
      </c>
      <c r="O75" s="20">
        <v>454</v>
      </c>
      <c r="P75" s="20">
        <v>13.86880758865334</v>
      </c>
      <c r="Q75" s="20">
        <v>843</v>
      </c>
      <c r="R75" s="20">
        <v>24.22249962139113</v>
      </c>
      <c r="S75" s="20">
        <v>1340</v>
      </c>
      <c r="T75" s="20">
        <v>25.230641214516389</v>
      </c>
      <c r="U75" s="20">
        <v>437</v>
      </c>
      <c r="V75" s="20">
        <v>19.591934897525011</v>
      </c>
      <c r="W75" s="20">
        <v>1860</v>
      </c>
      <c r="X75" s="20">
        <v>24.131805157221969</v>
      </c>
      <c r="Y75" s="20">
        <v>943.02171382489337</v>
      </c>
      <c r="Z75" s="20">
        <v>0.84650018743435063</v>
      </c>
      <c r="AA75" s="20">
        <v>0.19122494841504761</v>
      </c>
      <c r="AB75" s="20">
        <v>4.4267246217112284</v>
      </c>
      <c r="AC75" s="20">
        <v>9.5674746944986832E-6</v>
      </c>
      <c r="AD75" s="20">
        <v>4.6655935309460623E-3</v>
      </c>
      <c r="AE75" s="20" t="s">
        <v>4206</v>
      </c>
      <c r="AF75" s="20" t="s">
        <v>4207</v>
      </c>
      <c r="AG75" s="20" t="s">
        <v>4208</v>
      </c>
      <c r="AH75" s="20" t="s">
        <v>4209</v>
      </c>
      <c r="AI75" s="20" t="s">
        <v>43</v>
      </c>
      <c r="AJ75" s="20" t="s">
        <v>43</v>
      </c>
      <c r="AK75" s="20" t="s">
        <v>43</v>
      </c>
      <c r="AL75" s="20" t="s">
        <v>43</v>
      </c>
      <c r="AM75" s="20" t="s">
        <v>43</v>
      </c>
      <c r="AN75" s="20" t="s">
        <v>4210</v>
      </c>
      <c r="AO75" s="20" t="s">
        <v>43</v>
      </c>
    </row>
    <row r="76" spans="1:41" s="20" customFormat="1" x14ac:dyDescent="0.3">
      <c r="A76" s="20" t="s">
        <v>4211</v>
      </c>
      <c r="B76" s="20">
        <v>1488</v>
      </c>
      <c r="C76" s="20" t="str">
        <f>IF(Z76&lt;0, "Down", "Up")</f>
        <v>Up</v>
      </c>
      <c r="D76" s="21" t="str">
        <f>IF(AD76&lt;0.05, "Sig", "N")</f>
        <v>Sig</v>
      </c>
      <c r="E76" s="22" t="str">
        <f>IF(AND(J76&gt;2,L76&gt;2,N76&gt;2,P76&gt;2),"Y","N")</f>
        <v>Y</v>
      </c>
      <c r="F76" s="22" t="str">
        <f>IF(AND(R76&gt;2,T76&gt;2,V76&gt;2,X76&gt;2),"Y","N")</f>
        <v>Y</v>
      </c>
      <c r="G76" s="21" t="str">
        <f>IF(AVERAGE(J76,L76,N76,P76) &gt; AVERAGE(R76,T76,V76,X76), "Smaller", IF(AVERAGE(J76,L76,N76,P76) &lt; AVERAGE(R76,T76,V76,X76), "Larger", "Equal"))</f>
        <v>Larger</v>
      </c>
      <c r="H76" s="22" t="str">
        <f>IF(OR(E76="Y", F76="Y"), "Expressed", "N")</f>
        <v>Expressed</v>
      </c>
      <c r="I76" s="20">
        <v>7536</v>
      </c>
      <c r="J76" s="20">
        <v>93.400291832007895</v>
      </c>
      <c r="K76" s="20">
        <v>14200</v>
      </c>
      <c r="L76" s="20">
        <v>98.634652703967006</v>
      </c>
      <c r="M76" s="20">
        <v>15241</v>
      </c>
      <c r="N76" s="20">
        <v>96.420239801624817</v>
      </c>
      <c r="O76" s="20">
        <v>4916</v>
      </c>
      <c r="P76" s="20">
        <v>87.197885882105794</v>
      </c>
      <c r="Q76" s="20">
        <v>7642</v>
      </c>
      <c r="R76" s="20">
        <v>127.4997190494806</v>
      </c>
      <c r="S76" s="20">
        <v>9524</v>
      </c>
      <c r="T76" s="20">
        <v>104.1246818653581</v>
      </c>
      <c r="U76" s="20">
        <v>4404</v>
      </c>
      <c r="V76" s="20">
        <v>114.6447082894074</v>
      </c>
      <c r="W76" s="20">
        <v>13974</v>
      </c>
      <c r="X76" s="20">
        <v>105.27091943819561</v>
      </c>
      <c r="Y76" s="20">
        <v>8874.1634799786334</v>
      </c>
      <c r="Z76" s="20">
        <v>0.38782356309662208</v>
      </c>
      <c r="AA76" s="20">
        <v>9.9414369881727888E-2</v>
      </c>
      <c r="AB76" s="20">
        <v>3.9010815393992968</v>
      </c>
      <c r="AC76" s="20">
        <v>9.576388566124188E-5</v>
      </c>
      <c r="AD76" s="20">
        <v>2.038505591002561E-2</v>
      </c>
      <c r="AE76" s="20" t="s">
        <v>4212</v>
      </c>
      <c r="AF76" s="20" t="s">
        <v>4213</v>
      </c>
      <c r="AG76" s="20" t="s">
        <v>4214</v>
      </c>
      <c r="AH76" s="20" t="s">
        <v>4215</v>
      </c>
      <c r="AI76" s="20" t="s">
        <v>43</v>
      </c>
      <c r="AJ76" s="20" t="s">
        <v>43</v>
      </c>
      <c r="AK76" s="20" t="s">
        <v>43</v>
      </c>
      <c r="AL76" s="20" t="s">
        <v>43</v>
      </c>
      <c r="AM76" s="20" t="s">
        <v>43</v>
      </c>
      <c r="AN76" s="20" t="s">
        <v>4216</v>
      </c>
      <c r="AO76" s="20" t="s">
        <v>43</v>
      </c>
    </row>
    <row r="77" spans="1:41" s="20" customFormat="1" x14ac:dyDescent="0.3">
      <c r="A77" s="20" t="s">
        <v>4217</v>
      </c>
      <c r="B77" s="20">
        <v>879</v>
      </c>
      <c r="C77" s="20" t="str">
        <f>IF(Z77&lt;0, "Down", "Up")</f>
        <v>Up</v>
      </c>
      <c r="D77" s="21" t="str">
        <f>IF(AD77&lt;0.05, "Sig", "N")</f>
        <v>Sig</v>
      </c>
      <c r="E77" s="22" t="str">
        <f>IF(AND(J77&gt;2,L77&gt;2,N77&gt;2,P77&gt;2),"Y","N")</f>
        <v>N</v>
      </c>
      <c r="F77" s="22" t="str">
        <f>IF(AND(R77&gt;2,T77&gt;2,V77&gt;2,X77&gt;2),"Y","N")</f>
        <v>Y</v>
      </c>
      <c r="G77" s="21" t="str">
        <f>IF(AVERAGE(J77,L77,N77,P77) &gt; AVERAGE(R77,T77,V77,X77), "Smaller", IF(AVERAGE(J77,L77,N77,P77) &lt; AVERAGE(R77,T77,V77,X77), "Larger", "Equal"))</f>
        <v>Larger</v>
      </c>
      <c r="H77" s="22" t="str">
        <f>IF(OR(E77="Y", F77="Y"), "Expressed", "N")</f>
        <v>Expressed</v>
      </c>
      <c r="I77" s="20">
        <v>104</v>
      </c>
      <c r="J77" s="20">
        <v>2.1819999628007611</v>
      </c>
      <c r="K77" s="20">
        <v>168</v>
      </c>
      <c r="L77" s="20">
        <v>1.9754430468000199</v>
      </c>
      <c r="M77" s="20">
        <v>194</v>
      </c>
      <c r="N77" s="20">
        <v>2.0776411110124289</v>
      </c>
      <c r="O77" s="20">
        <v>51</v>
      </c>
      <c r="P77" s="20">
        <v>1.531363577920497</v>
      </c>
      <c r="Q77" s="20">
        <v>98</v>
      </c>
      <c r="R77" s="20">
        <v>2.7678485715089658</v>
      </c>
      <c r="S77" s="20">
        <v>172</v>
      </c>
      <c r="T77" s="20">
        <v>3.183294389491834</v>
      </c>
      <c r="U77" s="20">
        <v>74</v>
      </c>
      <c r="V77" s="20">
        <v>3.261012617333924</v>
      </c>
      <c r="W77" s="20">
        <v>227</v>
      </c>
      <c r="X77" s="20">
        <v>2.89486016726952</v>
      </c>
      <c r="Y77" s="20">
        <v>127.04040891151131</v>
      </c>
      <c r="Z77" s="20">
        <v>0.75662231933346247</v>
      </c>
      <c r="AA77" s="20">
        <v>0.2031640023350206</v>
      </c>
      <c r="AB77" s="20">
        <v>3.7241947915840941</v>
      </c>
      <c r="AC77" s="20">
        <v>1.9593959785170839E-4</v>
      </c>
      <c r="AD77" s="20">
        <v>3.3191136615038072E-2</v>
      </c>
      <c r="AE77" s="20" t="s">
        <v>4218</v>
      </c>
      <c r="AF77" s="20" t="s">
        <v>4219</v>
      </c>
      <c r="AG77" s="20" t="s">
        <v>43</v>
      </c>
      <c r="AH77" s="20" t="s">
        <v>43</v>
      </c>
      <c r="AI77" s="20" t="s">
        <v>43</v>
      </c>
      <c r="AJ77" s="20" t="s">
        <v>43</v>
      </c>
      <c r="AK77" s="20" t="s">
        <v>43</v>
      </c>
      <c r="AL77" s="20" t="s">
        <v>43</v>
      </c>
      <c r="AM77" s="20" t="s">
        <v>43</v>
      </c>
      <c r="AN77" s="20" t="s">
        <v>43</v>
      </c>
      <c r="AO77" s="20" t="s">
        <v>43</v>
      </c>
    </row>
    <row r="78" spans="1:41" s="20" customFormat="1" x14ac:dyDescent="0.3">
      <c r="A78" s="20" t="s">
        <v>82</v>
      </c>
      <c r="B78" s="20">
        <v>1817</v>
      </c>
      <c r="C78" s="20" t="str">
        <f>IF(Z78&lt;0, "Down", "Up")</f>
        <v>Up</v>
      </c>
      <c r="D78" s="21" t="str">
        <f>IF(AD78&lt;0.05, "Sig", "N")</f>
        <v>Sig</v>
      </c>
      <c r="E78" s="22" t="str">
        <f>IF(AND(J78&gt;2,L78&gt;2,N78&gt;2,P78&gt;2),"Y","N")</f>
        <v>Y</v>
      </c>
      <c r="F78" s="22" t="str">
        <f>IF(AND(R78&gt;2,T78&gt;2,V78&gt;2,X78&gt;2),"Y","N")</f>
        <v>Y</v>
      </c>
      <c r="G78" s="21" t="str">
        <f>IF(AVERAGE(J78,L78,N78,P78) &gt; AVERAGE(R78,T78,V78,X78), "Smaller", IF(AVERAGE(J78,L78,N78,P78) &lt; AVERAGE(R78,T78,V78,X78), "Larger", "Equal"))</f>
        <v>Larger</v>
      </c>
      <c r="H78" s="22" t="str">
        <f>IF(OR(E78="Y", F78="Y"), "Expressed", "N")</f>
        <v>Expressed</v>
      </c>
      <c r="I78" s="20">
        <v>2538</v>
      </c>
      <c r="J78" s="20">
        <v>25.760065624931961</v>
      </c>
      <c r="K78" s="20">
        <v>5075</v>
      </c>
      <c r="L78" s="20">
        <v>28.868566952152879</v>
      </c>
      <c r="M78" s="20">
        <v>6006</v>
      </c>
      <c r="N78" s="20">
        <v>31.116309025012999</v>
      </c>
      <c r="O78" s="20">
        <v>1682</v>
      </c>
      <c r="P78" s="20">
        <v>24.43250952288021</v>
      </c>
      <c r="Q78" s="20">
        <v>4170</v>
      </c>
      <c r="R78" s="20">
        <v>56.975251813743832</v>
      </c>
      <c r="S78" s="20">
        <v>6951</v>
      </c>
      <c r="T78" s="20">
        <v>62.234269066994699</v>
      </c>
      <c r="U78" s="20">
        <v>1496</v>
      </c>
      <c r="V78" s="20">
        <v>31.892333781494841</v>
      </c>
      <c r="W78" s="20">
        <v>8905</v>
      </c>
      <c r="X78" s="20">
        <v>54.937590124112553</v>
      </c>
      <c r="Y78" s="20">
        <v>4200.9369359595503</v>
      </c>
      <c r="Z78" s="20">
        <v>1.040871768952893</v>
      </c>
      <c r="AA78" s="20">
        <v>0.2142068693670543</v>
      </c>
      <c r="AB78" s="20">
        <v>4.8591894929816943</v>
      </c>
      <c r="AC78" s="20">
        <v>1.178672807972656E-6</v>
      </c>
      <c r="AD78" s="20">
        <v>1.083873837845712E-3</v>
      </c>
      <c r="AE78" s="20" t="s">
        <v>83</v>
      </c>
      <c r="AF78" s="20" t="s">
        <v>84</v>
      </c>
      <c r="AG78" s="20" t="s">
        <v>85</v>
      </c>
      <c r="AH78" s="20" t="s">
        <v>86</v>
      </c>
      <c r="AI78" s="20" t="s">
        <v>43</v>
      </c>
      <c r="AJ78" s="20" t="s">
        <v>43</v>
      </c>
      <c r="AK78" s="20" t="s">
        <v>43</v>
      </c>
      <c r="AL78" s="20" t="s">
        <v>43</v>
      </c>
      <c r="AM78" s="20" t="s">
        <v>43</v>
      </c>
      <c r="AN78" s="20" t="s">
        <v>87</v>
      </c>
      <c r="AO78" s="20" t="s">
        <v>43</v>
      </c>
    </row>
    <row r="79" spans="1:41" s="20" customFormat="1" x14ac:dyDescent="0.3">
      <c r="A79" s="20" t="s">
        <v>4220</v>
      </c>
      <c r="B79" s="20">
        <v>2895</v>
      </c>
      <c r="C79" s="20" t="str">
        <f>IF(Z79&lt;0, "Down", "Up")</f>
        <v>Up</v>
      </c>
      <c r="D79" s="21" t="str">
        <f>IF(AD79&lt;0.05, "Sig", "N")</f>
        <v>Sig</v>
      </c>
      <c r="E79" s="22" t="str">
        <f>IF(AND(J79&gt;2,L79&gt;2,N79&gt;2,P79&gt;2),"Y","N")</f>
        <v>Y</v>
      </c>
      <c r="F79" s="22" t="str">
        <f>IF(AND(R79&gt;2,T79&gt;2,V79&gt;2,X79&gt;2),"Y","N")</f>
        <v>Y</v>
      </c>
      <c r="G79" s="21" t="str">
        <f>IF(AVERAGE(J79,L79,N79,P79) &gt; AVERAGE(R79,T79,V79,X79), "Smaller", IF(AVERAGE(J79,L79,N79,P79) &lt; AVERAGE(R79,T79,V79,X79), "Larger", "Equal"))</f>
        <v>Larger</v>
      </c>
      <c r="H79" s="22" t="str">
        <f>IF(OR(E79="Y", F79="Y"), "Expressed", "N")</f>
        <v>Expressed</v>
      </c>
      <c r="I79" s="20">
        <v>5134</v>
      </c>
      <c r="J79" s="20">
        <v>32.705257353951758</v>
      </c>
      <c r="K79" s="20">
        <v>9278</v>
      </c>
      <c r="L79" s="20">
        <v>33.124543870871577</v>
      </c>
      <c r="M79" s="20">
        <v>9654</v>
      </c>
      <c r="N79" s="20">
        <v>31.391813229604189</v>
      </c>
      <c r="O79" s="20">
        <v>3483</v>
      </c>
      <c r="P79" s="20">
        <v>31.754254336601591</v>
      </c>
      <c r="Q79" s="20">
        <v>4689</v>
      </c>
      <c r="R79" s="20">
        <v>40.210251579560357</v>
      </c>
      <c r="S79" s="20">
        <v>7024</v>
      </c>
      <c r="T79" s="20">
        <v>39.470548975748031</v>
      </c>
      <c r="U79" s="20">
        <v>3010</v>
      </c>
      <c r="V79" s="20">
        <v>40.274259313895932</v>
      </c>
      <c r="W79" s="20">
        <v>9747</v>
      </c>
      <c r="X79" s="20">
        <v>37.740965514414981</v>
      </c>
      <c r="Y79" s="20">
        <v>5994.1257852430699</v>
      </c>
      <c r="Z79" s="20">
        <v>0.41525761548423801</v>
      </c>
      <c r="AA79" s="20">
        <v>9.1090059696054784E-2</v>
      </c>
      <c r="AB79" s="20">
        <v>4.5587588466826228</v>
      </c>
      <c r="AC79" s="20">
        <v>5.145681581467013E-6</v>
      </c>
      <c r="AD79" s="20">
        <v>3.1247879565946381E-3</v>
      </c>
      <c r="AE79" s="20" t="s">
        <v>4221</v>
      </c>
      <c r="AF79" s="20" t="s">
        <v>4222</v>
      </c>
      <c r="AG79" s="20" t="s">
        <v>43</v>
      </c>
      <c r="AH79" s="20" t="s">
        <v>3426</v>
      </c>
      <c r="AI79" s="20" t="s">
        <v>43</v>
      </c>
      <c r="AJ79" s="20" t="s">
        <v>43</v>
      </c>
      <c r="AK79" s="20" t="s">
        <v>43</v>
      </c>
      <c r="AL79" s="20" t="s">
        <v>43</v>
      </c>
      <c r="AM79" s="20" t="s">
        <v>43</v>
      </c>
      <c r="AN79" s="20" t="s">
        <v>3427</v>
      </c>
      <c r="AO79" s="20" t="s">
        <v>43</v>
      </c>
    </row>
    <row r="80" spans="1:41" s="20" customFormat="1" x14ac:dyDescent="0.3">
      <c r="A80" s="20" t="s">
        <v>4223</v>
      </c>
      <c r="B80" s="20">
        <v>1340</v>
      </c>
      <c r="C80" s="20" t="str">
        <f>IF(Z80&lt;0, "Down", "Up")</f>
        <v>Up</v>
      </c>
      <c r="D80" s="21" t="str">
        <f>IF(AD80&lt;0.05, "Sig", "N")</f>
        <v>Sig</v>
      </c>
      <c r="E80" s="22" t="str">
        <f>IF(AND(J80&gt;2,L80&gt;2,N80&gt;2,P80&gt;2),"Y","N")</f>
        <v>Y</v>
      </c>
      <c r="F80" s="22" t="str">
        <f>IF(AND(R80&gt;2,T80&gt;2,V80&gt;2,X80&gt;2),"Y","N")</f>
        <v>Y</v>
      </c>
      <c r="G80" s="21" t="str">
        <f>IF(AVERAGE(J80,L80,N80,P80) &gt; AVERAGE(R80,T80,V80,X80), "Smaller", IF(AVERAGE(J80,L80,N80,P80) &lt; AVERAGE(R80,T80,V80,X80), "Larger", "Equal"))</f>
        <v>Larger</v>
      </c>
      <c r="H80" s="22" t="str">
        <f>IF(OR(E80="Y", F80="Y"), "Expressed", "N")</f>
        <v>Expressed</v>
      </c>
      <c r="I80" s="20">
        <v>44005</v>
      </c>
      <c r="J80" s="20">
        <v>605.63016971239051</v>
      </c>
      <c r="K80" s="20">
        <v>82292</v>
      </c>
      <c r="L80" s="20">
        <v>634.74154647826902</v>
      </c>
      <c r="M80" s="20">
        <v>97981</v>
      </c>
      <c r="N80" s="20">
        <v>688.32690375687662</v>
      </c>
      <c r="O80" s="20">
        <v>32323</v>
      </c>
      <c r="P80" s="20">
        <v>636.65459281094797</v>
      </c>
      <c r="Q80" s="20">
        <v>44869</v>
      </c>
      <c r="R80" s="20">
        <v>831.2788246335399</v>
      </c>
      <c r="S80" s="20">
        <v>75979</v>
      </c>
      <c r="T80" s="20">
        <v>922.41425704823348</v>
      </c>
      <c r="U80" s="20">
        <v>30399</v>
      </c>
      <c r="V80" s="20">
        <v>878.74756277994709</v>
      </c>
      <c r="W80" s="20">
        <v>95567</v>
      </c>
      <c r="X80" s="20">
        <v>799.4545213728295</v>
      </c>
      <c r="Y80" s="20">
        <v>58121.460744982003</v>
      </c>
      <c r="Z80" s="20">
        <v>0.5483458917274967</v>
      </c>
      <c r="AA80" s="20">
        <v>9.2256593024903272E-2</v>
      </c>
      <c r="AB80" s="20">
        <v>5.9437041164036808</v>
      </c>
      <c r="AC80" s="20">
        <v>2.7865238670349402E-9</v>
      </c>
      <c r="AD80" s="20">
        <v>6.8987900508091969E-6</v>
      </c>
      <c r="AE80" s="20" t="s">
        <v>4224</v>
      </c>
      <c r="AF80" s="20" t="s">
        <v>4225</v>
      </c>
      <c r="AG80" s="20" t="s">
        <v>4226</v>
      </c>
      <c r="AH80" s="20" t="s">
        <v>4227</v>
      </c>
      <c r="AI80" s="20" t="s">
        <v>43</v>
      </c>
      <c r="AJ80" s="20" t="s">
        <v>43</v>
      </c>
      <c r="AK80" s="20" t="s">
        <v>43</v>
      </c>
      <c r="AL80" s="20" t="s">
        <v>43</v>
      </c>
      <c r="AM80" s="20" t="s">
        <v>43</v>
      </c>
      <c r="AN80" s="20" t="s">
        <v>4228</v>
      </c>
      <c r="AO80" s="20" t="s">
        <v>43</v>
      </c>
    </row>
    <row r="81" spans="1:41" s="20" customFormat="1" x14ac:dyDescent="0.3">
      <c r="A81" s="20" t="s">
        <v>117</v>
      </c>
      <c r="B81" s="20">
        <v>635</v>
      </c>
      <c r="C81" s="20" t="str">
        <f>IF(Z81&lt;0, "Down", "Up")</f>
        <v>Up</v>
      </c>
      <c r="D81" s="21" t="str">
        <f>IF(AD81&lt;0.05, "Sig", "N")</f>
        <v>Sig</v>
      </c>
      <c r="E81" s="22" t="str">
        <f>IF(AND(J81&gt;2,L81&gt;2,N81&gt;2,P81&gt;2),"Y","N")</f>
        <v>Y</v>
      </c>
      <c r="F81" s="22" t="str">
        <f>IF(AND(R81&gt;2,T81&gt;2,V81&gt;2,X81&gt;2),"Y","N")</f>
        <v>Y</v>
      </c>
      <c r="G81" s="21" t="str">
        <f>IF(AVERAGE(J81,L81,N81,P81) &gt; AVERAGE(R81,T81,V81,X81), "Smaller", IF(AVERAGE(J81,L81,N81,P81) &lt; AVERAGE(R81,T81,V81,X81), "Larger", "Equal"))</f>
        <v>Larger</v>
      </c>
      <c r="H81" s="22" t="str">
        <f>IF(OR(E81="Y", F81="Y"), "Expressed", "N")</f>
        <v>Expressed</v>
      </c>
      <c r="I81" s="20">
        <v>3705</v>
      </c>
      <c r="J81" s="20">
        <v>107.6030946222505</v>
      </c>
      <c r="K81" s="20">
        <v>3343</v>
      </c>
      <c r="L81" s="20">
        <v>54.413512061236581</v>
      </c>
      <c r="M81" s="20">
        <v>3029</v>
      </c>
      <c r="N81" s="20">
        <v>44.903813290856348</v>
      </c>
      <c r="O81" s="20">
        <v>1642</v>
      </c>
      <c r="P81" s="20">
        <v>68.249023206949374</v>
      </c>
      <c r="Q81" s="20">
        <v>8009</v>
      </c>
      <c r="R81" s="20">
        <v>313.11919660774959</v>
      </c>
      <c r="S81" s="20">
        <v>12665</v>
      </c>
      <c r="T81" s="20">
        <v>324.46563089472141</v>
      </c>
      <c r="U81" s="20">
        <v>1543</v>
      </c>
      <c r="V81" s="20">
        <v>94.124316447162158</v>
      </c>
      <c r="W81" s="20">
        <v>21967</v>
      </c>
      <c r="X81" s="20">
        <v>387.78198831583478</v>
      </c>
      <c r="Y81" s="20">
        <v>6634.0615154359148</v>
      </c>
      <c r="Z81" s="20">
        <v>2.146781954156701</v>
      </c>
      <c r="AA81" s="20">
        <v>0.48869428679210952</v>
      </c>
      <c r="AB81" s="20">
        <v>4.3928934963586794</v>
      </c>
      <c r="AC81" s="20">
        <v>1.1185192989588259E-5</v>
      </c>
      <c r="AD81" s="20">
        <v>5.3730662144760933E-3</v>
      </c>
      <c r="AE81" s="20" t="s">
        <v>118</v>
      </c>
      <c r="AF81" s="20" t="s">
        <v>119</v>
      </c>
      <c r="AG81" s="20" t="s">
        <v>120</v>
      </c>
      <c r="AH81" s="20" t="s">
        <v>43</v>
      </c>
      <c r="AI81" s="20" t="s">
        <v>43</v>
      </c>
      <c r="AJ81" s="20" t="s">
        <v>43</v>
      </c>
      <c r="AK81" s="20" t="s">
        <v>43</v>
      </c>
      <c r="AL81" s="20" t="s">
        <v>43</v>
      </c>
      <c r="AM81" s="20" t="s">
        <v>43</v>
      </c>
      <c r="AN81" s="20" t="s">
        <v>43</v>
      </c>
      <c r="AO81" s="20" t="s">
        <v>43</v>
      </c>
    </row>
    <row r="82" spans="1:41" s="10" customFormat="1" x14ac:dyDescent="0.3">
      <c r="A82" s="10" t="s">
        <v>3843</v>
      </c>
      <c r="B82" s="10">
        <v>1520</v>
      </c>
      <c r="C82" s="10" t="str">
        <f>IF(Z82&lt;0, "Down", "Up")</f>
        <v>Up</v>
      </c>
      <c r="D82" s="11" t="str">
        <f>IF(AD82&lt;0.05, "Sig", "N")</f>
        <v>Sig</v>
      </c>
      <c r="E82" s="12" t="str">
        <f>IF(AND(J82&gt;2,L82&gt;2,N82&gt;2,P82&gt;2),"Y","N")</f>
        <v>Y</v>
      </c>
      <c r="F82" s="12" t="str">
        <f>IF(AND(R82&gt;2,T82&gt;2,V82&gt;2,X82&gt;2),"Y","N")</f>
        <v>Y</v>
      </c>
      <c r="G82" s="11" t="str">
        <f>IF(AVERAGE(J82,L82,N82,P82) &gt; AVERAGE(R82,T82,V82,X82), "Smaller", IF(AVERAGE(J82,L82,N82,P82) &lt; AVERAGE(R82,T82,V82,X82), "Larger", "Equal"))</f>
        <v>Larger</v>
      </c>
      <c r="H82" s="12" t="str">
        <f>IF(OR(E82="Y", F82="Y"), "Expressed", "N")</f>
        <v>Expressed</v>
      </c>
      <c r="I82" s="10">
        <v>632</v>
      </c>
      <c r="J82" s="10">
        <v>7.6680293227149621</v>
      </c>
      <c r="K82" s="10">
        <v>802</v>
      </c>
      <c r="L82" s="10">
        <v>5.4534945934604027</v>
      </c>
      <c r="M82" s="10">
        <v>713</v>
      </c>
      <c r="N82" s="10">
        <v>4.4157412526501858</v>
      </c>
      <c r="O82" s="10">
        <v>377</v>
      </c>
      <c r="P82" s="10">
        <v>6.5462829791283266</v>
      </c>
      <c r="Q82" s="10">
        <v>3909</v>
      </c>
      <c r="R82" s="10">
        <v>63.845046576524531</v>
      </c>
      <c r="S82" s="10">
        <v>7439</v>
      </c>
      <c r="T82" s="10">
        <v>79.617438803759001</v>
      </c>
      <c r="U82" s="10">
        <v>372</v>
      </c>
      <c r="V82" s="10">
        <v>9.4800141688903388</v>
      </c>
      <c r="W82" s="10">
        <v>14518</v>
      </c>
      <c r="X82" s="10">
        <v>107.0665509491659</v>
      </c>
      <c r="Y82" s="10">
        <v>3288.0813697148092</v>
      </c>
      <c r="Z82" s="10">
        <v>3.5798485003795322</v>
      </c>
      <c r="AA82" s="10">
        <v>0.67900013755256183</v>
      </c>
      <c r="AB82" s="10">
        <v>5.2722353095288046</v>
      </c>
      <c r="AC82" s="10">
        <v>1.3477212692843291E-7</v>
      </c>
      <c r="AD82" s="10">
        <v>2.0655432881864819E-4</v>
      </c>
      <c r="AE82" s="10" t="s">
        <v>3844</v>
      </c>
      <c r="AF82" s="10" t="s">
        <v>3845</v>
      </c>
      <c r="AG82" s="10" t="s">
        <v>3846</v>
      </c>
      <c r="AH82" s="10" t="s">
        <v>3847</v>
      </c>
      <c r="AI82" s="10" t="s">
        <v>43</v>
      </c>
      <c r="AJ82" s="10" t="s">
        <v>43</v>
      </c>
      <c r="AK82" s="10" t="s">
        <v>43</v>
      </c>
      <c r="AL82" s="10" t="s">
        <v>43</v>
      </c>
      <c r="AM82" s="10" t="s">
        <v>43</v>
      </c>
      <c r="AN82" s="10" t="s">
        <v>3848</v>
      </c>
      <c r="AO82" s="10" t="s">
        <v>43</v>
      </c>
    </row>
    <row r="83" spans="1:41" s="20" customFormat="1" x14ac:dyDescent="0.3">
      <c r="A83" s="20" t="s">
        <v>4229</v>
      </c>
      <c r="B83" s="20">
        <v>1545</v>
      </c>
      <c r="C83" s="20" t="str">
        <f>IF(Z83&lt;0, "Down", "Up")</f>
        <v>Up</v>
      </c>
      <c r="D83" s="21" t="str">
        <f>IF(AD83&lt;0.05, "Sig", "N")</f>
        <v>Sig</v>
      </c>
      <c r="E83" s="22" t="str">
        <f>IF(AND(J83&gt;2,L83&gt;2,N83&gt;2,P83&gt;2),"Y","N")</f>
        <v>N</v>
      </c>
      <c r="F83" s="22" t="str">
        <f>IF(AND(R83&gt;2,T83&gt;2,V83&gt;2,X83&gt;2),"Y","N")</f>
        <v>Y</v>
      </c>
      <c r="G83" s="21" t="str">
        <f>IF(AVERAGE(J83,L83,N83,P83) &gt; AVERAGE(R83,T83,V83,X83), "Smaller", IF(AVERAGE(J83,L83,N83,P83) &lt; AVERAGE(R83,T83,V83,X83), "Larger", "Equal"))</f>
        <v>Larger</v>
      </c>
      <c r="H83" s="22" t="str">
        <f>IF(OR(E83="Y", F83="Y"), "Expressed", "N")</f>
        <v>Expressed</v>
      </c>
      <c r="I83" s="20">
        <v>769</v>
      </c>
      <c r="J83" s="20">
        <v>9.179269709081014</v>
      </c>
      <c r="K83" s="20">
        <v>178</v>
      </c>
      <c r="L83" s="20">
        <v>1.190791223564589</v>
      </c>
      <c r="M83" s="20">
        <v>187</v>
      </c>
      <c r="N83" s="20">
        <v>1.1393857883443299</v>
      </c>
      <c r="O83" s="20">
        <v>104</v>
      </c>
      <c r="P83" s="20">
        <v>1.7766499503671569</v>
      </c>
      <c r="Q83" s="20">
        <v>164</v>
      </c>
      <c r="R83" s="20">
        <v>2.635241917141844</v>
      </c>
      <c r="S83" s="20">
        <v>275</v>
      </c>
      <c r="T83" s="20">
        <v>2.8956191627151111</v>
      </c>
      <c r="U83" s="20">
        <v>82</v>
      </c>
      <c r="V83" s="20">
        <v>2.055866941591836</v>
      </c>
      <c r="W83" s="20">
        <v>953</v>
      </c>
      <c r="X83" s="20">
        <v>6.9144083627432611</v>
      </c>
      <c r="Y83" s="20">
        <v>320.88165215215668</v>
      </c>
      <c r="Z83" s="20">
        <v>0.21284066459480169</v>
      </c>
      <c r="AA83" s="20">
        <v>0.86525638749170863</v>
      </c>
      <c r="AB83" s="20">
        <v>0.2459856612117079</v>
      </c>
    </row>
    <row r="84" spans="1:41" s="20" customFormat="1" x14ac:dyDescent="0.3">
      <c r="A84" s="20" t="s">
        <v>4230</v>
      </c>
      <c r="B84" s="20">
        <v>2897</v>
      </c>
      <c r="C84" s="20" t="str">
        <f>IF(Z84&lt;0, "Down", "Up")</f>
        <v>Up</v>
      </c>
      <c r="D84" s="21" t="str">
        <f>IF(AD84&lt;0.05, "Sig", "N")</f>
        <v>Sig</v>
      </c>
      <c r="E84" s="22" t="str">
        <f>IF(AND(J84&gt;2,L84&gt;2,N84&gt;2,P84&gt;2),"Y","N")</f>
        <v>Y</v>
      </c>
      <c r="F84" s="22" t="str">
        <f>IF(AND(R84&gt;2,T84&gt;2,V84&gt;2,X84&gt;2),"Y","N")</f>
        <v>Y</v>
      </c>
      <c r="G84" s="21" t="str">
        <f>IF(AVERAGE(J84,L84,N84,P84) &gt; AVERAGE(R84,T84,V84,X84), "Smaller", IF(AVERAGE(J84,L84,N84,P84) &lt; AVERAGE(R84,T84,V84,X84), "Larger", "Equal"))</f>
        <v>Larger</v>
      </c>
      <c r="H84" s="22" t="str">
        <f>IF(OR(E84="Y", F84="Y"), "Expressed", "N")</f>
        <v>Expressed</v>
      </c>
      <c r="I84" s="20">
        <v>3298</v>
      </c>
      <c r="J84" s="20">
        <v>20.994833302891461</v>
      </c>
      <c r="K84" s="20">
        <v>4520</v>
      </c>
      <c r="L84" s="20">
        <v>16.126274430815592</v>
      </c>
      <c r="M84" s="20">
        <v>6372</v>
      </c>
      <c r="N84" s="20">
        <v>20.70546304760218</v>
      </c>
      <c r="O84" s="20">
        <v>1730</v>
      </c>
      <c r="P84" s="20">
        <v>15.761393815348949</v>
      </c>
      <c r="Q84" s="20">
        <v>2938</v>
      </c>
      <c r="R84" s="20">
        <v>25.17725751346941</v>
      </c>
      <c r="S84" s="20">
        <v>5355</v>
      </c>
      <c r="T84" s="20">
        <v>30.07102363227715</v>
      </c>
      <c r="U84" s="20">
        <v>2040</v>
      </c>
      <c r="V84" s="20">
        <v>27.27666731147086</v>
      </c>
      <c r="W84" s="20">
        <v>6040</v>
      </c>
      <c r="X84" s="20">
        <v>23.371094517738459</v>
      </c>
      <c r="Y84" s="20">
        <v>3774.448407856145</v>
      </c>
      <c r="Z84" s="20">
        <v>0.64431702716797878</v>
      </c>
      <c r="AA84" s="20">
        <v>0.16475583559336099</v>
      </c>
      <c r="AB84" s="20">
        <v>3.910738729511456</v>
      </c>
      <c r="AC84" s="20">
        <v>9.2014263562507705E-5</v>
      </c>
      <c r="AD84" s="20">
        <v>2.0369482978831049E-2</v>
      </c>
      <c r="AE84" s="20" t="s">
        <v>4231</v>
      </c>
      <c r="AF84" s="20" t="s">
        <v>4232</v>
      </c>
      <c r="AG84" s="20" t="s">
        <v>43</v>
      </c>
      <c r="AH84" s="20" t="s">
        <v>4233</v>
      </c>
      <c r="AI84" s="20" t="s">
        <v>43</v>
      </c>
      <c r="AJ84" s="20" t="s">
        <v>43</v>
      </c>
      <c r="AK84" s="20" t="s">
        <v>43</v>
      </c>
      <c r="AL84" s="20" t="s">
        <v>43</v>
      </c>
      <c r="AM84" s="20" t="s">
        <v>43</v>
      </c>
      <c r="AN84" s="20" t="s">
        <v>4234</v>
      </c>
      <c r="AO84" s="20" t="s">
        <v>322</v>
      </c>
    </row>
    <row r="85" spans="1:41" s="20" customFormat="1" x14ac:dyDescent="0.3">
      <c r="A85" s="20" t="s">
        <v>4235</v>
      </c>
      <c r="B85" s="20">
        <v>1398</v>
      </c>
      <c r="C85" s="20" t="str">
        <f>IF(Z85&lt;0, "Down", "Up")</f>
        <v>Up</v>
      </c>
      <c r="D85" s="21" t="str">
        <f>IF(AD85&lt;0.05, "Sig", "N")</f>
        <v>Sig</v>
      </c>
      <c r="E85" s="22" t="str">
        <f>IF(AND(J85&gt;2,L85&gt;2,N85&gt;2,P85&gt;2),"Y","N")</f>
        <v>Y</v>
      </c>
      <c r="F85" s="22" t="str">
        <f>IF(AND(R85&gt;2,T85&gt;2,V85&gt;2,X85&gt;2),"Y","N")</f>
        <v>Y</v>
      </c>
      <c r="G85" s="21" t="str">
        <f>IF(AVERAGE(J85,L85,N85,P85) &gt; AVERAGE(R85,T85,V85,X85), "Smaller", IF(AVERAGE(J85,L85,N85,P85) &lt; AVERAGE(R85,T85,V85,X85), "Larger", "Equal"))</f>
        <v>Larger</v>
      </c>
      <c r="H85" s="22" t="str">
        <f>IF(OR(E85="Y", F85="Y"), "Expressed", "N")</f>
        <v>Expressed</v>
      </c>
      <c r="I85" s="20">
        <v>259</v>
      </c>
      <c r="J85" s="20">
        <v>3.4166686855616821</v>
      </c>
      <c r="K85" s="20">
        <v>420</v>
      </c>
      <c r="L85" s="20">
        <v>3.1051760338648382</v>
      </c>
      <c r="M85" s="20">
        <v>1003</v>
      </c>
      <c r="N85" s="20">
        <v>6.7538504055486666</v>
      </c>
      <c r="O85" s="20">
        <v>281</v>
      </c>
      <c r="P85" s="20">
        <v>5.3051315939126589</v>
      </c>
      <c r="Q85" s="20">
        <v>416</v>
      </c>
      <c r="R85" s="20">
        <v>7.3873943830271713</v>
      </c>
      <c r="S85" s="20">
        <v>578</v>
      </c>
      <c r="T85" s="20">
        <v>6.7260160449895201</v>
      </c>
      <c r="U85" s="20">
        <v>307</v>
      </c>
      <c r="V85" s="20">
        <v>8.5063028054113161</v>
      </c>
      <c r="W85" s="20">
        <v>1325</v>
      </c>
      <c r="X85" s="20">
        <v>10.624275287272029</v>
      </c>
      <c r="Y85" s="20">
        <v>528.04231719091194</v>
      </c>
      <c r="Z85" s="20">
        <v>0.98594845286126542</v>
      </c>
      <c r="AA85" s="20">
        <v>0.26559210735152161</v>
      </c>
      <c r="AB85" s="20">
        <v>3.712265634295842</v>
      </c>
      <c r="AC85" s="20">
        <v>2.0541223751150691E-4</v>
      </c>
      <c r="AD85" s="20">
        <v>3.4433296168270053E-2</v>
      </c>
      <c r="AE85" s="20" t="s">
        <v>4236</v>
      </c>
      <c r="AF85" s="20" t="s">
        <v>4237</v>
      </c>
      <c r="AG85" s="20" t="s">
        <v>43</v>
      </c>
      <c r="AH85" s="20" t="s">
        <v>4238</v>
      </c>
      <c r="AI85" s="20" t="s">
        <v>43</v>
      </c>
      <c r="AJ85" s="20" t="s">
        <v>43</v>
      </c>
      <c r="AK85" s="20" t="s">
        <v>43</v>
      </c>
      <c r="AL85" s="20" t="s">
        <v>43</v>
      </c>
      <c r="AM85" s="20" t="s">
        <v>43</v>
      </c>
      <c r="AN85" s="20" t="s">
        <v>1042</v>
      </c>
      <c r="AO85" s="20" t="s">
        <v>43</v>
      </c>
    </row>
    <row r="86" spans="1:41" s="20" customFormat="1" x14ac:dyDescent="0.3">
      <c r="A86" s="20" t="s">
        <v>4239</v>
      </c>
      <c r="B86" s="20">
        <v>1144</v>
      </c>
      <c r="C86" s="20" t="str">
        <f>IF(Z86&lt;0, "Down", "Up")</f>
        <v>Up</v>
      </c>
      <c r="D86" s="21" t="str">
        <f>IF(AD86&lt;0.05, "Sig", "N")</f>
        <v>Sig</v>
      </c>
      <c r="E86" s="22" t="str">
        <f>IF(AND(J86&gt;2,L86&gt;2,N86&gt;2,P86&gt;2),"Y","N")</f>
        <v>Y</v>
      </c>
      <c r="F86" s="22" t="str">
        <f>IF(AND(R86&gt;2,T86&gt;2,V86&gt;2,X86&gt;2),"Y","N")</f>
        <v>Y</v>
      </c>
      <c r="G86" s="21" t="str">
        <f>IF(AVERAGE(J86,L86,N86,P86) &gt; AVERAGE(R86,T86,V86,X86), "Smaller", IF(AVERAGE(J86,L86,N86,P86) &lt; AVERAGE(R86,T86,V86,X86), "Larger", "Equal"))</f>
        <v>Larger</v>
      </c>
      <c r="H86" s="22" t="str">
        <f>IF(OR(E86="Y", F86="Y"), "Expressed", "N")</f>
        <v>Expressed</v>
      </c>
      <c r="I86" s="20">
        <v>3825</v>
      </c>
      <c r="J86" s="20">
        <v>61.661727784844423</v>
      </c>
      <c r="K86" s="20">
        <v>6225</v>
      </c>
      <c r="L86" s="20">
        <v>56.241570291188907</v>
      </c>
      <c r="M86" s="20">
        <v>7369</v>
      </c>
      <c r="N86" s="20">
        <v>60.637349182005032</v>
      </c>
      <c r="O86" s="20">
        <v>2684</v>
      </c>
      <c r="P86" s="20">
        <v>61.923215448355293</v>
      </c>
      <c r="Q86" s="20">
        <v>4414</v>
      </c>
      <c r="R86" s="20">
        <v>95.788071568512436</v>
      </c>
      <c r="S86" s="20">
        <v>4525</v>
      </c>
      <c r="T86" s="20">
        <v>64.347220339913164</v>
      </c>
      <c r="U86" s="20">
        <v>2493</v>
      </c>
      <c r="V86" s="20">
        <v>84.412330088320303</v>
      </c>
      <c r="W86" s="20">
        <v>7097</v>
      </c>
      <c r="X86" s="20">
        <v>69.540753025366058</v>
      </c>
      <c r="Y86" s="20">
        <v>4575.3076840855829</v>
      </c>
      <c r="Z86" s="20">
        <v>0.5019713995309586</v>
      </c>
      <c r="AA86" s="20">
        <v>0.13408803879974779</v>
      </c>
      <c r="AB86" s="20">
        <v>3.74359565569172</v>
      </c>
      <c r="AC86" s="20">
        <v>1.8140549628940379E-4</v>
      </c>
      <c r="AD86" s="20">
        <v>3.1830774911433608E-2</v>
      </c>
      <c r="AE86" s="20" t="s">
        <v>4240</v>
      </c>
      <c r="AF86" s="20" t="s">
        <v>4241</v>
      </c>
      <c r="AG86" s="20" t="s">
        <v>4242</v>
      </c>
      <c r="AH86" s="20" t="s">
        <v>4243</v>
      </c>
      <c r="AI86" s="20" t="s">
        <v>43</v>
      </c>
      <c r="AJ86" s="20" t="s">
        <v>43</v>
      </c>
      <c r="AK86" s="20" t="s">
        <v>43</v>
      </c>
      <c r="AL86" s="20" t="s">
        <v>43</v>
      </c>
      <c r="AM86" s="20" t="s">
        <v>43</v>
      </c>
      <c r="AN86" s="20" t="s">
        <v>4244</v>
      </c>
      <c r="AO86" s="20" t="s">
        <v>43</v>
      </c>
    </row>
    <row r="87" spans="1:41" s="20" customFormat="1" x14ac:dyDescent="0.3">
      <c r="A87" s="20" t="s">
        <v>3863</v>
      </c>
      <c r="B87" s="20">
        <v>4998</v>
      </c>
      <c r="C87" s="20" t="str">
        <f>IF(Z87&lt;0, "Down", "Up")</f>
        <v>Up</v>
      </c>
      <c r="D87" s="21" t="str">
        <f>IF(AD87&lt;0.05, "Sig", "N")</f>
        <v>Sig</v>
      </c>
      <c r="E87" s="22" t="str">
        <f>IF(AND(J87&gt;2,L87&gt;2,N87&gt;2,P87&gt;2),"Y","N")</f>
        <v>Y</v>
      </c>
      <c r="F87" s="22" t="str">
        <f>IF(AND(R87&gt;2,T87&gt;2,V87&gt;2,X87&gt;2),"Y","N")</f>
        <v>Y</v>
      </c>
      <c r="G87" s="21" t="str">
        <f>IF(AVERAGE(J87,L87,N87,P87) &gt; AVERAGE(R87,T87,V87,X87), "Smaller", IF(AVERAGE(J87,L87,N87,P87) &lt; AVERAGE(R87,T87,V87,X87), "Larger", "Equal"))</f>
        <v>Larger</v>
      </c>
      <c r="H87" s="22" t="str">
        <f>IF(OR(E87="Y", F87="Y"), "Expressed", "N")</f>
        <v>Expressed</v>
      </c>
      <c r="I87" s="20">
        <v>790</v>
      </c>
      <c r="J87" s="20">
        <v>2.9150171494914821</v>
      </c>
      <c r="K87" s="20">
        <v>1735</v>
      </c>
      <c r="L87" s="20">
        <v>3.5879578619162809</v>
      </c>
      <c r="M87" s="20">
        <v>1470</v>
      </c>
      <c r="N87" s="20">
        <v>2.768718217980481</v>
      </c>
      <c r="O87" s="20">
        <v>648</v>
      </c>
      <c r="P87" s="20">
        <v>3.4219666026210152</v>
      </c>
      <c r="Q87" s="20">
        <v>2376</v>
      </c>
      <c r="R87" s="20">
        <v>11.80199184365738</v>
      </c>
      <c r="S87" s="20">
        <v>3297</v>
      </c>
      <c r="T87" s="20">
        <v>10.73148758142079</v>
      </c>
      <c r="U87" s="20">
        <v>357</v>
      </c>
      <c r="V87" s="20">
        <v>2.7668244118113119</v>
      </c>
      <c r="W87" s="20">
        <v>5047</v>
      </c>
      <c r="X87" s="20">
        <v>11.319510882097291</v>
      </c>
      <c r="Y87" s="20">
        <v>1822.8529854922081</v>
      </c>
      <c r="Z87" s="20">
        <v>1.67383845166393</v>
      </c>
      <c r="AA87" s="20">
        <v>0.35454830591063458</v>
      </c>
      <c r="AB87" s="20">
        <v>4.7210448442696213</v>
      </c>
      <c r="AC87" s="20">
        <v>2.3463619521886958E-6</v>
      </c>
      <c r="AD87" s="20">
        <v>1.6436099536337231E-3</v>
      </c>
      <c r="AE87" s="20" t="s">
        <v>3864</v>
      </c>
      <c r="AF87" s="20" t="s">
        <v>3865</v>
      </c>
      <c r="AG87" s="20" t="s">
        <v>3866</v>
      </c>
      <c r="AH87" s="20" t="s">
        <v>3867</v>
      </c>
      <c r="AI87" s="20" t="s">
        <v>43</v>
      </c>
      <c r="AJ87" s="20" t="s">
        <v>43</v>
      </c>
      <c r="AK87" s="20" t="s">
        <v>43</v>
      </c>
      <c r="AL87" s="20" t="s">
        <v>43</v>
      </c>
      <c r="AM87" s="20" t="s">
        <v>43</v>
      </c>
      <c r="AN87" s="20" t="s">
        <v>3868</v>
      </c>
      <c r="AO87" s="20" t="s">
        <v>43</v>
      </c>
    </row>
    <row r="88" spans="1:41" s="20" customFormat="1" x14ac:dyDescent="0.3">
      <c r="A88" s="20" t="s">
        <v>4245</v>
      </c>
      <c r="B88" s="20">
        <v>3566</v>
      </c>
      <c r="C88" s="20" t="str">
        <f>IF(Z88&lt;0, "Down", "Up")</f>
        <v>Up</v>
      </c>
      <c r="D88" s="21" t="str">
        <f>IF(AD88&lt;0.05, "Sig", "N")</f>
        <v>Sig</v>
      </c>
      <c r="E88" s="22" t="str">
        <f>IF(AND(J88&gt;2,L88&gt;2,N88&gt;2,P88&gt;2),"Y","N")</f>
        <v>Y</v>
      </c>
      <c r="F88" s="22" t="str">
        <f>IF(AND(R88&gt;2,T88&gt;2,V88&gt;2,X88&gt;2),"Y","N")</f>
        <v>Y</v>
      </c>
      <c r="G88" s="21" t="str">
        <f>IF(AVERAGE(J88,L88,N88,P88) &gt; AVERAGE(R88,T88,V88,X88), "Smaller", IF(AVERAGE(J88,L88,N88,P88) &lt; AVERAGE(R88,T88,V88,X88), "Larger", "Equal"))</f>
        <v>Larger</v>
      </c>
      <c r="H88" s="22" t="str">
        <f>IF(OR(E88="Y", F88="Y"), "Expressed", "N")</f>
        <v>Expressed</v>
      </c>
      <c r="I88" s="20">
        <v>490</v>
      </c>
      <c r="J88" s="20">
        <v>2.5341073924077722</v>
      </c>
      <c r="K88" s="20">
        <v>1007</v>
      </c>
      <c r="L88" s="20">
        <v>2.918718684407263</v>
      </c>
      <c r="M88" s="20">
        <v>1015</v>
      </c>
      <c r="N88" s="20">
        <v>2.6794297729250252</v>
      </c>
      <c r="O88" s="20">
        <v>341</v>
      </c>
      <c r="P88" s="20">
        <v>2.5238878486485201</v>
      </c>
      <c r="Q88" s="20">
        <v>509</v>
      </c>
      <c r="R88" s="20">
        <v>3.5435745110493611</v>
      </c>
      <c r="S88" s="20">
        <v>676</v>
      </c>
      <c r="T88" s="20">
        <v>3.0839163472420501</v>
      </c>
      <c r="U88" s="20">
        <v>330</v>
      </c>
      <c r="V88" s="20">
        <v>3.5846126703780881</v>
      </c>
      <c r="W88" s="20">
        <v>994</v>
      </c>
      <c r="X88" s="20">
        <v>3.1246088171296331</v>
      </c>
      <c r="Y88" s="20">
        <v>617.10083434984949</v>
      </c>
      <c r="Z88" s="20">
        <v>0.44404826836961309</v>
      </c>
      <c r="AA88" s="20">
        <v>0.1083381577614419</v>
      </c>
      <c r="AB88" s="20">
        <v>4.0987245633934162</v>
      </c>
      <c r="AC88" s="20">
        <v>4.1543305314518728E-5</v>
      </c>
      <c r="AD88" s="20">
        <v>1.2734012205217001E-2</v>
      </c>
      <c r="AE88" s="20" t="s">
        <v>4246</v>
      </c>
      <c r="AF88" s="20" t="s">
        <v>4247</v>
      </c>
      <c r="AG88" s="20" t="s">
        <v>43</v>
      </c>
      <c r="AH88" s="20" t="s">
        <v>4248</v>
      </c>
      <c r="AI88" s="20" t="s">
        <v>43</v>
      </c>
      <c r="AJ88" s="20" t="s">
        <v>43</v>
      </c>
      <c r="AK88" s="20" t="s">
        <v>43</v>
      </c>
      <c r="AL88" s="20" t="s">
        <v>43</v>
      </c>
      <c r="AM88" s="20" t="s">
        <v>43</v>
      </c>
      <c r="AN88" s="20" t="s">
        <v>4249</v>
      </c>
      <c r="AO88" s="20" t="s">
        <v>43</v>
      </c>
    </row>
    <row r="89" spans="1:41" s="20" customFormat="1" x14ac:dyDescent="0.3">
      <c r="A89" s="20" t="s">
        <v>4250</v>
      </c>
      <c r="B89" s="20">
        <v>1901</v>
      </c>
      <c r="C89" s="20" t="str">
        <f>IF(Z89&lt;0, "Down", "Up")</f>
        <v>Up</v>
      </c>
      <c r="D89" s="21" t="str">
        <f>IF(AD89&lt;0.05, "Sig", "N")</f>
        <v>Sig</v>
      </c>
      <c r="E89" s="22" t="str">
        <f>IF(AND(J89&gt;2,L89&gt;2,N89&gt;2,P89&gt;2),"Y","N")</f>
        <v>Y</v>
      </c>
      <c r="F89" s="22" t="str">
        <f>IF(AND(R89&gt;2,T89&gt;2,V89&gt;2,X89&gt;2),"Y","N")</f>
        <v>Y</v>
      </c>
      <c r="G89" s="21" t="str">
        <f>IF(AVERAGE(J89,L89,N89,P89) &gt; AVERAGE(R89,T89,V89,X89), "Smaller", IF(AVERAGE(J89,L89,N89,P89) &lt; AVERAGE(R89,T89,V89,X89), "Larger", "Equal"))</f>
        <v>Larger</v>
      </c>
      <c r="H89" s="22" t="str">
        <f>IF(OR(E89="Y", F89="Y"), "Expressed", "N")</f>
        <v>Expressed</v>
      </c>
      <c r="I89" s="20">
        <v>1374</v>
      </c>
      <c r="J89" s="20">
        <v>13.329531658806941</v>
      </c>
      <c r="K89" s="20">
        <v>1660</v>
      </c>
      <c r="L89" s="20">
        <v>9.0254752113792911</v>
      </c>
      <c r="M89" s="20">
        <v>2071</v>
      </c>
      <c r="N89" s="20">
        <v>10.25547209894148</v>
      </c>
      <c r="O89" s="20">
        <v>784</v>
      </c>
      <c r="P89" s="20">
        <v>10.88506328592608</v>
      </c>
      <c r="Q89" s="20">
        <v>1369</v>
      </c>
      <c r="R89" s="20">
        <v>17.878309731579971</v>
      </c>
      <c r="S89" s="20">
        <v>1813</v>
      </c>
      <c r="T89" s="20">
        <v>15.515040700863389</v>
      </c>
      <c r="U89" s="20">
        <v>746</v>
      </c>
      <c r="V89" s="20">
        <v>15.20079650550097</v>
      </c>
      <c r="W89" s="20">
        <v>2634</v>
      </c>
      <c r="X89" s="20">
        <v>15.531888426997099</v>
      </c>
      <c r="Y89" s="20">
        <v>1486.892168036904</v>
      </c>
      <c r="Z89" s="20">
        <v>0.67752392025330477</v>
      </c>
      <c r="AA89" s="20">
        <v>0.17014843406142241</v>
      </c>
      <c r="AB89" s="20">
        <v>3.9819580120774032</v>
      </c>
      <c r="AC89" s="20">
        <v>6.8349856401246853E-5</v>
      </c>
      <c r="AD89" s="20">
        <v>1.6921847140570229E-2</v>
      </c>
      <c r="AE89" s="20" t="s">
        <v>4251</v>
      </c>
      <c r="AF89" s="20" t="s">
        <v>4252</v>
      </c>
      <c r="AG89" s="20" t="s">
        <v>4253</v>
      </c>
      <c r="AH89" s="20" t="s">
        <v>4254</v>
      </c>
      <c r="AI89" s="20" t="s">
        <v>43</v>
      </c>
      <c r="AJ89" s="20" t="s">
        <v>43</v>
      </c>
      <c r="AK89" s="20" t="s">
        <v>43</v>
      </c>
      <c r="AL89" s="20" t="s">
        <v>43</v>
      </c>
      <c r="AM89" s="20" t="s">
        <v>43</v>
      </c>
      <c r="AN89" s="20" t="s">
        <v>4255</v>
      </c>
      <c r="AO89" s="20" t="s">
        <v>43</v>
      </c>
    </row>
    <row r="90" spans="1:41" s="20" customFormat="1" x14ac:dyDescent="0.3">
      <c r="A90" s="20" t="s">
        <v>4256</v>
      </c>
      <c r="B90" s="20">
        <v>786</v>
      </c>
      <c r="C90" s="20" t="str">
        <f>IF(Z90&lt;0, "Down", "Up")</f>
        <v>Up</v>
      </c>
      <c r="D90" s="21" t="str">
        <f>IF(AD90&lt;0.05, "Sig", "N")</f>
        <v>Sig</v>
      </c>
      <c r="E90" s="22" t="str">
        <f>IF(AND(J90&gt;2,L90&gt;2,N90&gt;2,P90&gt;2),"Y","N")</f>
        <v>Y</v>
      </c>
      <c r="F90" s="22" t="str">
        <f>IF(AND(R90&gt;2,T90&gt;2,V90&gt;2,X90&gt;2),"Y","N")</f>
        <v>Y</v>
      </c>
      <c r="G90" s="21" t="str">
        <f>IF(AVERAGE(J90,L90,N90,P90) &gt; AVERAGE(R90,T90,V90,X90), "Smaller", IF(AVERAGE(J90,L90,N90,P90) &lt; AVERAGE(R90,T90,V90,X90), "Larger", "Equal"))</f>
        <v>Larger</v>
      </c>
      <c r="H90" s="22" t="str">
        <f>IF(OR(E90="Y", F90="Y"), "Expressed", "N")</f>
        <v>Expressed</v>
      </c>
      <c r="I90" s="20">
        <v>177</v>
      </c>
      <c r="J90" s="20">
        <v>4.1529910478130603</v>
      </c>
      <c r="K90" s="20">
        <v>370</v>
      </c>
      <c r="L90" s="20">
        <v>4.8654530330695698</v>
      </c>
      <c r="M90" s="20">
        <v>434</v>
      </c>
      <c r="N90" s="20">
        <v>5.1978633618982162</v>
      </c>
      <c r="O90" s="20">
        <v>97</v>
      </c>
      <c r="P90" s="20">
        <v>3.2572133099894049</v>
      </c>
      <c r="Q90" s="20">
        <v>110</v>
      </c>
      <c r="R90" s="20">
        <v>3.4743635869969611</v>
      </c>
      <c r="S90" s="20">
        <v>128</v>
      </c>
      <c r="T90" s="20">
        <v>2.649260446997642</v>
      </c>
      <c r="U90" s="20">
        <v>84</v>
      </c>
      <c r="V90" s="20">
        <v>4.1396762191986047</v>
      </c>
      <c r="W90" s="20">
        <v>2049</v>
      </c>
      <c r="X90" s="20">
        <v>29.222005673763789</v>
      </c>
      <c r="Y90" s="20">
        <v>337.79586816909949</v>
      </c>
      <c r="Z90" s="20">
        <v>1.3690440768760459</v>
      </c>
      <c r="AA90" s="20">
        <v>0.85087260708970924</v>
      </c>
      <c r="AB90" s="20">
        <v>1.608988308553815</v>
      </c>
      <c r="AE90" s="20" t="s">
        <v>4257</v>
      </c>
      <c r="AF90" s="20" t="s">
        <v>4258</v>
      </c>
      <c r="AG90" s="20" t="s">
        <v>4259</v>
      </c>
      <c r="AH90" s="20" t="s">
        <v>4260</v>
      </c>
      <c r="AI90" s="20" t="s">
        <v>43</v>
      </c>
      <c r="AJ90" s="20" t="s">
        <v>43</v>
      </c>
      <c r="AK90" s="20" t="s">
        <v>43</v>
      </c>
      <c r="AL90" s="20" t="s">
        <v>43</v>
      </c>
      <c r="AM90" s="20" t="s">
        <v>43</v>
      </c>
      <c r="AN90" s="20" t="s">
        <v>4261</v>
      </c>
      <c r="AO90" s="20" t="s">
        <v>43</v>
      </c>
    </row>
    <row r="91" spans="1:41" s="20" customFormat="1" x14ac:dyDescent="0.3">
      <c r="A91" s="20" t="s">
        <v>3881</v>
      </c>
      <c r="B91" s="20">
        <v>1568</v>
      </c>
      <c r="C91" s="20" t="str">
        <f>IF(Z91&lt;0, "Down", "Up")</f>
        <v>Up</v>
      </c>
      <c r="D91" s="21" t="str">
        <f>IF(AD91&lt;0.05, "Sig", "N")</f>
        <v>Sig</v>
      </c>
      <c r="E91" s="22" t="str">
        <f>IF(AND(J91&gt;2,L91&gt;2,N91&gt;2,P91&gt;2),"Y","N")</f>
        <v>Y</v>
      </c>
      <c r="F91" s="22" t="str">
        <f>IF(AND(R91&gt;2,T91&gt;2,V91&gt;2,X91&gt;2),"Y","N")</f>
        <v>Y</v>
      </c>
      <c r="G91" s="21" t="str">
        <f>IF(AVERAGE(J91,L91,N91,P91) &gt; AVERAGE(R91,T91,V91,X91), "Smaller", IF(AVERAGE(J91,L91,N91,P91) &lt; AVERAGE(R91,T91,V91,X91), "Larger", "Equal"))</f>
        <v>Larger</v>
      </c>
      <c r="H91" s="22" t="str">
        <f>IF(OR(E91="Y", F91="Y"), "Expressed", "N")</f>
        <v>Expressed</v>
      </c>
      <c r="I91" s="20">
        <v>3651</v>
      </c>
      <c r="J91" s="20">
        <v>42.941385146555653</v>
      </c>
      <c r="K91" s="20">
        <v>9241</v>
      </c>
      <c r="L91" s="20">
        <v>60.913985904192593</v>
      </c>
      <c r="M91" s="20">
        <v>10317</v>
      </c>
      <c r="N91" s="20">
        <v>61.939122389461552</v>
      </c>
      <c r="O91" s="20">
        <v>3204</v>
      </c>
      <c r="P91" s="20">
        <v>53.931619476724947</v>
      </c>
      <c r="Q91" s="20">
        <v>5944</v>
      </c>
      <c r="R91" s="20">
        <v>94.110453899770476</v>
      </c>
      <c r="S91" s="20">
        <v>7916</v>
      </c>
      <c r="T91" s="20">
        <v>82.129080232424869</v>
      </c>
      <c r="U91" s="20">
        <v>2957</v>
      </c>
      <c r="V91" s="20">
        <v>73.049105229696877</v>
      </c>
      <c r="W91" s="20">
        <v>14062</v>
      </c>
      <c r="X91" s="20">
        <v>100.5290650785944</v>
      </c>
      <c r="Y91" s="20">
        <v>6487.2240251542889</v>
      </c>
      <c r="Z91" s="20">
        <v>0.81237230831932494</v>
      </c>
      <c r="AA91" s="20">
        <v>0.15727423838547289</v>
      </c>
      <c r="AB91" s="20">
        <v>5.1653234290553867</v>
      </c>
      <c r="AC91" s="20">
        <v>2.4002351891314101E-7</v>
      </c>
      <c r="AD91" s="20">
        <v>3.0900627824877782E-4</v>
      </c>
      <c r="AE91" s="20" t="s">
        <v>3882</v>
      </c>
      <c r="AF91" s="20" t="s">
        <v>3883</v>
      </c>
      <c r="AG91" s="20" t="s">
        <v>3884</v>
      </c>
      <c r="AH91" s="20" t="s">
        <v>3885</v>
      </c>
      <c r="AI91" s="20" t="s">
        <v>43</v>
      </c>
      <c r="AJ91" s="20" t="s">
        <v>43</v>
      </c>
      <c r="AK91" s="20" t="s">
        <v>43</v>
      </c>
      <c r="AL91" s="20" t="s">
        <v>43</v>
      </c>
      <c r="AM91" s="20" t="s">
        <v>43</v>
      </c>
      <c r="AN91" s="20" t="s">
        <v>3886</v>
      </c>
      <c r="AO91" s="20" t="s">
        <v>43</v>
      </c>
    </row>
    <row r="92" spans="1:41" s="20" customFormat="1" x14ac:dyDescent="0.3">
      <c r="A92" s="20" t="s">
        <v>178</v>
      </c>
      <c r="B92" s="20">
        <v>1550</v>
      </c>
      <c r="C92" s="20" t="str">
        <f>IF(Z92&lt;0, "Down", "Up")</f>
        <v>Up</v>
      </c>
      <c r="D92" s="21" t="str">
        <f>IF(AD92&lt;0.05, "Sig", "N")</f>
        <v>Sig</v>
      </c>
      <c r="E92" s="22" t="str">
        <f>IF(AND(J92&gt;2,L92&gt;2,N92&gt;2,P92&gt;2),"Y","N")</f>
        <v>Y</v>
      </c>
      <c r="F92" s="22" t="str">
        <f>IF(AND(R92&gt;2,T92&gt;2,V92&gt;2,X92&gt;2),"Y","N")</f>
        <v>Y</v>
      </c>
      <c r="G92" s="21" t="str">
        <f>IF(AVERAGE(J92,L92,N92,P92) &gt; AVERAGE(R92,T92,V92,X92), "Smaller", IF(AVERAGE(J92,L92,N92,P92) &lt; AVERAGE(R92,T92,V92,X92), "Larger", "Equal"))</f>
        <v>Larger</v>
      </c>
      <c r="H92" s="22" t="str">
        <f>IF(OR(E92="Y", F92="Y"), "Expressed", "N")</f>
        <v>Expressed</v>
      </c>
      <c r="I92" s="20">
        <v>31916</v>
      </c>
      <c r="J92" s="20">
        <v>379.74060052361318</v>
      </c>
      <c r="K92" s="20">
        <v>54604</v>
      </c>
      <c r="L92" s="20">
        <v>364.11357135193788</v>
      </c>
      <c r="M92" s="20">
        <v>73161</v>
      </c>
      <c r="N92" s="20">
        <v>444.32997293888889</v>
      </c>
      <c r="O92" s="20">
        <v>13686</v>
      </c>
      <c r="P92" s="20">
        <v>233.0461056825061</v>
      </c>
      <c r="Q92" s="20">
        <v>31047</v>
      </c>
      <c r="R92" s="20">
        <v>497.27092727506619</v>
      </c>
      <c r="S92" s="20">
        <v>63932</v>
      </c>
      <c r="T92" s="20">
        <v>671.00201539011221</v>
      </c>
      <c r="U92" s="20">
        <v>22727</v>
      </c>
      <c r="V92" s="20">
        <v>567.96300496858044</v>
      </c>
      <c r="W92" s="20">
        <v>80121</v>
      </c>
      <c r="X92" s="20">
        <v>579.43572941572631</v>
      </c>
      <c r="Y92" s="20">
        <v>42218.152838502727</v>
      </c>
      <c r="Z92" s="20">
        <v>0.83199671589401492</v>
      </c>
      <c r="AA92" s="20">
        <v>0.209976069395683</v>
      </c>
      <c r="AB92" s="20">
        <v>3.9623406528587979</v>
      </c>
      <c r="AC92" s="20">
        <v>7.4218541262120559E-5</v>
      </c>
      <c r="AD92" s="20">
        <v>1.769425000386185E-2</v>
      </c>
      <c r="AE92" s="20" t="s">
        <v>179</v>
      </c>
      <c r="AF92" s="20" t="s">
        <v>180</v>
      </c>
      <c r="AG92" s="20" t="s">
        <v>181</v>
      </c>
      <c r="AH92" s="20" t="s">
        <v>43</v>
      </c>
      <c r="AI92" s="20" t="s">
        <v>43</v>
      </c>
      <c r="AJ92" s="20" t="s">
        <v>43</v>
      </c>
      <c r="AK92" s="20" t="s">
        <v>43</v>
      </c>
      <c r="AL92" s="20" t="s">
        <v>43</v>
      </c>
      <c r="AM92" s="20" t="s">
        <v>43</v>
      </c>
      <c r="AN92" s="20" t="s">
        <v>43</v>
      </c>
      <c r="AO92" s="20" t="s">
        <v>43</v>
      </c>
    </row>
    <row r="93" spans="1:41" s="20" customFormat="1" x14ac:dyDescent="0.3">
      <c r="A93" s="20" t="s">
        <v>1543</v>
      </c>
      <c r="B93" s="20">
        <v>1242</v>
      </c>
      <c r="C93" s="20" t="str">
        <f>IF(Z93&lt;0, "Down", "Up")</f>
        <v>Up</v>
      </c>
      <c r="D93" s="21" t="str">
        <f>IF(AD93&lt;0.05, "Sig", "N")</f>
        <v>Sig</v>
      </c>
      <c r="E93" s="22" t="str">
        <f>IF(AND(J93&gt;2,L93&gt;2,N93&gt;2,P93&gt;2),"Y","N")</f>
        <v>Y</v>
      </c>
      <c r="F93" s="22" t="str">
        <f>IF(AND(R93&gt;2,T93&gt;2,V93&gt;2,X93&gt;2),"Y","N")</f>
        <v>Y</v>
      </c>
      <c r="G93" s="21" t="str">
        <f>IF(AVERAGE(J93,L93,N93,P93) &gt; AVERAGE(R93,T93,V93,X93), "Smaller", IF(AVERAGE(J93,L93,N93,P93) &lt; AVERAGE(R93,T93,V93,X93), "Larger", "Equal"))</f>
        <v>Larger</v>
      </c>
      <c r="H93" s="22" t="str">
        <f>IF(OR(E93="Y", F93="Y"), "Expressed", "N")</f>
        <v>Expressed</v>
      </c>
      <c r="I93" s="20">
        <v>5178</v>
      </c>
      <c r="J93" s="20">
        <v>76.886612122887072</v>
      </c>
      <c r="K93" s="20">
        <v>8591</v>
      </c>
      <c r="L93" s="20">
        <v>71.493445853638704</v>
      </c>
      <c r="M93" s="20">
        <v>9667</v>
      </c>
      <c r="N93" s="20">
        <v>73.270271050675404</v>
      </c>
      <c r="O93" s="20">
        <v>3420</v>
      </c>
      <c r="P93" s="20">
        <v>72.677758212134734</v>
      </c>
      <c r="Q93" s="20">
        <v>5199</v>
      </c>
      <c r="R93" s="20">
        <v>103.9210071951003</v>
      </c>
      <c r="S93" s="20">
        <v>6002</v>
      </c>
      <c r="T93" s="20">
        <v>78.616123851798761</v>
      </c>
      <c r="U93" s="20">
        <v>3940</v>
      </c>
      <c r="V93" s="20">
        <v>122.88086518157171</v>
      </c>
      <c r="W93" s="20">
        <v>9365</v>
      </c>
      <c r="X93" s="20">
        <v>84.523368040162211</v>
      </c>
      <c r="Y93" s="20">
        <v>6130.0019215046968</v>
      </c>
      <c r="Z93" s="20">
        <v>0.5202340012299882</v>
      </c>
      <c r="AA93" s="20">
        <v>0.14389493796700181</v>
      </c>
      <c r="AB93" s="20">
        <v>3.6153738872265899</v>
      </c>
      <c r="AC93" s="20">
        <v>2.999144518349974E-4</v>
      </c>
      <c r="AD93" s="20">
        <v>4.4906167000238473E-2</v>
      </c>
      <c r="AE93" s="20" t="s">
        <v>1544</v>
      </c>
      <c r="AF93" s="20" t="s">
        <v>1545</v>
      </c>
      <c r="AG93" s="20" t="s">
        <v>1546</v>
      </c>
      <c r="AH93" s="20" t="s">
        <v>43</v>
      </c>
      <c r="AI93" s="20" t="s">
        <v>43</v>
      </c>
      <c r="AJ93" s="20" t="s">
        <v>43</v>
      </c>
      <c r="AK93" s="20" t="s">
        <v>43</v>
      </c>
      <c r="AL93" s="20" t="s">
        <v>43</v>
      </c>
      <c r="AM93" s="20" t="s">
        <v>43</v>
      </c>
      <c r="AN93" s="20" t="s">
        <v>43</v>
      </c>
      <c r="AO93" s="20" t="s">
        <v>43</v>
      </c>
    </row>
    <row r="94" spans="1:41" s="20" customFormat="1" x14ac:dyDescent="0.3">
      <c r="A94" s="20" t="s">
        <v>4262</v>
      </c>
      <c r="B94" s="20">
        <v>1684</v>
      </c>
      <c r="C94" s="20" t="str">
        <f>IF(Z94&lt;0, "Down", "Up")</f>
        <v>Up</v>
      </c>
      <c r="D94" s="21" t="str">
        <f>IF(AD94&lt;0.05, "Sig", "N")</f>
        <v>Sig</v>
      </c>
      <c r="E94" s="22" t="str">
        <f>IF(AND(J94&gt;2,L94&gt;2,N94&gt;2,P94&gt;2),"Y","N")</f>
        <v>Y</v>
      </c>
      <c r="F94" s="22" t="str">
        <f>IF(AND(R94&gt;2,T94&gt;2,V94&gt;2,X94&gt;2),"Y","N")</f>
        <v>Y</v>
      </c>
      <c r="G94" s="21" t="str">
        <f>IF(AVERAGE(J94,L94,N94,P94) &gt; AVERAGE(R94,T94,V94,X94), "Smaller", IF(AVERAGE(J94,L94,N94,P94) &lt; AVERAGE(R94,T94,V94,X94), "Larger", "Equal"))</f>
        <v>Larger</v>
      </c>
      <c r="H94" s="22" t="str">
        <f>IF(OR(E94="Y", F94="Y"), "Expressed", "N")</f>
        <v>Expressed</v>
      </c>
      <c r="I94" s="20">
        <v>2017</v>
      </c>
      <c r="J94" s="20">
        <v>22.08889982669394</v>
      </c>
      <c r="K94" s="20">
        <v>2695</v>
      </c>
      <c r="L94" s="20">
        <v>16.540962952366112</v>
      </c>
      <c r="M94" s="20">
        <v>2962</v>
      </c>
      <c r="N94" s="20">
        <v>16.55772412686332</v>
      </c>
      <c r="O94" s="20">
        <v>1332</v>
      </c>
      <c r="P94" s="20">
        <v>20.87657020177797</v>
      </c>
      <c r="Q94" s="20">
        <v>2344</v>
      </c>
      <c r="R94" s="20">
        <v>34.555775657880638</v>
      </c>
      <c r="S94" s="20">
        <v>2381</v>
      </c>
      <c r="T94" s="20">
        <v>23.001414283796439</v>
      </c>
      <c r="U94" s="20">
        <v>1389</v>
      </c>
      <c r="V94" s="20">
        <v>31.949921325464832</v>
      </c>
      <c r="W94" s="20">
        <v>3816</v>
      </c>
      <c r="X94" s="20">
        <v>25.40135518564497</v>
      </c>
      <c r="Y94" s="20">
        <v>2329.051734650453</v>
      </c>
      <c r="Z94" s="20">
        <v>0.70628304326787339</v>
      </c>
      <c r="AA94" s="20">
        <v>0.17612612904525851</v>
      </c>
      <c r="AB94" s="20">
        <v>4.0100980308627721</v>
      </c>
      <c r="AC94" s="20">
        <v>6.0693543928279862E-5</v>
      </c>
      <c r="AD94" s="20">
        <v>1.6278514261097391E-2</v>
      </c>
      <c r="AE94" s="20" t="s">
        <v>4263</v>
      </c>
      <c r="AF94" s="20" t="s">
        <v>4264</v>
      </c>
      <c r="AG94" s="20" t="s">
        <v>4265</v>
      </c>
      <c r="AH94" s="20" t="s">
        <v>4209</v>
      </c>
      <c r="AI94" s="20" t="s">
        <v>43</v>
      </c>
      <c r="AJ94" s="20" t="s">
        <v>43</v>
      </c>
      <c r="AK94" s="20" t="s">
        <v>43</v>
      </c>
      <c r="AL94" s="20" t="s">
        <v>43</v>
      </c>
      <c r="AM94" s="20" t="s">
        <v>43</v>
      </c>
      <c r="AN94" s="20" t="s">
        <v>4210</v>
      </c>
      <c r="AO94" s="20" t="s">
        <v>43</v>
      </c>
    </row>
    <row r="95" spans="1:41" s="9" customFormat="1" x14ac:dyDescent="0.3">
      <c r="A95" s="20" t="s">
        <v>4266</v>
      </c>
      <c r="B95" s="20">
        <v>993</v>
      </c>
      <c r="C95" s="20" t="str">
        <f>IF(Z95&lt;0, "Down", "Up")</f>
        <v>Up</v>
      </c>
      <c r="D95" s="21" t="str">
        <f>IF(AD95&lt;0.05, "Sig", "N")</f>
        <v>Sig</v>
      </c>
      <c r="E95" s="22" t="str">
        <f>IF(AND(J95&gt;2,L95&gt;2,N95&gt;2,P95&gt;2),"Y","N")</f>
        <v>Y</v>
      </c>
      <c r="F95" s="22" t="str">
        <f>IF(AND(R95&gt;2,T95&gt;2,V95&gt;2,X95&gt;2),"Y","N")</f>
        <v>Y</v>
      </c>
      <c r="G95" s="21" t="str">
        <f>IF(AVERAGE(J95,L95,N95,P95) &gt; AVERAGE(R95,T95,V95,X95), "Smaller", IF(AVERAGE(J95,L95,N95,P95) &lt; AVERAGE(R95,T95,V95,X95), "Larger", "Equal"))</f>
        <v>Larger</v>
      </c>
      <c r="H95" s="22" t="str">
        <f>IF(OR(E95="Y", F95="Y"), "Expressed", "N")</f>
        <v>Expressed</v>
      </c>
      <c r="I95" s="20">
        <v>809</v>
      </c>
      <c r="J95" s="20">
        <v>15.024829339484199</v>
      </c>
      <c r="K95" s="20">
        <v>1288</v>
      </c>
      <c r="L95" s="20">
        <v>13.40635517863578</v>
      </c>
      <c r="M95" s="20">
        <v>1790</v>
      </c>
      <c r="N95" s="20">
        <v>16.969203499123068</v>
      </c>
      <c r="O95" s="20">
        <v>497</v>
      </c>
      <c r="P95" s="20">
        <v>13.21004061254432</v>
      </c>
      <c r="Q95" s="20">
        <v>1008</v>
      </c>
      <c r="R95" s="20">
        <v>25.200920787463591</v>
      </c>
      <c r="S95" s="20">
        <v>1340</v>
      </c>
      <c r="T95" s="20">
        <v>21.952944621694019</v>
      </c>
      <c r="U95" s="20">
        <v>521</v>
      </c>
      <c r="V95" s="20">
        <v>20.323481631169901</v>
      </c>
      <c r="W95" s="20">
        <v>1818</v>
      </c>
      <c r="X95" s="20">
        <v>20.522735067145671</v>
      </c>
      <c r="Y95" s="20">
        <v>1055.6530794710591</v>
      </c>
      <c r="Z95" s="20">
        <v>0.70953571442395258</v>
      </c>
      <c r="AA95" s="20">
        <v>0.14018536363762371</v>
      </c>
      <c r="AB95" s="20">
        <v>5.0614108064668413</v>
      </c>
      <c r="AC95" s="20">
        <v>4.1616542086131589E-7</v>
      </c>
      <c r="AD95" s="20">
        <v>4.7836728822933758E-4</v>
      </c>
      <c r="AE95" s="20" t="s">
        <v>4267</v>
      </c>
      <c r="AF95" s="20" t="s">
        <v>4268</v>
      </c>
      <c r="AG95" s="20" t="s">
        <v>43</v>
      </c>
      <c r="AH95" s="20" t="s">
        <v>43</v>
      </c>
      <c r="AI95" s="20" t="s">
        <v>43</v>
      </c>
      <c r="AJ95" s="20" t="s">
        <v>43</v>
      </c>
      <c r="AK95" s="20" t="s">
        <v>43</v>
      </c>
      <c r="AL95" s="20" t="s">
        <v>43</v>
      </c>
      <c r="AM95" s="20" t="s">
        <v>43</v>
      </c>
      <c r="AN95" s="20" t="s">
        <v>43</v>
      </c>
      <c r="AO95" s="20" t="s">
        <v>43</v>
      </c>
    </row>
    <row r="96" spans="1:41" s="9" customFormat="1" x14ac:dyDescent="0.3">
      <c r="A96" s="20" t="s">
        <v>4269</v>
      </c>
      <c r="B96" s="20">
        <v>7177</v>
      </c>
      <c r="C96" s="20" t="str">
        <f>IF(Z96&lt;0, "Down", "Up")</f>
        <v>Up</v>
      </c>
      <c r="D96" s="21" t="str">
        <f>IF(AD96&lt;0.05, "Sig", "N")</f>
        <v>Sig</v>
      </c>
      <c r="E96" s="22" t="str">
        <f>IF(AND(J96&gt;2,L96&gt;2,N96&gt;2,P96&gt;2),"Y","N")</f>
        <v>Y</v>
      </c>
      <c r="F96" s="22" t="str">
        <f>IF(AND(R96&gt;2,T96&gt;2,V96&gt;2,X96&gt;2),"Y","N")</f>
        <v>Y</v>
      </c>
      <c r="G96" s="21" t="str">
        <f>IF(AVERAGE(J96,L96,N96,P96) &gt; AVERAGE(R96,T96,V96,X96), "Smaller", IF(AVERAGE(J96,L96,N96,P96) &lt; AVERAGE(R96,T96,V96,X96), "Larger", "Equal"))</f>
        <v>Larger</v>
      </c>
      <c r="H96" s="22" t="str">
        <f>IF(OR(E96="Y", F96="Y"), "Expressed", "N")</f>
        <v>Expressed</v>
      </c>
      <c r="I96" s="20">
        <v>7071</v>
      </c>
      <c r="J96" s="20">
        <v>18.16971710752231</v>
      </c>
      <c r="K96" s="20">
        <v>13851</v>
      </c>
      <c r="L96" s="20">
        <v>19.947215959910459</v>
      </c>
      <c r="M96" s="20">
        <v>14769</v>
      </c>
      <c r="N96" s="20">
        <v>19.371614578319999</v>
      </c>
      <c r="O96" s="20">
        <v>5155</v>
      </c>
      <c r="P96" s="20">
        <v>18.957572954001652</v>
      </c>
      <c r="Q96" s="20">
        <v>6197</v>
      </c>
      <c r="R96" s="20">
        <v>21.43599640621613</v>
      </c>
      <c r="S96" s="20">
        <v>11263</v>
      </c>
      <c r="T96" s="20">
        <v>25.52985627462736</v>
      </c>
      <c r="U96" s="20">
        <v>4511</v>
      </c>
      <c r="V96" s="20">
        <v>24.346666978337971</v>
      </c>
      <c r="W96" s="20">
        <v>13037</v>
      </c>
      <c r="X96" s="20">
        <v>20.362229484058481</v>
      </c>
      <c r="Y96" s="20">
        <v>8703.5475569176833</v>
      </c>
      <c r="Z96" s="20">
        <v>0.3894685622746652</v>
      </c>
      <c r="AA96" s="20">
        <v>0.1061429327984779</v>
      </c>
      <c r="AB96" s="20">
        <v>3.6692839740362828</v>
      </c>
      <c r="AC96" s="20">
        <v>2.4323077577331309E-4</v>
      </c>
      <c r="AD96" s="20">
        <v>3.9537285445778177E-2</v>
      </c>
      <c r="AE96" s="20" t="s">
        <v>4270</v>
      </c>
      <c r="AF96" s="20" t="s">
        <v>4271</v>
      </c>
      <c r="AG96" s="20" t="s">
        <v>4272</v>
      </c>
      <c r="AH96" s="20" t="s">
        <v>4273</v>
      </c>
      <c r="AI96" s="20" t="s">
        <v>43</v>
      </c>
      <c r="AJ96" s="20" t="s">
        <v>43</v>
      </c>
      <c r="AK96" s="20" t="s">
        <v>43</v>
      </c>
      <c r="AL96" s="20" t="s">
        <v>43</v>
      </c>
      <c r="AM96" s="20" t="s">
        <v>43</v>
      </c>
      <c r="AN96" s="20" t="s">
        <v>4274</v>
      </c>
      <c r="AO96" s="20" t="s">
        <v>43</v>
      </c>
    </row>
    <row r="97" spans="1:41" s="9" customFormat="1" x14ac:dyDescent="0.3">
      <c r="A97" s="20" t="s">
        <v>4275</v>
      </c>
      <c r="B97" s="20">
        <v>2363</v>
      </c>
      <c r="C97" s="20" t="str">
        <f>IF(Z97&lt;0, "Down", "Up")</f>
        <v>Up</v>
      </c>
      <c r="D97" s="21" t="str">
        <f>IF(AD97&lt;0.05, "Sig", "N")</f>
        <v>Sig</v>
      </c>
      <c r="E97" s="22" t="str">
        <f>IF(AND(J97&gt;2,L97&gt;2,N97&gt;2,P97&gt;2),"Y","N")</f>
        <v>Y</v>
      </c>
      <c r="F97" s="22" t="str">
        <f>IF(AND(R97&gt;2,T97&gt;2,V97&gt;2,X97&gt;2),"Y","N")</f>
        <v>Y</v>
      </c>
      <c r="G97" s="21" t="str">
        <f>IF(AVERAGE(J97,L97,N97,P97) &gt; AVERAGE(R97,T97,V97,X97), "Smaller", IF(AVERAGE(J97,L97,N97,P97) &lt; AVERAGE(R97,T97,V97,X97), "Larger", "Equal"))</f>
        <v>Larger</v>
      </c>
      <c r="H97" s="22" t="str">
        <f>IF(OR(E97="Y", F97="Y"), "Expressed", "N")</f>
        <v>Expressed</v>
      </c>
      <c r="I97" s="20">
        <v>486</v>
      </c>
      <c r="J97" s="20">
        <v>3.7929998214000631</v>
      </c>
      <c r="K97" s="20">
        <v>622</v>
      </c>
      <c r="L97" s="20">
        <v>2.7206380622930628</v>
      </c>
      <c r="M97" s="20">
        <v>806</v>
      </c>
      <c r="N97" s="20">
        <v>3.2109163794133351</v>
      </c>
      <c r="O97" s="20">
        <v>216</v>
      </c>
      <c r="P97" s="20">
        <v>2.4126095471716509</v>
      </c>
      <c r="Q97" s="20">
        <v>560</v>
      </c>
      <c r="R97" s="20">
        <v>5.883414290203449</v>
      </c>
      <c r="S97" s="20">
        <v>834</v>
      </c>
      <c r="T97" s="20">
        <v>5.7416876231805514</v>
      </c>
      <c r="U97" s="20">
        <v>265</v>
      </c>
      <c r="V97" s="20">
        <v>4.3440197070757378</v>
      </c>
      <c r="W97" s="20">
        <v>1130</v>
      </c>
      <c r="X97" s="20">
        <v>5.3605003688356234</v>
      </c>
      <c r="Y97" s="20">
        <v>577.85957409133334</v>
      </c>
      <c r="Z97" s="20">
        <v>0.93447239092913881</v>
      </c>
      <c r="AA97" s="20">
        <v>0.20538100194783851</v>
      </c>
      <c r="AB97" s="20">
        <v>4.5499456233370141</v>
      </c>
      <c r="AC97" s="20">
        <v>5.3659780455816768E-6</v>
      </c>
      <c r="AD97" s="20">
        <v>3.1778754882108269E-3</v>
      </c>
      <c r="AE97" s="20" t="s">
        <v>4276</v>
      </c>
      <c r="AF97" s="20" t="s">
        <v>4277</v>
      </c>
      <c r="AG97" s="20" t="s">
        <v>4278</v>
      </c>
      <c r="AH97" s="20" t="s">
        <v>4279</v>
      </c>
      <c r="AI97" s="20" t="s">
        <v>43</v>
      </c>
      <c r="AJ97" s="20" t="s">
        <v>43</v>
      </c>
      <c r="AK97" s="20" t="s">
        <v>43</v>
      </c>
      <c r="AL97" s="20" t="s">
        <v>43</v>
      </c>
      <c r="AM97" s="20" t="s">
        <v>43</v>
      </c>
      <c r="AN97" s="20" t="s">
        <v>4280</v>
      </c>
      <c r="AO97" s="20" t="s">
        <v>43</v>
      </c>
    </row>
    <row r="98" spans="1:41" s="9" customFormat="1" x14ac:dyDescent="0.3">
      <c r="A98" s="20" t="s">
        <v>4281</v>
      </c>
      <c r="B98" s="20">
        <v>1005</v>
      </c>
      <c r="C98" s="20" t="str">
        <f>IF(Z98&lt;0, "Down", "Up")</f>
        <v>Up</v>
      </c>
      <c r="D98" s="21" t="str">
        <f>IF(AD98&lt;0.05, "Sig", "N")</f>
        <v>Sig</v>
      </c>
      <c r="E98" s="22" t="str">
        <f>IF(AND(J98&gt;2,L98&gt;2,N98&gt;2,P98&gt;2),"Y","N")</f>
        <v>Y</v>
      </c>
      <c r="F98" s="22" t="str">
        <f>IF(AND(R98&gt;2,T98&gt;2,V98&gt;2,X98&gt;2),"Y","N")</f>
        <v>Y</v>
      </c>
      <c r="G98" s="21" t="str">
        <f>IF(AVERAGE(J98,L98,N98,P98) &gt; AVERAGE(R98,T98,V98,X98), "Smaller", IF(AVERAGE(J98,L98,N98,P98) &lt; AVERAGE(R98,T98,V98,X98), "Larger", "Equal"))</f>
        <v>Larger</v>
      </c>
      <c r="H98" s="22" t="str">
        <f>IF(OR(E98="Y", F98="Y"), "Expressed", "N")</f>
        <v>Expressed</v>
      </c>
      <c r="I98" s="20">
        <v>576</v>
      </c>
      <c r="J98" s="20">
        <v>10.569798212455771</v>
      </c>
      <c r="K98" s="20">
        <v>945</v>
      </c>
      <c r="L98" s="20">
        <v>9.718737526887411</v>
      </c>
      <c r="M98" s="20">
        <v>1419</v>
      </c>
      <c r="N98" s="20">
        <v>13.291500412406601</v>
      </c>
      <c r="O98" s="20">
        <v>432</v>
      </c>
      <c r="P98" s="20">
        <v>11.345266387993259</v>
      </c>
      <c r="Q98" s="20">
        <v>700</v>
      </c>
      <c r="R98" s="20">
        <v>17.29167657680442</v>
      </c>
      <c r="S98" s="20">
        <v>1076</v>
      </c>
      <c r="T98" s="20">
        <v>17.41740464398319</v>
      </c>
      <c r="U98" s="20">
        <v>387</v>
      </c>
      <c r="V98" s="20">
        <v>14.91607429173501</v>
      </c>
      <c r="W98" s="20">
        <v>1233</v>
      </c>
      <c r="X98" s="20">
        <v>13.752689036350739</v>
      </c>
      <c r="Y98" s="20">
        <v>787.36803820472142</v>
      </c>
      <c r="Z98" s="20">
        <v>0.62406566250734263</v>
      </c>
      <c r="AA98" s="20">
        <v>0.144729390916712</v>
      </c>
      <c r="AB98" s="20">
        <v>4.3119483786570774</v>
      </c>
      <c r="AC98" s="20">
        <v>1.6182221942107449E-5</v>
      </c>
      <c r="AD98" s="20">
        <v>6.852958068509581E-3</v>
      </c>
      <c r="AE98" s="20" t="s">
        <v>4282</v>
      </c>
      <c r="AF98" s="20" t="s">
        <v>4283</v>
      </c>
      <c r="AG98" s="20" t="s">
        <v>55</v>
      </c>
      <c r="AH98" s="20" t="s">
        <v>4284</v>
      </c>
      <c r="AI98" s="20" t="s">
        <v>43</v>
      </c>
      <c r="AJ98" s="20" t="s">
        <v>43</v>
      </c>
      <c r="AK98" s="20" t="s">
        <v>43</v>
      </c>
      <c r="AL98" s="20" t="s">
        <v>43</v>
      </c>
      <c r="AM98" s="20" t="s">
        <v>43</v>
      </c>
      <c r="AN98" s="20" t="s">
        <v>4285</v>
      </c>
      <c r="AO98" s="20" t="s">
        <v>43</v>
      </c>
    </row>
    <row r="99" spans="1:41" s="9" customFormat="1" x14ac:dyDescent="0.3">
      <c r="A99" s="20" t="s">
        <v>3909</v>
      </c>
      <c r="B99" s="20">
        <v>1402</v>
      </c>
      <c r="C99" s="20" t="str">
        <f>IF(Z99&lt;0, "Down", "Up")</f>
        <v>Up</v>
      </c>
      <c r="D99" s="21" t="str">
        <f>IF(AD99&lt;0.05, "Sig", "N")</f>
        <v>Sig</v>
      </c>
      <c r="E99" s="22" t="str">
        <f>IF(AND(J99&gt;2,L99&gt;2,N99&gt;2,P99&gt;2),"Y","N")</f>
        <v>Y</v>
      </c>
      <c r="F99" s="22" t="str">
        <f>IF(AND(R99&gt;2,T99&gt;2,V99&gt;2,X99&gt;2),"Y","N")</f>
        <v>Y</v>
      </c>
      <c r="G99" s="21" t="str">
        <f>IF(AVERAGE(J99,L99,N99,P99) &gt; AVERAGE(R99,T99,V99,X99), "Smaller", IF(AVERAGE(J99,L99,N99,P99) &lt; AVERAGE(R99,T99,V99,X99), "Larger", "Equal"))</f>
        <v>Larger</v>
      </c>
      <c r="H99" s="22" t="str">
        <f>IF(OR(E99="Y", F99="Y"), "Expressed", "N")</f>
        <v>Expressed</v>
      </c>
      <c r="I99" s="20">
        <v>3896</v>
      </c>
      <c r="J99" s="20">
        <v>51.248505984637887</v>
      </c>
      <c r="K99" s="20">
        <v>5875</v>
      </c>
      <c r="L99" s="20">
        <v>43.311573704470447</v>
      </c>
      <c r="M99" s="20">
        <v>5873</v>
      </c>
      <c r="N99" s="20">
        <v>39.433893809042679</v>
      </c>
      <c r="O99" s="20">
        <v>2280</v>
      </c>
      <c r="P99" s="20">
        <v>42.922385021146617</v>
      </c>
      <c r="Q99" s="20">
        <v>4070</v>
      </c>
      <c r="R99" s="20">
        <v>72.069502023570351</v>
      </c>
      <c r="S99" s="20">
        <v>8734</v>
      </c>
      <c r="T99" s="20">
        <v>101.3450184159061</v>
      </c>
      <c r="U99" s="20">
        <v>1642</v>
      </c>
      <c r="V99" s="20">
        <v>45.366447631040259</v>
      </c>
      <c r="W99" s="20">
        <v>13755</v>
      </c>
      <c r="X99" s="20">
        <v>109.9773344784241</v>
      </c>
      <c r="Y99" s="20">
        <v>5223.0307779890572</v>
      </c>
      <c r="Z99" s="20">
        <v>1.034178389788992</v>
      </c>
      <c r="AA99" s="20">
        <v>0.27402525926213911</v>
      </c>
      <c r="AB99" s="20">
        <v>3.7740257689152359</v>
      </c>
      <c r="AC99" s="20">
        <v>1.606341575174802E-4</v>
      </c>
      <c r="AD99" s="20">
        <v>2.9167987942767589E-2</v>
      </c>
      <c r="AE99" s="20" t="s">
        <v>3910</v>
      </c>
      <c r="AF99" s="20" t="s">
        <v>3911</v>
      </c>
      <c r="AG99" s="20" t="s">
        <v>3912</v>
      </c>
      <c r="AH99" s="20" t="s">
        <v>3913</v>
      </c>
      <c r="AI99" s="20" t="s">
        <v>43</v>
      </c>
      <c r="AJ99" s="20" t="s">
        <v>43</v>
      </c>
      <c r="AK99" s="20" t="s">
        <v>43</v>
      </c>
      <c r="AL99" s="20" t="s">
        <v>43</v>
      </c>
      <c r="AM99" s="20" t="s">
        <v>43</v>
      </c>
      <c r="AN99" s="20" t="s">
        <v>362</v>
      </c>
      <c r="AO99" s="20" t="s">
        <v>43</v>
      </c>
    </row>
    <row r="100" spans="1:41" s="9" customFormat="1" x14ac:dyDescent="0.3">
      <c r="A100" s="20" t="s">
        <v>4286</v>
      </c>
      <c r="B100" s="20">
        <v>1638</v>
      </c>
      <c r="C100" s="20" t="str">
        <f>IF(Z100&lt;0, "Down", "Up")</f>
        <v>Up</v>
      </c>
      <c r="D100" s="21" t="str">
        <f>IF(AD100&lt;0.05, "Sig", "N")</f>
        <v>Sig</v>
      </c>
      <c r="E100" s="22" t="str">
        <f>IF(AND(J100&gt;2,L100&gt;2,N100&gt;2,P100&gt;2),"Y","N")</f>
        <v>Y</v>
      </c>
      <c r="F100" s="22" t="str">
        <f>IF(AND(R100&gt;2,T100&gt;2,V100&gt;2,X100&gt;2),"Y","N")</f>
        <v>Y</v>
      </c>
      <c r="G100" s="21" t="str">
        <f>IF(AVERAGE(J100,L100,N100,P100) &gt; AVERAGE(R100,T100,V100,X100), "Smaller", IF(AVERAGE(J100,L100,N100,P100) &lt; AVERAGE(R100,T100,V100,X100), "Larger", "Equal"))</f>
        <v>Larger</v>
      </c>
      <c r="H100" s="22" t="str">
        <f>IF(OR(E100="Y", F100="Y"), "Expressed", "N")</f>
        <v>Expressed</v>
      </c>
      <c r="I100" s="20">
        <v>7450</v>
      </c>
      <c r="J100" s="20">
        <v>83.878885228226991</v>
      </c>
      <c r="K100" s="20">
        <v>13227</v>
      </c>
      <c r="L100" s="20">
        <v>83.462533334935813</v>
      </c>
      <c r="M100" s="20">
        <v>13057</v>
      </c>
      <c r="N100" s="20">
        <v>75.039024923920564</v>
      </c>
      <c r="O100" s="20">
        <v>5200</v>
      </c>
      <c r="P100" s="20">
        <v>83.788894179403457</v>
      </c>
      <c r="Q100" s="20">
        <v>8309</v>
      </c>
      <c r="R100" s="20">
        <v>125.93312696672881</v>
      </c>
      <c r="S100" s="20">
        <v>9243</v>
      </c>
      <c r="T100" s="20">
        <v>91.798648546803335</v>
      </c>
      <c r="U100" s="20">
        <v>4383</v>
      </c>
      <c r="V100" s="20">
        <v>103.649499119393</v>
      </c>
      <c r="W100" s="20">
        <v>17148</v>
      </c>
      <c r="X100" s="20">
        <v>117.3519162952265</v>
      </c>
      <c r="Y100" s="20">
        <v>9071.4907203793391</v>
      </c>
      <c r="Z100" s="20">
        <v>0.55290285653316196</v>
      </c>
      <c r="AA100" s="20">
        <v>0.13660897743336389</v>
      </c>
      <c r="AB100" s="20">
        <v>4.0473391055347063</v>
      </c>
      <c r="AC100" s="20">
        <v>5.1803166510332193E-5</v>
      </c>
      <c r="AD100" s="20">
        <v>1.50205848120274E-2</v>
      </c>
      <c r="AE100" s="20" t="s">
        <v>4287</v>
      </c>
      <c r="AF100" s="20" t="s">
        <v>4288</v>
      </c>
      <c r="AG100" s="20" t="s">
        <v>43</v>
      </c>
      <c r="AH100" s="20" t="s">
        <v>4289</v>
      </c>
      <c r="AI100" s="20" t="s">
        <v>43</v>
      </c>
      <c r="AJ100" s="20" t="s">
        <v>43</v>
      </c>
      <c r="AK100" s="20" t="s">
        <v>43</v>
      </c>
      <c r="AL100" s="20" t="s">
        <v>43</v>
      </c>
      <c r="AM100" s="20" t="s">
        <v>43</v>
      </c>
      <c r="AN100" s="20" t="s">
        <v>1171</v>
      </c>
      <c r="AO100" s="20" t="s">
        <v>43</v>
      </c>
    </row>
    <row r="101" spans="1:41" s="9" customFormat="1" x14ac:dyDescent="0.3">
      <c r="A101" s="20" t="s">
        <v>221</v>
      </c>
      <c r="B101" s="20">
        <v>1745</v>
      </c>
      <c r="C101" s="20" t="str">
        <f>IF(Z101&lt;0, "Down", "Up")</f>
        <v>Up</v>
      </c>
      <c r="D101" s="21" t="str">
        <f>IF(AD101&lt;0.05, "Sig", "N")</f>
        <v>Sig</v>
      </c>
      <c r="E101" s="22" t="str">
        <f>IF(AND(J101&gt;2,L101&gt;2,N101&gt;2,P101&gt;2),"Y","N")</f>
        <v>Y</v>
      </c>
      <c r="F101" s="22" t="str">
        <f>IF(AND(R101&gt;2,T101&gt;2,V101&gt;2,X101&gt;2),"Y","N")</f>
        <v>Y</v>
      </c>
      <c r="G101" s="21" t="str">
        <f>IF(AVERAGE(J101,L101,N101,P101) &gt; AVERAGE(R101,T101,V101,X101), "Smaller", IF(AVERAGE(J101,L101,N101,P101) &lt; AVERAGE(R101,T101,V101,X101), "Larger", "Equal"))</f>
        <v>Larger</v>
      </c>
      <c r="H101" s="22" t="str">
        <f>IF(OR(E101="Y", F101="Y"), "Expressed", "N")</f>
        <v>Expressed</v>
      </c>
      <c r="I101" s="20">
        <v>2502</v>
      </c>
      <c r="J101" s="20">
        <v>26.442477816780229</v>
      </c>
      <c r="K101" s="20">
        <v>3939</v>
      </c>
      <c r="L101" s="20">
        <v>23.331069968012351</v>
      </c>
      <c r="M101" s="20">
        <v>4434</v>
      </c>
      <c r="N101" s="20">
        <v>23.919821413745868</v>
      </c>
      <c r="O101" s="20">
        <v>1344</v>
      </c>
      <c r="P101" s="20">
        <v>20.328290108763461</v>
      </c>
      <c r="Q101" s="20">
        <v>6370</v>
      </c>
      <c r="R101" s="20">
        <v>90.625231021870931</v>
      </c>
      <c r="S101" s="20">
        <v>20116</v>
      </c>
      <c r="T101" s="20">
        <v>187.53547276736381</v>
      </c>
      <c r="U101" s="20">
        <v>973</v>
      </c>
      <c r="V101" s="20">
        <v>21.598671712145389</v>
      </c>
      <c r="W101" s="20">
        <v>33813</v>
      </c>
      <c r="X101" s="20">
        <v>217.20953285975611</v>
      </c>
      <c r="Y101" s="20">
        <v>8091.3353393576508</v>
      </c>
      <c r="Z101" s="20">
        <v>2.619006384605338</v>
      </c>
      <c r="AA101" s="20">
        <v>0.66693360497881093</v>
      </c>
      <c r="AB101" s="20">
        <v>3.9269372019251398</v>
      </c>
      <c r="AC101" s="20">
        <v>8.6034432433828678E-5</v>
      </c>
      <c r="AD101" s="20">
        <v>1.9638427006260829E-2</v>
      </c>
      <c r="AE101" s="20" t="s">
        <v>222</v>
      </c>
      <c r="AF101" s="20" t="s">
        <v>223</v>
      </c>
      <c r="AG101" s="20" t="s">
        <v>224</v>
      </c>
      <c r="AH101" s="20" t="s">
        <v>225</v>
      </c>
      <c r="AI101" s="20" t="s">
        <v>43</v>
      </c>
      <c r="AJ101" s="20" t="s">
        <v>43</v>
      </c>
      <c r="AK101" s="20" t="s">
        <v>43</v>
      </c>
      <c r="AL101" s="20" t="s">
        <v>43</v>
      </c>
      <c r="AM101" s="20" t="s">
        <v>43</v>
      </c>
      <c r="AN101" s="20" t="s">
        <v>226</v>
      </c>
      <c r="AO101" s="20" t="s">
        <v>43</v>
      </c>
    </row>
    <row r="102" spans="1:41" s="9" customFormat="1" x14ac:dyDescent="0.3">
      <c r="A102" s="20" t="s">
        <v>3511</v>
      </c>
      <c r="B102" s="20">
        <v>1323</v>
      </c>
      <c r="C102" s="20" t="str">
        <f>IF(Z102&lt;0, "Down", "Up")</f>
        <v>Up</v>
      </c>
      <c r="D102" s="21" t="str">
        <f>IF(AD102&lt;0.05, "Sig", "N")</f>
        <v>Sig</v>
      </c>
      <c r="E102" s="22" t="str">
        <f>IF(AND(J102&gt;2,L102&gt;2,N102&gt;2,P102&gt;2),"Y","N")</f>
        <v>N</v>
      </c>
      <c r="F102" s="22" t="str">
        <f>IF(AND(R102&gt;2,T102&gt;2,V102&gt;2,X102&gt;2),"Y","N")</f>
        <v>Y</v>
      </c>
      <c r="G102" s="21" t="str">
        <f>IF(AVERAGE(J102,L102,N102,P102) &gt; AVERAGE(R102,T102,V102,X102), "Smaller", IF(AVERAGE(J102,L102,N102,P102) &lt; AVERAGE(R102,T102,V102,X102), "Larger", "Equal"))</f>
        <v>Larger</v>
      </c>
      <c r="H102" s="22" t="str">
        <f>IF(OR(E102="Y", F102="Y"), "Expressed", "N")</f>
        <v>Expressed</v>
      </c>
      <c r="I102" s="20">
        <v>162</v>
      </c>
      <c r="J102" s="20">
        <v>2.2582158170744142</v>
      </c>
      <c r="K102" s="20">
        <v>178</v>
      </c>
      <c r="L102" s="20">
        <v>1.3906065309200979</v>
      </c>
      <c r="M102" s="20">
        <v>175</v>
      </c>
      <c r="N102" s="20">
        <v>1.245190732954184</v>
      </c>
      <c r="O102" s="20">
        <v>65</v>
      </c>
      <c r="P102" s="20">
        <v>1.2967328861098151</v>
      </c>
      <c r="Q102" s="20">
        <v>165</v>
      </c>
      <c r="R102" s="20">
        <v>3.0962015639224618</v>
      </c>
      <c r="S102" s="20">
        <v>233</v>
      </c>
      <c r="T102" s="20">
        <v>2.865057278334362</v>
      </c>
      <c r="U102" s="20">
        <v>105</v>
      </c>
      <c r="V102" s="20">
        <v>3.0742493464570142</v>
      </c>
      <c r="W102" s="20">
        <v>252</v>
      </c>
      <c r="X102" s="20">
        <v>2.1351643272749392</v>
      </c>
      <c r="Y102" s="20">
        <v>167.419631070116</v>
      </c>
      <c r="Z102" s="20">
        <v>0.95350116169731169</v>
      </c>
      <c r="AA102" s="20">
        <v>0.26424868168709548</v>
      </c>
      <c r="AB102" s="20">
        <v>3.608347847223623</v>
      </c>
      <c r="AC102" s="20">
        <v>3.0815315120265411E-4</v>
      </c>
      <c r="AD102" s="20">
        <v>4.5916246164154718E-2</v>
      </c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s="9" customFormat="1" x14ac:dyDescent="0.3">
      <c r="A103" s="20" t="s">
        <v>4290</v>
      </c>
      <c r="B103" s="20">
        <v>2989</v>
      </c>
      <c r="C103" s="20" t="str">
        <f>IF(Z103&lt;0, "Down", "Up")</f>
        <v>Up</v>
      </c>
      <c r="D103" s="21" t="str">
        <f>IF(AD103&lt;0.05, "Sig", "N")</f>
        <v>Sig</v>
      </c>
      <c r="E103" s="22" t="str">
        <f>IF(AND(J103&gt;2,L103&gt;2,N103&gt;2,P103&gt;2),"Y","N")</f>
        <v>Y</v>
      </c>
      <c r="F103" s="22" t="str">
        <f>IF(AND(R103&gt;2,T103&gt;2,V103&gt;2,X103&gt;2),"Y","N")</f>
        <v>Y</v>
      </c>
      <c r="G103" s="21" t="str">
        <f>IF(AVERAGE(J103,L103,N103,P103) &gt; AVERAGE(R103,T103,V103,X103), "Smaller", IF(AVERAGE(J103,L103,N103,P103) &lt; AVERAGE(R103,T103,V103,X103), "Larger", "Equal"))</f>
        <v>Larger</v>
      </c>
      <c r="H103" s="22" t="str">
        <f>IF(OR(E103="Y", F103="Y"), "Expressed", "N")</f>
        <v>Expressed</v>
      </c>
      <c r="I103" s="20">
        <v>14620</v>
      </c>
      <c r="J103" s="20">
        <v>90.205232911551732</v>
      </c>
      <c r="K103" s="20">
        <v>30480</v>
      </c>
      <c r="L103" s="20">
        <v>105.3981903376316</v>
      </c>
      <c r="M103" s="20">
        <v>30518</v>
      </c>
      <c r="N103" s="20">
        <v>96.114260541825459</v>
      </c>
      <c r="O103" s="20">
        <v>10360</v>
      </c>
      <c r="P103" s="20">
        <v>91.480989382758523</v>
      </c>
      <c r="Q103" s="20">
        <v>15900</v>
      </c>
      <c r="R103" s="20">
        <v>132.06153317356311</v>
      </c>
      <c r="S103" s="20">
        <v>18799</v>
      </c>
      <c r="T103" s="20">
        <v>102.31659170731071</v>
      </c>
      <c r="U103" s="20">
        <v>9051</v>
      </c>
      <c r="V103" s="20">
        <v>117.29521194990249</v>
      </c>
      <c r="W103" s="20">
        <v>32501</v>
      </c>
      <c r="X103" s="20">
        <v>121.88813079759269</v>
      </c>
      <c r="Y103" s="20">
        <v>18480.317972705489</v>
      </c>
      <c r="Z103" s="20">
        <v>0.4330303103118725</v>
      </c>
      <c r="AA103" s="20">
        <v>0.1106216084438809</v>
      </c>
      <c r="AB103" s="20">
        <v>3.9145182971331671</v>
      </c>
      <c r="AC103" s="20">
        <v>9.0584868789967253E-5</v>
      </c>
      <c r="AD103" s="20">
        <v>2.0369482978831049E-2</v>
      </c>
      <c r="AE103" s="20" t="s">
        <v>4291</v>
      </c>
      <c r="AF103" s="20" t="s">
        <v>4292</v>
      </c>
      <c r="AG103" s="20" t="s">
        <v>4293</v>
      </c>
      <c r="AH103" s="20" t="s">
        <v>349</v>
      </c>
      <c r="AI103" s="20" t="s">
        <v>43</v>
      </c>
      <c r="AJ103" s="20" t="s">
        <v>43</v>
      </c>
      <c r="AK103" s="20" t="s">
        <v>43</v>
      </c>
      <c r="AL103" s="20" t="s">
        <v>43</v>
      </c>
      <c r="AM103" s="20" t="s">
        <v>43</v>
      </c>
      <c r="AN103" s="20" t="s">
        <v>350</v>
      </c>
      <c r="AO103" s="20" t="s">
        <v>43</v>
      </c>
    </row>
    <row r="104" spans="1:41" s="9" customFormat="1" x14ac:dyDescent="0.3">
      <c r="A104" s="20" t="s">
        <v>232</v>
      </c>
      <c r="B104" s="20">
        <v>2101</v>
      </c>
      <c r="C104" s="20" t="str">
        <f>IF(Z104&lt;0, "Down", "Up")</f>
        <v>Up</v>
      </c>
      <c r="D104" s="21" t="str">
        <f>IF(AD104&lt;0.05, "Sig", "N")</f>
        <v>Sig</v>
      </c>
      <c r="E104" s="22" t="str">
        <f>IF(AND(J104&gt;2,L104&gt;2,N104&gt;2,P104&gt;2),"Y","N")</f>
        <v>Y</v>
      </c>
      <c r="F104" s="22" t="str">
        <f>IF(AND(R104&gt;2,T104&gt;2,V104&gt;2,X104&gt;2),"Y","N")</f>
        <v>Y</v>
      </c>
      <c r="G104" s="21" t="str">
        <f>IF(AVERAGE(J104,L104,N104,P104) &gt; AVERAGE(R104,T104,V104,X104), "Smaller", IF(AVERAGE(J104,L104,N104,P104) &lt; AVERAGE(R104,T104,V104,X104), "Larger", "Equal"))</f>
        <v>Larger</v>
      </c>
      <c r="H104" s="22" t="str">
        <f>IF(OR(E104="Y", F104="Y"), "Expressed", "N")</f>
        <v>Expressed</v>
      </c>
      <c r="I104" s="20">
        <v>333</v>
      </c>
      <c r="J104" s="20">
        <v>2.9229975795020788</v>
      </c>
      <c r="K104" s="20">
        <v>1537</v>
      </c>
      <c r="L104" s="20">
        <v>7.5612208228986857</v>
      </c>
      <c r="M104" s="20">
        <v>970</v>
      </c>
      <c r="N104" s="20">
        <v>4.3461364506899693</v>
      </c>
      <c r="O104" s="20">
        <v>415</v>
      </c>
      <c r="P104" s="20">
        <v>5.2133761026189989</v>
      </c>
      <c r="Q104" s="20">
        <v>5698</v>
      </c>
      <c r="R104" s="20">
        <v>67.328899843819073</v>
      </c>
      <c r="S104" s="20">
        <v>5563</v>
      </c>
      <c r="T104" s="20">
        <v>43.074499461511017</v>
      </c>
      <c r="U104" s="20">
        <v>412</v>
      </c>
      <c r="V104" s="20">
        <v>7.5959272762149688</v>
      </c>
      <c r="W104" s="20">
        <v>7692</v>
      </c>
      <c r="X104" s="20">
        <v>41.039667314775762</v>
      </c>
      <c r="Y104" s="20">
        <v>2800.322915182835</v>
      </c>
      <c r="Z104" s="20">
        <v>3.1363357974150472</v>
      </c>
      <c r="AA104" s="20">
        <v>0.6239404518842826</v>
      </c>
      <c r="AB104" s="20">
        <v>5.0266588549330331</v>
      </c>
      <c r="AC104" s="20">
        <v>4.9909906539150912E-7</v>
      </c>
      <c r="AD104" s="20">
        <v>5.539139110215766E-4</v>
      </c>
      <c r="AE104" s="20" t="s">
        <v>233</v>
      </c>
      <c r="AF104" s="20" t="s">
        <v>234</v>
      </c>
      <c r="AG104" s="20" t="s">
        <v>235</v>
      </c>
      <c r="AH104" s="20" t="s">
        <v>236</v>
      </c>
      <c r="AI104" s="20" t="s">
        <v>43</v>
      </c>
      <c r="AJ104" s="20" t="s">
        <v>43</v>
      </c>
      <c r="AK104" s="20" t="s">
        <v>43</v>
      </c>
      <c r="AL104" s="20" t="s">
        <v>43</v>
      </c>
      <c r="AM104" s="20" t="s">
        <v>43</v>
      </c>
      <c r="AN104" s="20" t="s">
        <v>237</v>
      </c>
      <c r="AO104" s="20" t="s">
        <v>43</v>
      </c>
    </row>
    <row r="105" spans="1:41" s="9" customFormat="1" x14ac:dyDescent="0.3">
      <c r="A105" s="20" t="s">
        <v>4294</v>
      </c>
      <c r="B105" s="20">
        <v>1509</v>
      </c>
      <c r="C105" s="20" t="str">
        <f>IF(Z105&lt;0, "Down", "Up")</f>
        <v>Up</v>
      </c>
      <c r="D105" s="21" t="str">
        <f>IF(AD105&lt;0.05, "Sig", "N")</f>
        <v>Sig</v>
      </c>
      <c r="E105" s="22" t="str">
        <f>IF(AND(J105&gt;2,L105&gt;2,N105&gt;2,P105&gt;2),"Y","N")</f>
        <v>Y</v>
      </c>
      <c r="F105" s="22" t="str">
        <f>IF(AND(R105&gt;2,T105&gt;2,V105&gt;2,X105&gt;2),"Y","N")</f>
        <v>Y</v>
      </c>
      <c r="G105" s="21" t="str">
        <f>IF(AVERAGE(J105,L105,N105,P105) &gt; AVERAGE(R105,T105,V105,X105), "Smaller", IF(AVERAGE(J105,L105,N105,P105) &lt; AVERAGE(R105,T105,V105,X105), "Larger", "Equal"))</f>
        <v>Larger</v>
      </c>
      <c r="H105" s="22" t="str">
        <f>IF(OR(E105="Y", F105="Y"), "Expressed", "N")</f>
        <v>Expressed</v>
      </c>
      <c r="I105" s="20">
        <v>262</v>
      </c>
      <c r="J105" s="20">
        <v>3.202007362447683</v>
      </c>
      <c r="K105" s="20">
        <v>641</v>
      </c>
      <c r="L105" s="20">
        <v>4.3904890294974459</v>
      </c>
      <c r="M105" s="20">
        <v>659</v>
      </c>
      <c r="N105" s="20">
        <v>4.1110603308197913</v>
      </c>
      <c r="O105" s="20">
        <v>217</v>
      </c>
      <c r="P105" s="20">
        <v>3.7954869858403728</v>
      </c>
      <c r="Q105" s="20">
        <v>325</v>
      </c>
      <c r="R105" s="20">
        <v>5.3468653430831603</v>
      </c>
      <c r="S105" s="20">
        <v>497</v>
      </c>
      <c r="T105" s="20">
        <v>5.3580206238405657</v>
      </c>
      <c r="U105" s="20">
        <v>192</v>
      </c>
      <c r="V105" s="20">
        <v>4.9285778786937096</v>
      </c>
      <c r="W105" s="20">
        <v>647</v>
      </c>
      <c r="X105" s="20">
        <v>4.8062421661173964</v>
      </c>
      <c r="Y105" s="20">
        <v>391.46531702797802</v>
      </c>
      <c r="Z105" s="20">
        <v>0.530481316742898</v>
      </c>
      <c r="AA105" s="20">
        <v>0.12997960080284759</v>
      </c>
      <c r="AB105" s="20">
        <v>4.081265933009977</v>
      </c>
      <c r="AC105" s="20">
        <v>4.4791070755172072E-5</v>
      </c>
      <c r="AD105" s="20">
        <v>1.3600005775992579E-2</v>
      </c>
      <c r="AE105" s="20" t="s">
        <v>4295</v>
      </c>
      <c r="AF105" s="20" t="s">
        <v>4296</v>
      </c>
      <c r="AG105" s="20" t="s">
        <v>4297</v>
      </c>
      <c r="AH105" s="20" t="s">
        <v>4298</v>
      </c>
      <c r="AI105" s="20" t="s">
        <v>43</v>
      </c>
      <c r="AJ105" s="20" t="s">
        <v>43</v>
      </c>
      <c r="AK105" s="20" t="s">
        <v>43</v>
      </c>
      <c r="AL105" s="20" t="s">
        <v>43</v>
      </c>
      <c r="AM105" s="20" t="s">
        <v>43</v>
      </c>
      <c r="AN105" s="20" t="s">
        <v>4299</v>
      </c>
      <c r="AO105" s="20" t="s">
        <v>43</v>
      </c>
    </row>
    <row r="106" spans="1:41" s="9" customFormat="1" x14ac:dyDescent="0.3">
      <c r="A106" s="20" t="s">
        <v>3918</v>
      </c>
      <c r="B106" s="20">
        <v>3048</v>
      </c>
      <c r="C106" s="20" t="str">
        <f>IF(Z106&lt;0, "Down", "Up")</f>
        <v>Up</v>
      </c>
      <c r="D106" s="21" t="str">
        <f>IF(AD106&lt;0.05, "Sig", "N")</f>
        <v>Sig</v>
      </c>
      <c r="E106" s="22" t="str">
        <f>IF(AND(J106&gt;2,L106&gt;2,N106&gt;2,P106&gt;2),"Y","N")</f>
        <v>Y</v>
      </c>
      <c r="F106" s="22" t="str">
        <f>IF(AND(R106&gt;2,T106&gt;2,V106&gt;2,X106&gt;2),"Y","N")</f>
        <v>Y</v>
      </c>
      <c r="G106" s="21" t="str">
        <f>IF(AVERAGE(J106,L106,N106,P106) &gt; AVERAGE(R106,T106,V106,X106), "Smaller", IF(AVERAGE(J106,L106,N106,P106) &lt; AVERAGE(R106,T106,V106,X106), "Larger", "Equal"))</f>
        <v>Larger</v>
      </c>
      <c r="H106" s="22" t="str">
        <f>IF(OR(E106="Y", F106="Y"), "Expressed", "N")</f>
        <v>Expressed</v>
      </c>
      <c r="I106" s="20">
        <v>3796</v>
      </c>
      <c r="J106" s="20">
        <v>22.96791201001254</v>
      </c>
      <c r="K106" s="20">
        <v>6571</v>
      </c>
      <c r="L106" s="20">
        <v>22.282330476267919</v>
      </c>
      <c r="M106" s="20">
        <v>6934</v>
      </c>
      <c r="N106" s="20">
        <v>21.41541772303826</v>
      </c>
      <c r="O106" s="20">
        <v>2995</v>
      </c>
      <c r="P106" s="20">
        <v>25.934559544358169</v>
      </c>
      <c r="Q106" s="20">
        <v>6422</v>
      </c>
      <c r="R106" s="20">
        <v>52.307078511023221</v>
      </c>
      <c r="S106" s="20">
        <v>8956</v>
      </c>
      <c r="T106" s="20">
        <v>47.800930883884803</v>
      </c>
      <c r="U106" s="20">
        <v>2371</v>
      </c>
      <c r="V106" s="20">
        <v>30.131879765638029</v>
      </c>
      <c r="W106" s="20">
        <v>12915</v>
      </c>
      <c r="X106" s="20">
        <v>47.497423968329443</v>
      </c>
      <c r="Y106" s="20">
        <v>6022.3970506776168</v>
      </c>
      <c r="Z106" s="20">
        <v>1.0734710494633779</v>
      </c>
      <c r="AA106" s="20">
        <v>0.18912928656978931</v>
      </c>
      <c r="AB106" s="20">
        <v>5.6758583978862722</v>
      </c>
      <c r="AC106" s="20">
        <v>1.3799489666981359E-8</v>
      </c>
      <c r="AD106" s="20">
        <v>2.7758535933237189E-5</v>
      </c>
      <c r="AE106" s="20" t="s">
        <v>3919</v>
      </c>
      <c r="AF106" s="20" t="s">
        <v>3920</v>
      </c>
      <c r="AG106" s="20" t="s">
        <v>3921</v>
      </c>
      <c r="AH106" s="20" t="s">
        <v>3922</v>
      </c>
      <c r="AI106" s="20" t="s">
        <v>43</v>
      </c>
      <c r="AJ106" s="20" t="s">
        <v>43</v>
      </c>
      <c r="AK106" s="20" t="s">
        <v>43</v>
      </c>
      <c r="AL106" s="20" t="s">
        <v>43</v>
      </c>
      <c r="AM106" s="20" t="s">
        <v>43</v>
      </c>
      <c r="AN106" s="20" t="s">
        <v>3923</v>
      </c>
      <c r="AO106" s="20" t="s">
        <v>43</v>
      </c>
    </row>
    <row r="107" spans="1:41" s="9" customFormat="1" x14ac:dyDescent="0.3">
      <c r="A107" s="20" t="s">
        <v>2205</v>
      </c>
      <c r="B107" s="20">
        <v>2419</v>
      </c>
      <c r="C107" s="20" t="str">
        <f>IF(Z107&lt;0, "Down", "Up")</f>
        <v>Up</v>
      </c>
      <c r="D107" s="21" t="str">
        <f>IF(AD107&lt;0.05, "Sig", "N")</f>
        <v>Sig</v>
      </c>
      <c r="E107" s="22" t="str">
        <f>IF(AND(J107&gt;2,L107&gt;2,N107&gt;2,P107&gt;2),"Y","N")</f>
        <v>Y</v>
      </c>
      <c r="F107" s="22" t="str">
        <f>IF(AND(R107&gt;2,T107&gt;2,V107&gt;2,X107&gt;2),"Y","N")</f>
        <v>Y</v>
      </c>
      <c r="G107" s="21" t="str">
        <f>IF(AVERAGE(J107,L107,N107,P107) &gt; AVERAGE(R107,T107,V107,X107), "Smaller", IF(AVERAGE(J107,L107,N107,P107) &lt; AVERAGE(R107,T107,V107,X107), "Larger", "Equal"))</f>
        <v>Larger</v>
      </c>
      <c r="H107" s="22" t="str">
        <f>IF(OR(E107="Y", F107="Y"), "Expressed", "N")</f>
        <v>Expressed</v>
      </c>
      <c r="I107" s="20">
        <v>1843</v>
      </c>
      <c r="J107" s="20">
        <v>14.050757599044999</v>
      </c>
      <c r="K107" s="20">
        <v>1499</v>
      </c>
      <c r="L107" s="20">
        <v>6.404863389947856</v>
      </c>
      <c r="M107" s="20">
        <v>1629</v>
      </c>
      <c r="N107" s="20">
        <v>6.3393231592007817</v>
      </c>
      <c r="O107" s="20">
        <v>593</v>
      </c>
      <c r="P107" s="20">
        <v>6.470172173725369</v>
      </c>
      <c r="Q107" s="20">
        <v>1291</v>
      </c>
      <c r="R107" s="20">
        <v>13.249378274941099</v>
      </c>
      <c r="S107" s="20">
        <v>4223</v>
      </c>
      <c r="T107" s="20">
        <v>28.40026844121228</v>
      </c>
      <c r="U107" s="20">
        <v>1107</v>
      </c>
      <c r="V107" s="20">
        <v>17.7264343671979</v>
      </c>
      <c r="W107" s="20">
        <v>3869</v>
      </c>
      <c r="X107" s="20">
        <v>17.92889276837138</v>
      </c>
      <c r="Y107" s="20">
        <v>1977.809417898703</v>
      </c>
      <c r="Z107" s="20">
        <v>1.3230347995842979</v>
      </c>
      <c r="AA107" s="20">
        <v>0.33171778697530557</v>
      </c>
      <c r="AB107" s="20">
        <v>3.9884349031991779</v>
      </c>
      <c r="AC107" s="20">
        <v>6.6510648178205565E-5</v>
      </c>
      <c r="AD107" s="20">
        <v>1.6715438838763471E-2</v>
      </c>
      <c r="AE107" s="20" t="s">
        <v>2206</v>
      </c>
      <c r="AF107" s="20" t="s">
        <v>2207</v>
      </c>
      <c r="AG107" s="20" t="s">
        <v>2208</v>
      </c>
      <c r="AH107" s="20" t="s">
        <v>2209</v>
      </c>
      <c r="AI107" s="20" t="s">
        <v>43</v>
      </c>
      <c r="AJ107" s="20" t="s">
        <v>43</v>
      </c>
      <c r="AK107" s="20" t="s">
        <v>43</v>
      </c>
      <c r="AL107" s="20" t="s">
        <v>43</v>
      </c>
      <c r="AM107" s="20" t="s">
        <v>43</v>
      </c>
      <c r="AN107" s="20" t="s">
        <v>2210</v>
      </c>
      <c r="AO107" s="20" t="s">
        <v>43</v>
      </c>
    </row>
    <row r="108" spans="1:41" s="9" customFormat="1" x14ac:dyDescent="0.3">
      <c r="A108" s="20" t="s">
        <v>4300</v>
      </c>
      <c r="B108" s="20">
        <v>1920</v>
      </c>
      <c r="C108" s="20" t="str">
        <f>IF(Z108&lt;0, "Down", "Up")</f>
        <v>Up</v>
      </c>
      <c r="D108" s="21" t="str">
        <f>IF(AD108&lt;0.05, "Sig", "N")</f>
        <v>Sig</v>
      </c>
      <c r="E108" s="22" t="str">
        <f>IF(AND(J108&gt;2,L108&gt;2,N108&gt;2,P108&gt;2),"Y","N")</f>
        <v>Y</v>
      </c>
      <c r="F108" s="22" t="str">
        <f>IF(AND(R108&gt;2,T108&gt;2,V108&gt;2,X108&gt;2),"Y","N")</f>
        <v>Y</v>
      </c>
      <c r="G108" s="21" t="str">
        <f>IF(AVERAGE(J108,L108,N108,P108) &gt; AVERAGE(R108,T108,V108,X108), "Smaller", IF(AVERAGE(J108,L108,N108,P108) &lt; AVERAGE(R108,T108,V108,X108), "Larger", "Equal"))</f>
        <v>Larger</v>
      </c>
      <c r="H108" s="22" t="str">
        <f>IF(OR(E108="Y", F108="Y"), "Expressed", "N")</f>
        <v>Expressed</v>
      </c>
      <c r="I108" s="20">
        <v>219</v>
      </c>
      <c r="J108" s="20">
        <v>2.103551556686245</v>
      </c>
      <c r="K108" s="20">
        <v>444</v>
      </c>
      <c r="L108" s="20">
        <v>2.3901538024954259</v>
      </c>
      <c r="M108" s="20">
        <v>522</v>
      </c>
      <c r="N108" s="20">
        <v>2.5593339027457072</v>
      </c>
      <c r="O108" s="20">
        <v>199</v>
      </c>
      <c r="P108" s="20">
        <v>2.735576474810367</v>
      </c>
      <c r="Q108" s="20">
        <v>307</v>
      </c>
      <c r="R108" s="20">
        <v>3.969559101655022</v>
      </c>
      <c r="S108" s="20">
        <v>409</v>
      </c>
      <c r="T108" s="20">
        <v>3.4654473996505528</v>
      </c>
      <c r="U108" s="20">
        <v>176</v>
      </c>
      <c r="V108" s="20">
        <v>3.5507579951578512</v>
      </c>
      <c r="W108" s="20">
        <v>546</v>
      </c>
      <c r="X108" s="20">
        <v>3.1877336167362569</v>
      </c>
      <c r="Y108" s="20">
        <v>332.43843503616728</v>
      </c>
      <c r="Z108" s="20">
        <v>0.66600640837763025</v>
      </c>
      <c r="AA108" s="20">
        <v>0.1267748091034113</v>
      </c>
      <c r="AB108" s="20">
        <v>5.2534601557503668</v>
      </c>
      <c r="AC108" s="20">
        <v>1.4926797915105381E-7</v>
      </c>
      <c r="AD108" s="20">
        <v>2.183722685898484E-4</v>
      </c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s="9" customFormat="1" x14ac:dyDescent="0.3">
      <c r="A109" s="20" t="s">
        <v>4301</v>
      </c>
      <c r="B109" s="20">
        <v>2790</v>
      </c>
      <c r="C109" s="20" t="str">
        <f>IF(Z109&lt;0, "Down", "Up")</f>
        <v>Up</v>
      </c>
      <c r="D109" s="21" t="str">
        <f>IF(AD109&lt;0.05, "Sig", "N")</f>
        <v>Sig</v>
      </c>
      <c r="E109" s="22" t="str">
        <f>IF(AND(J109&gt;2,L109&gt;2,N109&gt;2,P109&gt;2),"Y","N")</f>
        <v>Y</v>
      </c>
      <c r="F109" s="22" t="str">
        <f>IF(AND(R109&gt;2,T109&gt;2,V109&gt;2,X109&gt;2),"Y","N")</f>
        <v>Y</v>
      </c>
      <c r="G109" s="21" t="str">
        <f>IF(AVERAGE(J109,L109,N109,P109) &gt; AVERAGE(R109,T109,V109,X109), "Smaller", IF(AVERAGE(J109,L109,N109,P109) &lt; AVERAGE(R109,T109,V109,X109), "Larger", "Equal"))</f>
        <v>Larger</v>
      </c>
      <c r="H109" s="22" t="str">
        <f>IF(OR(E109="Y", F109="Y"), "Expressed", "N")</f>
        <v>Expressed</v>
      </c>
      <c r="I109" s="20">
        <v>3679</v>
      </c>
      <c r="J109" s="20">
        <v>24.318448241327459</v>
      </c>
      <c r="K109" s="20">
        <v>6913</v>
      </c>
      <c r="L109" s="20">
        <v>25.60981611802907</v>
      </c>
      <c r="M109" s="20">
        <v>7139</v>
      </c>
      <c r="N109" s="20">
        <v>24.087451547581729</v>
      </c>
      <c r="O109" s="20">
        <v>2867</v>
      </c>
      <c r="P109" s="20">
        <v>27.12192447236206</v>
      </c>
      <c r="Q109" s="20">
        <v>4228</v>
      </c>
      <c r="R109" s="20">
        <v>37.621482134952743</v>
      </c>
      <c r="S109" s="20">
        <v>4987</v>
      </c>
      <c r="T109" s="20">
        <v>29.078526583370611</v>
      </c>
      <c r="U109" s="20">
        <v>2083</v>
      </c>
      <c r="V109" s="20">
        <v>28.919761110122401</v>
      </c>
      <c r="W109" s="20">
        <v>8269</v>
      </c>
      <c r="X109" s="20">
        <v>33.223042138617018</v>
      </c>
      <c r="Y109" s="20">
        <v>4636.34860123623</v>
      </c>
      <c r="Z109" s="20">
        <v>0.4780690511454278</v>
      </c>
      <c r="AA109" s="20">
        <v>0.1233052841869029</v>
      </c>
      <c r="AB109" s="20">
        <v>3.8771173052144592</v>
      </c>
      <c r="AC109" s="20">
        <v>1.057014027967975E-4</v>
      </c>
      <c r="AD109" s="20">
        <v>2.1591221047846221E-2</v>
      </c>
      <c r="AE109" s="20" t="s">
        <v>4302</v>
      </c>
      <c r="AF109" s="20" t="s">
        <v>4303</v>
      </c>
      <c r="AG109" s="20" t="s">
        <v>4304</v>
      </c>
      <c r="AH109" s="20" t="s">
        <v>4305</v>
      </c>
      <c r="AI109" s="20" t="s">
        <v>43</v>
      </c>
      <c r="AJ109" s="20" t="s">
        <v>43</v>
      </c>
      <c r="AK109" s="20" t="s">
        <v>43</v>
      </c>
      <c r="AL109" s="20" t="s">
        <v>43</v>
      </c>
      <c r="AM109" s="20" t="s">
        <v>43</v>
      </c>
      <c r="AN109" s="20" t="s">
        <v>4306</v>
      </c>
      <c r="AO109" s="20" t="s">
        <v>43</v>
      </c>
    </row>
    <row r="110" spans="1:41" s="9" customFormat="1" x14ac:dyDescent="0.3">
      <c r="A110" s="20" t="s">
        <v>292</v>
      </c>
      <c r="B110" s="20">
        <v>4754</v>
      </c>
      <c r="C110" s="20" t="str">
        <f>IF(Z110&lt;0, "Down", "Up")</f>
        <v>Up</v>
      </c>
      <c r="D110" s="21" t="str">
        <f>IF(AD110&lt;0.05, "Sig", "N")</f>
        <v>Sig</v>
      </c>
      <c r="E110" s="22" t="str">
        <f>IF(AND(J110&gt;2,L110&gt;2,N110&gt;2,P110&gt;2),"Y","N")</f>
        <v>Y</v>
      </c>
      <c r="F110" s="22" t="str">
        <f>IF(AND(R110&gt;2,T110&gt;2,V110&gt;2,X110&gt;2),"Y","N")</f>
        <v>Y</v>
      </c>
      <c r="G110" s="21" t="str">
        <f>IF(AVERAGE(J110,L110,N110,P110) &gt; AVERAGE(R110,T110,V110,X110), "Smaller", IF(AVERAGE(J110,L110,N110,P110) &lt; AVERAGE(R110,T110,V110,X110), "Larger", "Equal"))</f>
        <v>Larger</v>
      </c>
      <c r="H110" s="22" t="str">
        <f>IF(OR(E110="Y", F110="Y"), "Expressed", "N")</f>
        <v>Expressed</v>
      </c>
      <c r="I110" s="20">
        <v>7909</v>
      </c>
      <c r="J110" s="20">
        <v>30.681223389595971</v>
      </c>
      <c r="K110" s="20">
        <v>11829</v>
      </c>
      <c r="L110" s="20">
        <v>25.71774944999342</v>
      </c>
      <c r="M110" s="20">
        <v>11241</v>
      </c>
      <c r="N110" s="20">
        <v>22.258887055171051</v>
      </c>
      <c r="O110" s="20">
        <v>5288</v>
      </c>
      <c r="P110" s="20">
        <v>29.358190326570451</v>
      </c>
      <c r="Q110" s="20">
        <v>8318</v>
      </c>
      <c r="R110" s="20">
        <v>43.437504235437352</v>
      </c>
      <c r="S110" s="20">
        <v>13200</v>
      </c>
      <c r="T110" s="20">
        <v>45.170197119678718</v>
      </c>
      <c r="U110" s="20">
        <v>3567</v>
      </c>
      <c r="V110" s="20">
        <v>29.063878308168551</v>
      </c>
      <c r="W110" s="20">
        <v>19882</v>
      </c>
      <c r="X110" s="20">
        <v>46.880420711636887</v>
      </c>
      <c r="Y110" s="20">
        <v>9454.6884019719146</v>
      </c>
      <c r="Z110" s="20">
        <v>0.73704982510181549</v>
      </c>
      <c r="AA110" s="20">
        <v>0.20498249872142679</v>
      </c>
      <c r="AB110" s="20">
        <v>3.5956719705298998</v>
      </c>
      <c r="AC110" s="20">
        <v>3.2355530127621979E-4</v>
      </c>
      <c r="AD110" s="20">
        <v>4.7120485844231383E-2</v>
      </c>
      <c r="AE110" s="20" t="s">
        <v>293</v>
      </c>
      <c r="AF110" s="20" t="s">
        <v>294</v>
      </c>
      <c r="AG110" s="20" t="s">
        <v>295</v>
      </c>
      <c r="AH110" s="20" t="s">
        <v>296</v>
      </c>
      <c r="AI110" s="20" t="s">
        <v>43</v>
      </c>
      <c r="AJ110" s="20" t="s">
        <v>43</v>
      </c>
      <c r="AK110" s="20" t="s">
        <v>43</v>
      </c>
      <c r="AL110" s="20" t="s">
        <v>43</v>
      </c>
      <c r="AM110" s="20" t="s">
        <v>43</v>
      </c>
      <c r="AN110" s="20" t="s">
        <v>297</v>
      </c>
      <c r="AO110" s="20" t="s">
        <v>43</v>
      </c>
    </row>
    <row r="111" spans="1:41" s="9" customFormat="1" x14ac:dyDescent="0.3">
      <c r="A111" s="20" t="s">
        <v>310</v>
      </c>
      <c r="B111" s="20">
        <v>1219</v>
      </c>
      <c r="C111" s="20" t="str">
        <f>IF(Z111&lt;0, "Down", "Up")</f>
        <v>Up</v>
      </c>
      <c r="D111" s="21" t="str">
        <f>IF(AD111&lt;0.05, "Sig", "N")</f>
        <v>Sig</v>
      </c>
      <c r="E111" s="22" t="str">
        <f>IF(AND(J111&gt;2,L111&gt;2,N111&gt;2,P111&gt;2),"Y","N")</f>
        <v>Y</v>
      </c>
      <c r="F111" s="22" t="str">
        <f>IF(AND(R111&gt;2,T111&gt;2,V111&gt;2,X111&gt;2),"Y","N")</f>
        <v>Y</v>
      </c>
      <c r="G111" s="21" t="str">
        <f>IF(AVERAGE(J111,L111,N111,P111) &gt; AVERAGE(R111,T111,V111,X111), "Smaller", IF(AVERAGE(J111,L111,N111,P111) &lt; AVERAGE(R111,T111,V111,X111), "Larger", "Equal"))</f>
        <v>Larger</v>
      </c>
      <c r="H111" s="22" t="str">
        <f>IF(OR(E111="Y", F111="Y"), "Expressed", "N")</f>
        <v>Expressed</v>
      </c>
      <c r="I111" s="20">
        <v>313</v>
      </c>
      <c r="J111" s="20">
        <v>4.7353371597580374</v>
      </c>
      <c r="K111" s="20">
        <v>658</v>
      </c>
      <c r="L111" s="20">
        <v>5.5791276040777431</v>
      </c>
      <c r="M111" s="20">
        <v>1026</v>
      </c>
      <c r="N111" s="20">
        <v>7.9232129873692454</v>
      </c>
      <c r="O111" s="20">
        <v>269</v>
      </c>
      <c r="P111" s="20">
        <v>5.824324814021125</v>
      </c>
      <c r="Q111" s="20">
        <v>1014</v>
      </c>
      <c r="R111" s="20">
        <v>20.65091860907544</v>
      </c>
      <c r="S111" s="20">
        <v>1597</v>
      </c>
      <c r="T111" s="20">
        <v>21.31269856189893</v>
      </c>
      <c r="U111" s="20">
        <v>175</v>
      </c>
      <c r="V111" s="20">
        <v>5.5608858153713818</v>
      </c>
      <c r="W111" s="20">
        <v>2724</v>
      </c>
      <c r="X111" s="20">
        <v>25.04920840390394</v>
      </c>
      <c r="Y111" s="20">
        <v>873.99531879064966</v>
      </c>
      <c r="Z111" s="20">
        <v>1.749541272679298</v>
      </c>
      <c r="AA111" s="20">
        <v>0.36891552080633833</v>
      </c>
      <c r="AB111" s="20">
        <v>4.7423899890558348</v>
      </c>
      <c r="AC111" s="20">
        <v>2.1121152924683339E-6</v>
      </c>
      <c r="AD111" s="20">
        <v>1.6436099536337231E-3</v>
      </c>
      <c r="AE111" s="20" t="s">
        <v>311</v>
      </c>
      <c r="AF111" s="20" t="s">
        <v>312</v>
      </c>
      <c r="AG111" s="20" t="s">
        <v>313</v>
      </c>
      <c r="AH111" s="20" t="s">
        <v>314</v>
      </c>
      <c r="AI111" s="20" t="s">
        <v>43</v>
      </c>
      <c r="AJ111" s="20" t="s">
        <v>43</v>
      </c>
      <c r="AK111" s="20" t="s">
        <v>43</v>
      </c>
      <c r="AL111" s="20" t="s">
        <v>43</v>
      </c>
      <c r="AM111" s="20" t="s">
        <v>43</v>
      </c>
      <c r="AN111" s="20" t="s">
        <v>315</v>
      </c>
      <c r="AO111" s="20" t="s">
        <v>43</v>
      </c>
    </row>
    <row r="112" spans="1:41" s="9" customFormat="1" x14ac:dyDescent="0.3">
      <c r="A112" s="20" t="s">
        <v>3953</v>
      </c>
      <c r="B112" s="20">
        <v>2235</v>
      </c>
      <c r="C112" s="20" t="str">
        <f>IF(Z112&lt;0, "Down", "Up")</f>
        <v>Up</v>
      </c>
      <c r="D112" s="21" t="str">
        <f>IF(AD112&lt;0.05, "Sig", "N")</f>
        <v>Sig</v>
      </c>
      <c r="E112" s="22" t="str">
        <f>IF(AND(J112&gt;2,L112&gt;2,N112&gt;2,P112&gt;2),"Y","N")</f>
        <v>Y</v>
      </c>
      <c r="F112" s="22" t="str">
        <f>IF(AND(R112&gt;2,T112&gt;2,V112&gt;2,X112&gt;2),"Y","N")</f>
        <v>Y</v>
      </c>
      <c r="G112" s="21" t="str">
        <f>IF(AVERAGE(J112,L112,N112,P112) &gt; AVERAGE(R112,T112,V112,X112), "Smaller", IF(AVERAGE(J112,L112,N112,P112) &lt; AVERAGE(R112,T112,V112,X112), "Larger", "Equal"))</f>
        <v>Larger</v>
      </c>
      <c r="H112" s="22" t="str">
        <f>IF(OR(E112="Y", F112="Y"), "Expressed", "N")</f>
        <v>Expressed</v>
      </c>
      <c r="I112" s="20">
        <v>613</v>
      </c>
      <c r="J112" s="20">
        <v>5.0581676731889766</v>
      </c>
      <c r="K112" s="20">
        <v>1971</v>
      </c>
      <c r="L112" s="20">
        <v>9.114927180058741</v>
      </c>
      <c r="M112" s="20">
        <v>1808</v>
      </c>
      <c r="N112" s="20">
        <v>7.6151519595389763</v>
      </c>
      <c r="O112" s="20">
        <v>661</v>
      </c>
      <c r="P112" s="20">
        <v>7.8058633564046938</v>
      </c>
      <c r="Q112" s="20">
        <v>1252</v>
      </c>
      <c r="R112" s="20">
        <v>13.906951083112769</v>
      </c>
      <c r="S112" s="20">
        <v>2980</v>
      </c>
      <c r="T112" s="20">
        <v>21.690819909793191</v>
      </c>
      <c r="U112" s="20">
        <v>486</v>
      </c>
      <c r="V112" s="20">
        <v>8.4230305583732292</v>
      </c>
      <c r="W112" s="20">
        <v>3785</v>
      </c>
      <c r="X112" s="20">
        <v>18.983617064144131</v>
      </c>
      <c r="Y112" s="20">
        <v>1520.978183477474</v>
      </c>
      <c r="Z112" s="20">
        <v>1.249613363846283</v>
      </c>
      <c r="AA112" s="20">
        <v>0.28512141161743543</v>
      </c>
      <c r="AB112" s="20">
        <v>4.3827412215641148</v>
      </c>
      <c r="AC112" s="20">
        <v>1.171952896134675E-5</v>
      </c>
      <c r="AD112" s="20">
        <v>5.4665657916078986E-3</v>
      </c>
      <c r="AE112" s="20" t="s">
        <v>3954</v>
      </c>
      <c r="AF112" s="20" t="s">
        <v>3955</v>
      </c>
      <c r="AG112" s="20" t="s">
        <v>3956</v>
      </c>
      <c r="AH112" s="20" t="s">
        <v>3957</v>
      </c>
      <c r="AI112" s="20" t="s">
        <v>43</v>
      </c>
      <c r="AJ112" s="20" t="s">
        <v>43</v>
      </c>
      <c r="AK112" s="20" t="s">
        <v>43</v>
      </c>
      <c r="AL112" s="20" t="s">
        <v>43</v>
      </c>
      <c r="AM112" s="20" t="s">
        <v>43</v>
      </c>
      <c r="AN112" s="20" t="s">
        <v>291</v>
      </c>
      <c r="AO112" s="20" t="s">
        <v>43</v>
      </c>
    </row>
    <row r="113" spans="1:41" s="9" customFormat="1" x14ac:dyDescent="0.3">
      <c r="A113" s="20" t="s">
        <v>4307</v>
      </c>
      <c r="B113" s="20">
        <v>2028</v>
      </c>
      <c r="C113" s="20" t="str">
        <f>IF(Z113&lt;0, "Down", "Up")</f>
        <v>Up</v>
      </c>
      <c r="D113" s="21" t="str">
        <f>IF(AD113&lt;0.05, "Sig", "N")</f>
        <v>Sig</v>
      </c>
      <c r="E113" s="22" t="str">
        <f>IF(AND(J113&gt;2,L113&gt;2,N113&gt;2,P113&gt;2),"Y","N")</f>
        <v>N</v>
      </c>
      <c r="F113" s="22" t="str">
        <f>IF(AND(R113&gt;2,T113&gt;2,V113&gt;2,X113&gt;2),"Y","N")</f>
        <v>Y</v>
      </c>
      <c r="G113" s="21" t="str">
        <f>IF(AVERAGE(J113,L113,N113,P113) &gt; AVERAGE(R113,T113,V113,X113), "Smaller", IF(AVERAGE(J113,L113,N113,P113) &lt; AVERAGE(R113,T113,V113,X113), "Larger", "Equal"))</f>
        <v>Larger</v>
      </c>
      <c r="H113" s="22" t="str">
        <f>IF(OR(E113="Y", F113="Y"), "Expressed", "N")</f>
        <v>Expressed</v>
      </c>
      <c r="I113" s="20">
        <v>232</v>
      </c>
      <c r="J113" s="20">
        <v>2.109746664078068</v>
      </c>
      <c r="K113" s="20">
        <v>428</v>
      </c>
      <c r="L113" s="20">
        <v>2.1813227303545868</v>
      </c>
      <c r="M113" s="20">
        <v>538</v>
      </c>
      <c r="N113" s="20">
        <v>2.4973073788608948</v>
      </c>
      <c r="O113" s="20">
        <v>122</v>
      </c>
      <c r="P113" s="20">
        <v>1.5877747550860331</v>
      </c>
      <c r="Q113" s="20">
        <v>345</v>
      </c>
      <c r="R113" s="20">
        <v>4.2233421816656174</v>
      </c>
      <c r="S113" s="20">
        <v>378</v>
      </c>
      <c r="T113" s="20">
        <v>3.0322226057329238</v>
      </c>
      <c r="U113" s="20">
        <v>160</v>
      </c>
      <c r="V113" s="20">
        <v>3.0560585219217651</v>
      </c>
      <c r="W113" s="20">
        <v>806</v>
      </c>
      <c r="X113" s="20">
        <v>4.4551024905640553</v>
      </c>
      <c r="Y113" s="20">
        <v>342.46102265695879</v>
      </c>
      <c r="Z113" s="20">
        <v>0.94813381378508066</v>
      </c>
      <c r="AA113" s="20">
        <v>0.217213279263163</v>
      </c>
      <c r="AB113" s="20">
        <v>4.3649901009798624</v>
      </c>
      <c r="AC113" s="20">
        <v>1.2712851542926831E-5</v>
      </c>
      <c r="AD113" s="20">
        <v>5.8005535096022076E-3</v>
      </c>
      <c r="AE113" s="20" t="s">
        <v>4308</v>
      </c>
      <c r="AF113" s="20" t="s">
        <v>4309</v>
      </c>
      <c r="AG113" s="20" t="s">
        <v>43</v>
      </c>
      <c r="AH113" s="20" t="s">
        <v>4310</v>
      </c>
      <c r="AI113" s="20" t="s">
        <v>43</v>
      </c>
      <c r="AJ113" s="20" t="s">
        <v>43</v>
      </c>
      <c r="AK113" s="20" t="s">
        <v>43</v>
      </c>
      <c r="AL113" s="20" t="s">
        <v>43</v>
      </c>
      <c r="AM113" s="20" t="s">
        <v>43</v>
      </c>
      <c r="AN113" s="20" t="s">
        <v>371</v>
      </c>
      <c r="AO113" s="20" t="s">
        <v>43</v>
      </c>
    </row>
    <row r="114" spans="1:41" s="9" customFormat="1" x14ac:dyDescent="0.3">
      <c r="A114" s="20" t="s">
        <v>4311</v>
      </c>
      <c r="B114" s="20">
        <v>2307</v>
      </c>
      <c r="C114" s="20" t="str">
        <f>IF(Z114&lt;0, "Down", "Up")</f>
        <v>Up</v>
      </c>
      <c r="D114" s="21" t="str">
        <f>IF(AD114&lt;0.05, "Sig", "N")</f>
        <v>Sig</v>
      </c>
      <c r="E114" s="22" t="str">
        <f>IF(AND(J114&gt;2,L114&gt;2,N114&gt;2,P114&gt;2),"Y","N")</f>
        <v>Y</v>
      </c>
      <c r="F114" s="22" t="str">
        <f>IF(AND(R114&gt;2,T114&gt;2,V114&gt;2,X114&gt;2),"Y","N")</f>
        <v>Y</v>
      </c>
      <c r="G114" s="21" t="str">
        <f>IF(AVERAGE(J114,L114,N114,P114) &gt; AVERAGE(R114,T114,V114,X114), "Smaller", IF(AVERAGE(J114,L114,N114,P114) &lt; AVERAGE(R114,T114,V114,X114), "Larger", "Equal"))</f>
        <v>Larger</v>
      </c>
      <c r="H114" s="22" t="str">
        <f>IF(OR(E114="Y", F114="Y"), "Expressed", "N")</f>
        <v>Expressed</v>
      </c>
      <c r="I114" s="20">
        <v>4427</v>
      </c>
      <c r="J114" s="20">
        <v>35.389318717470957</v>
      </c>
      <c r="K114" s="20">
        <v>5010</v>
      </c>
      <c r="L114" s="20">
        <v>22.44575601963863</v>
      </c>
      <c r="M114" s="20">
        <v>8552</v>
      </c>
      <c r="N114" s="20">
        <v>34.896170732802283</v>
      </c>
      <c r="O114" s="20">
        <v>1989</v>
      </c>
      <c r="P114" s="20">
        <v>22.75538570207739</v>
      </c>
      <c r="Q114" s="20">
        <v>5314</v>
      </c>
      <c r="R114" s="20">
        <v>57.184599155232121</v>
      </c>
      <c r="S114" s="20">
        <v>7534</v>
      </c>
      <c r="T114" s="20">
        <v>53.126995188680731</v>
      </c>
      <c r="U114" s="20">
        <v>2435</v>
      </c>
      <c r="V114" s="20">
        <v>40.884717901451083</v>
      </c>
      <c r="W114" s="20">
        <v>11681</v>
      </c>
      <c r="X114" s="20">
        <v>56.757471244567597</v>
      </c>
      <c r="Y114" s="20">
        <v>5459.2885577940042</v>
      </c>
      <c r="Z114" s="20">
        <v>0.97000444491189908</v>
      </c>
      <c r="AA114" s="20">
        <v>0.22112502373387971</v>
      </c>
      <c r="AB114" s="20">
        <v>4.3866787599728339</v>
      </c>
      <c r="AC114" s="20">
        <v>1.150945789463992E-5</v>
      </c>
      <c r="AD114" s="20">
        <v>5.4475279755733224E-3</v>
      </c>
      <c r="AE114" s="20" t="s">
        <v>4312</v>
      </c>
      <c r="AF114" s="20" t="s">
        <v>4313</v>
      </c>
      <c r="AG114" s="20" t="s">
        <v>4314</v>
      </c>
      <c r="AH114" s="20" t="s">
        <v>4315</v>
      </c>
      <c r="AI114" s="20" t="s">
        <v>43</v>
      </c>
      <c r="AJ114" s="20" t="s">
        <v>43</v>
      </c>
      <c r="AK114" s="20" t="s">
        <v>43</v>
      </c>
      <c r="AL114" s="20" t="s">
        <v>43</v>
      </c>
      <c r="AM114" s="20" t="s">
        <v>43</v>
      </c>
      <c r="AN114" s="20" t="s">
        <v>4316</v>
      </c>
      <c r="AO114" s="20" t="s">
        <v>43</v>
      </c>
    </row>
    <row r="115" spans="1:41" s="9" customFormat="1" x14ac:dyDescent="0.3">
      <c r="A115" s="20" t="s">
        <v>4317</v>
      </c>
      <c r="B115" s="20">
        <v>2369</v>
      </c>
      <c r="C115" s="20" t="str">
        <f>IF(Z115&lt;0, "Down", "Up")</f>
        <v>Up</v>
      </c>
      <c r="D115" s="21" t="str">
        <f>IF(AD115&lt;0.05, "Sig", "N")</f>
        <v>Sig</v>
      </c>
      <c r="E115" s="22" t="str">
        <f>IF(AND(J115&gt;2,L115&gt;2,N115&gt;2,P115&gt;2),"Y","N")</f>
        <v>Y</v>
      </c>
      <c r="F115" s="22" t="str">
        <f>IF(AND(R115&gt;2,T115&gt;2,V115&gt;2,X115&gt;2),"Y","N")</f>
        <v>Y</v>
      </c>
      <c r="G115" s="21" t="str">
        <f>IF(AVERAGE(J115,L115,N115,P115) &gt; AVERAGE(R115,T115,V115,X115), "Smaller", IF(AVERAGE(J115,L115,N115,P115) &lt; AVERAGE(R115,T115,V115,X115), "Larger", "Equal"))</f>
        <v>Larger</v>
      </c>
      <c r="H115" s="22" t="str">
        <f>IF(OR(E115="Y", F115="Y"), "Expressed", "N")</f>
        <v>Expressed</v>
      </c>
      <c r="I115" s="20">
        <v>9264</v>
      </c>
      <c r="J115" s="20">
        <v>72.118014291507748</v>
      </c>
      <c r="K115" s="20">
        <v>15962</v>
      </c>
      <c r="L115" s="20">
        <v>69.641217063524564</v>
      </c>
      <c r="M115" s="20">
        <v>14177</v>
      </c>
      <c r="N115" s="20">
        <v>56.334825580182162</v>
      </c>
      <c r="O115" s="20">
        <v>3780</v>
      </c>
      <c r="P115" s="20">
        <v>42.113734191395388</v>
      </c>
      <c r="Q115" s="20">
        <v>11309</v>
      </c>
      <c r="R115" s="20">
        <v>118.5125298553437</v>
      </c>
      <c r="S115" s="20">
        <v>19701</v>
      </c>
      <c r="T115" s="20">
        <v>135.28836314146341</v>
      </c>
      <c r="U115" s="20">
        <v>4303</v>
      </c>
      <c r="V115" s="20">
        <v>70.358394350501086</v>
      </c>
      <c r="W115" s="20">
        <v>24482</v>
      </c>
      <c r="X115" s="20">
        <v>115.84370560017371</v>
      </c>
      <c r="Y115" s="20">
        <v>11808.143478565509</v>
      </c>
      <c r="Z115" s="20">
        <v>0.99907651775678941</v>
      </c>
      <c r="AA115" s="20">
        <v>0.2498238524115774</v>
      </c>
      <c r="AB115" s="20">
        <v>3.999123815090484</v>
      </c>
      <c r="AC115" s="20">
        <v>6.3577415131044115E-5</v>
      </c>
      <c r="AD115" s="20">
        <v>1.6369912847941238E-2</v>
      </c>
      <c r="AE115" s="20" t="s">
        <v>4318</v>
      </c>
      <c r="AF115" s="20" t="s">
        <v>4319</v>
      </c>
      <c r="AG115" s="20" t="s">
        <v>43</v>
      </c>
      <c r="AH115" s="20" t="s">
        <v>4320</v>
      </c>
      <c r="AI115" s="20" t="s">
        <v>43</v>
      </c>
      <c r="AJ115" s="20" t="s">
        <v>43</v>
      </c>
      <c r="AK115" s="20" t="s">
        <v>43</v>
      </c>
      <c r="AL115" s="20" t="s">
        <v>43</v>
      </c>
      <c r="AM115" s="20" t="s">
        <v>43</v>
      </c>
      <c r="AN115" s="20" t="s">
        <v>4321</v>
      </c>
      <c r="AO115" s="20" t="s">
        <v>43</v>
      </c>
    </row>
    <row r="116" spans="1:41" s="9" customFormat="1" x14ac:dyDescent="0.3">
      <c r="A116" s="20" t="s">
        <v>4322</v>
      </c>
      <c r="B116" s="20">
        <v>1643</v>
      </c>
      <c r="C116" s="20" t="str">
        <f>IF(Z116&lt;0, "Down", "Up")</f>
        <v>Up</v>
      </c>
      <c r="D116" s="21" t="str">
        <f>IF(AD116&lt;0.05, "Sig", "N")</f>
        <v>Sig</v>
      </c>
      <c r="E116" s="22" t="str">
        <f>IF(AND(J116&gt;2,L116&gt;2,N116&gt;2,P116&gt;2),"Y","N")</f>
        <v>Y</v>
      </c>
      <c r="F116" s="22" t="str">
        <f>IF(AND(R116&gt;2,T116&gt;2,V116&gt;2,X116&gt;2),"Y","N")</f>
        <v>Y</v>
      </c>
      <c r="G116" s="21" t="str">
        <f>IF(AVERAGE(J116,L116,N116,P116) &gt; AVERAGE(R116,T116,V116,X116), "Smaller", IF(AVERAGE(J116,L116,N116,P116) &lt; AVERAGE(R116,T116,V116,X116), "Larger", "Equal"))</f>
        <v>Larger</v>
      </c>
      <c r="H116" s="22" t="str">
        <f>IF(OR(E116="Y", F116="Y"), "Expressed", "N")</f>
        <v>Expressed</v>
      </c>
      <c r="I116" s="20">
        <v>2891</v>
      </c>
      <c r="J116" s="20">
        <v>32.450455917117509</v>
      </c>
      <c r="K116" s="20">
        <v>7592</v>
      </c>
      <c r="L116" s="20">
        <v>47.759826733681692</v>
      </c>
      <c r="M116" s="20">
        <v>10948</v>
      </c>
      <c r="N116" s="20">
        <v>62.727055369160702</v>
      </c>
      <c r="O116" s="20">
        <v>3489</v>
      </c>
      <c r="P116" s="20">
        <v>56.048038535885993</v>
      </c>
      <c r="Q116" s="20">
        <v>6119</v>
      </c>
      <c r="R116" s="20">
        <v>92.458749515984294</v>
      </c>
      <c r="S116" s="20">
        <v>6994</v>
      </c>
      <c r="T116" s="20">
        <v>69.250879998064633</v>
      </c>
      <c r="U116" s="20">
        <v>3757</v>
      </c>
      <c r="V116" s="20">
        <v>88.575429344157882</v>
      </c>
      <c r="W116" s="20">
        <v>7918</v>
      </c>
      <c r="X116" s="20">
        <v>54.021736763636987</v>
      </c>
      <c r="Y116" s="20">
        <v>5943.2679876212806</v>
      </c>
      <c r="Z116" s="20">
        <v>0.74037237549521984</v>
      </c>
      <c r="AA116" s="20">
        <v>0.19844971181464821</v>
      </c>
      <c r="AB116" s="20">
        <v>3.7307808044928108</v>
      </c>
      <c r="AC116" s="20">
        <v>1.9088725164031559E-4</v>
      </c>
      <c r="AD116" s="20">
        <v>3.2854043818414752E-2</v>
      </c>
      <c r="AE116" s="20" t="s">
        <v>4323</v>
      </c>
      <c r="AF116" s="20" t="s">
        <v>4324</v>
      </c>
      <c r="AG116" s="20" t="s">
        <v>4325</v>
      </c>
      <c r="AH116" s="20" t="s">
        <v>4326</v>
      </c>
      <c r="AI116" s="20" t="s">
        <v>43</v>
      </c>
      <c r="AJ116" s="20" t="s">
        <v>43</v>
      </c>
      <c r="AK116" s="20" t="s">
        <v>43</v>
      </c>
      <c r="AL116" s="20" t="s">
        <v>43</v>
      </c>
      <c r="AM116" s="20" t="s">
        <v>43</v>
      </c>
      <c r="AN116" s="20" t="s">
        <v>4327</v>
      </c>
      <c r="AO116" s="20" t="s">
        <v>43</v>
      </c>
    </row>
    <row r="117" spans="1:41" s="9" customFormat="1" x14ac:dyDescent="0.3">
      <c r="A117" s="20" t="s">
        <v>4328</v>
      </c>
      <c r="B117" s="20">
        <v>231</v>
      </c>
      <c r="C117" s="20" t="str">
        <f>IF(Z117&lt;0, "Down", "Up")</f>
        <v>Up</v>
      </c>
      <c r="D117" s="21" t="str">
        <f>IF(AD117&lt;0.05, "Sig", "N")</f>
        <v>Sig</v>
      </c>
      <c r="E117" s="22" t="str">
        <f>IF(AND(J117&gt;2,L117&gt;2,N117&gt;2,P117&gt;2),"Y","N")</f>
        <v>Y</v>
      </c>
      <c r="F117" s="22" t="str">
        <f>IF(AND(R117&gt;2,T117&gt;2,V117&gt;2,X117&gt;2),"Y","N")</f>
        <v>Y</v>
      </c>
      <c r="G117" s="21" t="str">
        <f>IF(AVERAGE(J117,L117,N117,P117) &gt; AVERAGE(R117,T117,V117,X117), "Smaller", IF(AVERAGE(J117,L117,N117,P117) &lt; AVERAGE(R117,T117,V117,X117), "Larger", "Equal"))</f>
        <v>Larger</v>
      </c>
      <c r="H117" s="22" t="str">
        <f>IF(OR(E117="Y", F117="Y"), "Expressed", "N")</f>
        <v>Expressed</v>
      </c>
      <c r="I117" s="20">
        <v>31</v>
      </c>
      <c r="J117" s="20">
        <v>2.4749132944704439</v>
      </c>
      <c r="K117" s="20">
        <v>64</v>
      </c>
      <c r="L117" s="20">
        <v>2.8635983312920512</v>
      </c>
      <c r="M117" s="20">
        <v>54</v>
      </c>
      <c r="N117" s="20">
        <v>2.2005916226026678</v>
      </c>
      <c r="O117" s="20">
        <v>26</v>
      </c>
      <c r="P117" s="20">
        <v>2.9706971572697589</v>
      </c>
      <c r="Q117" s="20">
        <v>49</v>
      </c>
      <c r="R117" s="20">
        <v>5.2661015029358902</v>
      </c>
      <c r="S117" s="20">
        <v>74</v>
      </c>
      <c r="T117" s="20">
        <v>5.2114307575477152</v>
      </c>
      <c r="U117" s="20">
        <v>24</v>
      </c>
      <c r="V117" s="20">
        <v>4.0244718717255452</v>
      </c>
      <c r="W117" s="20">
        <v>90</v>
      </c>
      <c r="X117" s="20">
        <v>4.3673815785169214</v>
      </c>
      <c r="Y117" s="20">
        <v>49.390947950514622</v>
      </c>
      <c r="Z117" s="20">
        <v>1.001867124522265</v>
      </c>
      <c r="AA117" s="20">
        <v>0.2744883278353345</v>
      </c>
      <c r="AB117" s="20">
        <v>3.6499443616534561</v>
      </c>
      <c r="AC117" s="20">
        <v>2.6229711746337322E-4</v>
      </c>
      <c r="AD117" s="20">
        <v>4.1632583247020717E-2</v>
      </c>
      <c r="AE117" s="20" t="s">
        <v>4329</v>
      </c>
      <c r="AF117" s="20" t="s">
        <v>4330</v>
      </c>
      <c r="AG117" s="20" t="s">
        <v>43</v>
      </c>
      <c r="AH117" s="20" t="s">
        <v>43</v>
      </c>
      <c r="AI117" s="20" t="s">
        <v>43</v>
      </c>
      <c r="AJ117" s="20" t="s">
        <v>43</v>
      </c>
      <c r="AK117" s="20" t="s">
        <v>43</v>
      </c>
      <c r="AL117" s="20" t="s">
        <v>43</v>
      </c>
      <c r="AM117" s="20" t="s">
        <v>43</v>
      </c>
      <c r="AN117" s="20" t="s">
        <v>43</v>
      </c>
      <c r="AO117" s="20" t="s">
        <v>43</v>
      </c>
    </row>
    <row r="118" spans="1:41" s="9" customFormat="1" x14ac:dyDescent="0.3">
      <c r="A118" s="20" t="s">
        <v>4331</v>
      </c>
      <c r="B118" s="20">
        <v>2695</v>
      </c>
      <c r="C118" s="20" t="str">
        <f>IF(Z118&lt;0, "Down", "Up")</f>
        <v>Up</v>
      </c>
      <c r="D118" s="21" t="str">
        <f>IF(AD118&lt;0.05, "Sig", "N")</f>
        <v>Sig</v>
      </c>
      <c r="E118" s="22" t="str">
        <f>IF(AND(J118&gt;2,L118&gt;2,N118&gt;2,P118&gt;2),"Y","N")</f>
        <v>Y</v>
      </c>
      <c r="F118" s="22" t="str">
        <f>IF(AND(R118&gt;2,T118&gt;2,V118&gt;2,X118&gt;2),"Y","N")</f>
        <v>Y</v>
      </c>
      <c r="G118" s="21" t="str">
        <f>IF(AVERAGE(J118,L118,N118,P118) &gt; AVERAGE(R118,T118,V118,X118), "Smaller", IF(AVERAGE(J118,L118,N118,P118) &lt; AVERAGE(R118,T118,V118,X118), "Larger", "Equal"))</f>
        <v>Larger</v>
      </c>
      <c r="H118" s="22" t="str">
        <f>IF(OR(E118="Y", F118="Y"), "Expressed", "N")</f>
        <v>Expressed</v>
      </c>
      <c r="I118" s="20">
        <v>1116</v>
      </c>
      <c r="J118" s="20">
        <v>7.6368753086516552</v>
      </c>
      <c r="K118" s="20">
        <v>1888</v>
      </c>
      <c r="L118" s="20">
        <v>7.2408129234099006</v>
      </c>
      <c r="M118" s="20">
        <v>2342</v>
      </c>
      <c r="N118" s="20">
        <v>8.1806120319610294</v>
      </c>
      <c r="O118" s="20">
        <v>930</v>
      </c>
      <c r="P118" s="20">
        <v>9.1079616140468431</v>
      </c>
      <c r="Q118" s="20">
        <v>1143</v>
      </c>
      <c r="R118" s="20">
        <v>10.52913239275053</v>
      </c>
      <c r="S118" s="20">
        <v>1833</v>
      </c>
      <c r="T118" s="20">
        <v>11.064732716507679</v>
      </c>
      <c r="U118" s="20">
        <v>664</v>
      </c>
      <c r="V118" s="20">
        <v>9.543747581520579</v>
      </c>
      <c r="W118" s="20">
        <v>2570</v>
      </c>
      <c r="X118" s="20">
        <v>10.689686339798561</v>
      </c>
      <c r="Y118" s="20">
        <v>1443.3411601234329</v>
      </c>
      <c r="Z118" s="20">
        <v>0.51520020332441352</v>
      </c>
      <c r="AA118" s="20">
        <v>0.12797999863630599</v>
      </c>
      <c r="AB118" s="20">
        <v>4.0256306361473806</v>
      </c>
      <c r="AC118" s="20">
        <v>5.6822823571719671E-5</v>
      </c>
      <c r="AD118" s="20">
        <v>1.5600699942196251E-2</v>
      </c>
      <c r="AE118" s="20" t="s">
        <v>4332</v>
      </c>
      <c r="AF118" s="20" t="s">
        <v>4333</v>
      </c>
      <c r="AG118" s="20" t="s">
        <v>4334</v>
      </c>
      <c r="AH118" s="20" t="s">
        <v>4335</v>
      </c>
      <c r="AI118" s="20" t="s">
        <v>43</v>
      </c>
      <c r="AJ118" s="20" t="s">
        <v>43</v>
      </c>
      <c r="AK118" s="20" t="s">
        <v>43</v>
      </c>
      <c r="AL118" s="20" t="s">
        <v>43</v>
      </c>
      <c r="AM118" s="20" t="s">
        <v>43</v>
      </c>
      <c r="AN118" s="20" t="s">
        <v>4336</v>
      </c>
      <c r="AO118" s="20" t="s">
        <v>43</v>
      </c>
    </row>
    <row r="119" spans="1:41" s="9" customFormat="1" x14ac:dyDescent="0.3">
      <c r="A119" s="20" t="s">
        <v>329</v>
      </c>
      <c r="B119" s="20">
        <v>1968</v>
      </c>
      <c r="C119" s="20" t="str">
        <f>IF(Z119&lt;0, "Down", "Up")</f>
        <v>Up</v>
      </c>
      <c r="D119" s="21" t="str">
        <f>IF(AD119&lt;0.05, "Sig", "N")</f>
        <v>Sig</v>
      </c>
      <c r="E119" s="22" t="str">
        <f>IF(AND(J119&gt;2,L119&gt;2,N119&gt;2,P119&gt;2),"Y","N")</f>
        <v>Y</v>
      </c>
      <c r="F119" s="22" t="str">
        <f>IF(AND(R119&gt;2,T119&gt;2,V119&gt;2,X119&gt;2),"Y","N")</f>
        <v>Y</v>
      </c>
      <c r="G119" s="21" t="str">
        <f>IF(AVERAGE(J119,L119,N119,P119) &gt; AVERAGE(R119,T119,V119,X119), "Smaller", IF(AVERAGE(J119,L119,N119,P119) &lt; AVERAGE(R119,T119,V119,X119), "Larger", "Equal"))</f>
        <v>Larger</v>
      </c>
      <c r="H119" s="22" t="str">
        <f>IF(OR(E119="Y", F119="Y"), "Expressed", "N")</f>
        <v>Expressed</v>
      </c>
      <c r="I119" s="20">
        <v>745</v>
      </c>
      <c r="J119" s="20">
        <v>6.9813828253981614</v>
      </c>
      <c r="K119" s="20">
        <v>1748</v>
      </c>
      <c r="L119" s="20">
        <v>9.1803754048824544</v>
      </c>
      <c r="M119" s="20">
        <v>1277</v>
      </c>
      <c r="N119" s="20">
        <v>6.1083438815181159</v>
      </c>
      <c r="O119" s="20">
        <v>378</v>
      </c>
      <c r="P119" s="20">
        <v>5.0694835517995784</v>
      </c>
      <c r="Q119" s="20">
        <v>1275</v>
      </c>
      <c r="R119" s="20">
        <v>16.083857486645439</v>
      </c>
      <c r="S119" s="20">
        <v>1939</v>
      </c>
      <c r="T119" s="20">
        <v>16.02839169401258</v>
      </c>
      <c r="U119" s="20">
        <v>376</v>
      </c>
      <c r="V119" s="20">
        <v>7.4006929389099323</v>
      </c>
      <c r="W119" s="20">
        <v>2737</v>
      </c>
      <c r="X119" s="20">
        <v>15.589791671593201</v>
      </c>
      <c r="Y119" s="20">
        <v>1189.965073983351</v>
      </c>
      <c r="Z119" s="20">
        <v>1.14707747653005</v>
      </c>
      <c r="AA119" s="20">
        <v>0.27697092583416238</v>
      </c>
      <c r="AB119" s="20">
        <v>4.1415086189113879</v>
      </c>
      <c r="AC119" s="20">
        <v>3.450289051689446E-5</v>
      </c>
      <c r="AD119" s="20">
        <v>1.121692455844695E-2</v>
      </c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s="9" customFormat="1" x14ac:dyDescent="0.3">
      <c r="A120" s="20" t="s">
        <v>4337</v>
      </c>
      <c r="B120" s="20">
        <v>2232</v>
      </c>
      <c r="C120" s="20" t="str">
        <f>IF(Z120&lt;0, "Down", "Up")</f>
        <v>Up</v>
      </c>
      <c r="D120" s="21" t="str">
        <f>IF(AD120&lt;0.05, "Sig", "N")</f>
        <v>Sig</v>
      </c>
      <c r="E120" s="22" t="str">
        <f>IF(AND(J120&gt;2,L120&gt;2,N120&gt;2,P120&gt;2),"Y","N")</f>
        <v>Y</v>
      </c>
      <c r="F120" s="22" t="str">
        <f>IF(AND(R120&gt;2,T120&gt;2,V120&gt;2,X120&gt;2),"Y","N")</f>
        <v>Y</v>
      </c>
      <c r="G120" s="21" t="str">
        <f>IF(AVERAGE(J120,L120,N120,P120) &gt; AVERAGE(R120,T120,V120,X120), "Smaller", IF(AVERAGE(J120,L120,N120,P120) &lt; AVERAGE(R120,T120,V120,X120), "Larger", "Equal"))</f>
        <v>Larger</v>
      </c>
      <c r="H120" s="22" t="str">
        <f>IF(OR(E120="Y", F120="Y"), "Expressed", "N")</f>
        <v>Expressed</v>
      </c>
      <c r="I120" s="20">
        <v>714</v>
      </c>
      <c r="J120" s="20">
        <v>5.8994876475631308</v>
      </c>
      <c r="K120" s="20">
        <v>603</v>
      </c>
      <c r="L120" s="20">
        <v>2.7923331258447002</v>
      </c>
      <c r="M120" s="20">
        <v>664</v>
      </c>
      <c r="N120" s="20">
        <v>2.800474125856959</v>
      </c>
      <c r="O120" s="20">
        <v>265</v>
      </c>
      <c r="P120" s="20">
        <v>3.1336370706208352</v>
      </c>
      <c r="Q120" s="20">
        <v>563</v>
      </c>
      <c r="R120" s="20">
        <v>6.2620903624581352</v>
      </c>
      <c r="S120" s="20">
        <v>1107</v>
      </c>
      <c r="T120" s="20">
        <v>8.0684602285420244</v>
      </c>
      <c r="U120" s="20">
        <v>383</v>
      </c>
      <c r="V120" s="20">
        <v>6.6468245950413332</v>
      </c>
      <c r="W120" s="20">
        <v>1582</v>
      </c>
      <c r="X120" s="20">
        <v>7.9451645699740174</v>
      </c>
      <c r="Y120" s="20">
        <v>715.93256708175568</v>
      </c>
      <c r="Z120" s="20">
        <v>1.094862965983179</v>
      </c>
      <c r="AA120" s="20">
        <v>0.28642490741948362</v>
      </c>
      <c r="AB120" s="20">
        <v>3.822513118175499</v>
      </c>
      <c r="AC120" s="20">
        <v>1.3209844863818E-4</v>
      </c>
      <c r="AD120" s="20">
        <v>2.5307074817975141E-2</v>
      </c>
      <c r="AE120" s="20" t="s">
        <v>4338</v>
      </c>
      <c r="AF120" s="20" t="s">
        <v>4339</v>
      </c>
      <c r="AG120" s="20" t="s">
        <v>4340</v>
      </c>
      <c r="AH120" s="20" t="s">
        <v>4341</v>
      </c>
      <c r="AI120" s="20" t="s">
        <v>43</v>
      </c>
      <c r="AJ120" s="20" t="s">
        <v>43</v>
      </c>
      <c r="AK120" s="20" t="s">
        <v>43</v>
      </c>
      <c r="AL120" s="20" t="s">
        <v>43</v>
      </c>
      <c r="AM120" s="20" t="s">
        <v>43</v>
      </c>
      <c r="AN120" s="20" t="s">
        <v>4342</v>
      </c>
      <c r="AO120" s="20" t="s">
        <v>43</v>
      </c>
    </row>
    <row r="121" spans="1:41" s="9" customFormat="1" x14ac:dyDescent="0.3">
      <c r="A121" s="20" t="s">
        <v>4343</v>
      </c>
      <c r="B121" s="20">
        <v>2330</v>
      </c>
      <c r="C121" s="20" t="str">
        <f>IF(Z121&lt;0, "Down", "Up")</f>
        <v>Up</v>
      </c>
      <c r="D121" s="21" t="str">
        <f>IF(AD121&lt;0.05, "Sig", "N")</f>
        <v>Sig</v>
      </c>
      <c r="E121" s="22" t="str">
        <f>IF(AND(J121&gt;2,L121&gt;2,N121&gt;2,P121&gt;2),"Y","N")</f>
        <v>Y</v>
      </c>
      <c r="F121" s="22" t="str">
        <f>IF(AND(R121&gt;2,T121&gt;2,V121&gt;2,X121&gt;2),"Y","N")</f>
        <v>Y</v>
      </c>
      <c r="G121" s="21" t="str">
        <f>IF(AVERAGE(J121,L121,N121,P121) &gt; AVERAGE(R121,T121,V121,X121), "Smaller", IF(AVERAGE(J121,L121,N121,P121) &lt; AVERAGE(R121,T121,V121,X121), "Larger", "Equal"))</f>
        <v>Larger</v>
      </c>
      <c r="H121" s="22" t="str">
        <f>IF(OR(E121="Y", F121="Y"), "Expressed", "N")</f>
        <v>Expressed</v>
      </c>
      <c r="I121" s="20">
        <v>5463</v>
      </c>
      <c r="J121" s="20">
        <v>43.23998694028603</v>
      </c>
      <c r="K121" s="20">
        <v>10844</v>
      </c>
      <c r="L121" s="20">
        <v>48.103612730329012</v>
      </c>
      <c r="M121" s="20">
        <v>14022</v>
      </c>
      <c r="N121" s="20">
        <v>56.651539613122672</v>
      </c>
      <c r="O121" s="20">
        <v>3733</v>
      </c>
      <c r="P121" s="20">
        <v>42.286241082012722</v>
      </c>
      <c r="Q121" s="20">
        <v>6758</v>
      </c>
      <c r="R121" s="20">
        <v>72.005785443025417</v>
      </c>
      <c r="S121" s="20">
        <v>8488</v>
      </c>
      <c r="T121" s="20">
        <v>59.263416114052987</v>
      </c>
      <c r="U121" s="20">
        <v>4221</v>
      </c>
      <c r="V121" s="20">
        <v>70.172841970634195</v>
      </c>
      <c r="W121" s="20">
        <v>11122</v>
      </c>
      <c r="X121" s="20">
        <v>53.507859507187703</v>
      </c>
      <c r="Y121" s="20">
        <v>7477.1336636827582</v>
      </c>
      <c r="Z121" s="20">
        <v>0.54378982643459883</v>
      </c>
      <c r="AA121" s="20">
        <v>0.1255756420138151</v>
      </c>
      <c r="AB121" s="20">
        <v>4.3303766376505912</v>
      </c>
      <c r="AC121" s="20">
        <v>1.4885451931489811E-5</v>
      </c>
      <c r="AD121" s="20">
        <v>6.4741658164189147E-3</v>
      </c>
      <c r="AE121" s="20" t="s">
        <v>4344</v>
      </c>
      <c r="AF121" s="20" t="s">
        <v>4345</v>
      </c>
      <c r="AG121" s="20" t="s">
        <v>4346</v>
      </c>
      <c r="AH121" s="20" t="s">
        <v>4347</v>
      </c>
      <c r="AI121" s="20" t="s">
        <v>43</v>
      </c>
      <c r="AJ121" s="20" t="s">
        <v>43</v>
      </c>
      <c r="AK121" s="20" t="s">
        <v>43</v>
      </c>
      <c r="AL121" s="20" t="s">
        <v>43</v>
      </c>
      <c r="AM121" s="20" t="s">
        <v>43</v>
      </c>
      <c r="AN121" s="20" t="s">
        <v>4348</v>
      </c>
      <c r="AO121" s="20" t="s">
        <v>43</v>
      </c>
    </row>
    <row r="122" spans="1:41" s="9" customFormat="1" x14ac:dyDescent="0.3">
      <c r="A122" s="20" t="s">
        <v>4349</v>
      </c>
      <c r="B122" s="20">
        <v>3093</v>
      </c>
      <c r="C122" s="20" t="str">
        <f>IF(Z122&lt;0, "Down", "Up")</f>
        <v>Up</v>
      </c>
      <c r="D122" s="21" t="str">
        <f>IF(AD122&lt;0.05, "Sig", "N")</f>
        <v>Sig</v>
      </c>
      <c r="E122" s="22" t="str">
        <f>IF(AND(J122&gt;2,L122&gt;2,N122&gt;2,P122&gt;2),"Y","N")</f>
        <v>Y</v>
      </c>
      <c r="F122" s="22" t="str">
        <f>IF(AND(R122&gt;2,T122&gt;2,V122&gt;2,X122&gt;2),"Y","N")</f>
        <v>Y</v>
      </c>
      <c r="G122" s="21" t="str">
        <f>IF(AVERAGE(J122,L122,N122,P122) &gt; AVERAGE(R122,T122,V122,X122), "Smaller", IF(AVERAGE(J122,L122,N122,P122) &lt; AVERAGE(R122,T122,V122,X122), "Larger", "Equal"))</f>
        <v>Larger</v>
      </c>
      <c r="H122" s="22" t="str">
        <f>IF(OR(E122="Y", F122="Y"), "Expressed", "N")</f>
        <v>Expressed</v>
      </c>
      <c r="I122" s="20">
        <v>3364</v>
      </c>
      <c r="J122" s="20">
        <v>20.05794064140953</v>
      </c>
      <c r="K122" s="20">
        <v>5991</v>
      </c>
      <c r="L122" s="20">
        <v>20.01997386356302</v>
      </c>
      <c r="M122" s="20">
        <v>6973</v>
      </c>
      <c r="N122" s="20">
        <v>21.222542921281871</v>
      </c>
      <c r="O122" s="20">
        <v>2262</v>
      </c>
      <c r="P122" s="20">
        <v>19.302328085887599</v>
      </c>
      <c r="Q122" s="20">
        <v>3568</v>
      </c>
      <c r="R122" s="20">
        <v>28.638485767940669</v>
      </c>
      <c r="S122" s="20">
        <v>4135</v>
      </c>
      <c r="T122" s="20">
        <v>21.748676121967719</v>
      </c>
      <c r="U122" s="20">
        <v>2198</v>
      </c>
      <c r="V122" s="20">
        <v>27.52690617531772</v>
      </c>
      <c r="W122" s="20">
        <v>6526</v>
      </c>
      <c r="X122" s="20">
        <v>23.651449272205081</v>
      </c>
      <c r="Y122" s="20">
        <v>4063.7518090447161</v>
      </c>
      <c r="Z122" s="20">
        <v>0.45373729993450962</v>
      </c>
      <c r="AA122" s="20">
        <v>0.10903203883953071</v>
      </c>
      <c r="AB122" s="20">
        <v>4.1615043134459171</v>
      </c>
      <c r="AC122" s="20">
        <v>3.1615802519373622E-5</v>
      </c>
      <c r="AD122" s="20">
        <v>1.0490253650371539E-2</v>
      </c>
      <c r="AE122" s="20" t="s">
        <v>4350</v>
      </c>
      <c r="AF122" s="20" t="s">
        <v>4351</v>
      </c>
      <c r="AG122" s="20" t="s">
        <v>43</v>
      </c>
      <c r="AH122" s="20" t="s">
        <v>4352</v>
      </c>
      <c r="AI122" s="20" t="s">
        <v>43</v>
      </c>
      <c r="AJ122" s="20" t="s">
        <v>43</v>
      </c>
      <c r="AK122" s="20" t="s">
        <v>43</v>
      </c>
      <c r="AL122" s="20" t="s">
        <v>43</v>
      </c>
      <c r="AM122" s="20" t="s">
        <v>43</v>
      </c>
      <c r="AN122" s="20" t="s">
        <v>4353</v>
      </c>
      <c r="AO122" s="20" t="s">
        <v>4354</v>
      </c>
    </row>
    <row r="123" spans="1:41" s="9" customFormat="1" x14ac:dyDescent="0.3">
      <c r="A123" s="20" t="s">
        <v>357</v>
      </c>
      <c r="B123" s="20">
        <v>1700</v>
      </c>
      <c r="C123" s="20" t="str">
        <f>IF(Z123&lt;0, "Down", "Up")</f>
        <v>Up</v>
      </c>
      <c r="D123" s="21" t="str">
        <f>IF(AD123&lt;0.05, "Sig", "N")</f>
        <v>Sig</v>
      </c>
      <c r="E123" s="22" t="str">
        <f>IF(AND(J123&gt;2,L123&gt;2,N123&gt;2,P123&gt;2),"Y","N")</f>
        <v>Y</v>
      </c>
      <c r="F123" s="22" t="str">
        <f>IF(AND(R123&gt;2,T123&gt;2,V123&gt;2,X123&gt;2),"Y","N")</f>
        <v>Y</v>
      </c>
      <c r="G123" s="21" t="str">
        <f>IF(AVERAGE(J123,L123,N123,P123) &gt; AVERAGE(R123,T123,V123,X123), "Smaller", IF(AVERAGE(J123,L123,N123,P123) &lt; AVERAGE(R123,T123,V123,X123), "Larger", "Equal"))</f>
        <v>Larger</v>
      </c>
      <c r="H123" s="22" t="str">
        <f>IF(OR(E123="Y", F123="Y"), "Expressed", "N")</f>
        <v>Expressed</v>
      </c>
      <c r="I123" s="20">
        <v>667</v>
      </c>
      <c r="J123" s="20">
        <v>7.2358105440630469</v>
      </c>
      <c r="K123" s="20">
        <v>1138</v>
      </c>
      <c r="L123" s="20">
        <v>6.9189062696083807</v>
      </c>
      <c r="M123" s="20">
        <v>1605</v>
      </c>
      <c r="N123" s="20">
        <v>8.8875854797173446</v>
      </c>
      <c r="O123" s="20">
        <v>279</v>
      </c>
      <c r="P123" s="20">
        <v>4.3316393911511017</v>
      </c>
      <c r="Q123" s="20">
        <v>9322</v>
      </c>
      <c r="R123" s="20">
        <v>136.1335916758114</v>
      </c>
      <c r="S123" s="20">
        <v>18927</v>
      </c>
      <c r="T123" s="20">
        <v>181.12153607323049</v>
      </c>
      <c r="U123" s="20">
        <v>1769</v>
      </c>
      <c r="V123" s="20">
        <v>40.307749048775861</v>
      </c>
      <c r="W123" s="20">
        <v>38184</v>
      </c>
      <c r="X123" s="20">
        <v>251.78108943029289</v>
      </c>
      <c r="Y123" s="20">
        <v>8270.7689823977416</v>
      </c>
      <c r="Z123" s="20">
        <v>4.6313828018346372</v>
      </c>
      <c r="AA123" s="20">
        <v>0.57032271014228086</v>
      </c>
      <c r="AB123" s="20">
        <v>8.1206354217934376</v>
      </c>
      <c r="AC123" s="20">
        <v>4.6374918433249691E-16</v>
      </c>
      <c r="AD123" s="20">
        <v>7.4628837488707062E-12</v>
      </c>
      <c r="AE123" s="20" t="s">
        <v>358</v>
      </c>
      <c r="AF123" s="20" t="s">
        <v>359</v>
      </c>
      <c r="AG123" s="20" t="s">
        <v>360</v>
      </c>
      <c r="AH123" s="20" t="s">
        <v>361</v>
      </c>
      <c r="AI123" s="20" t="s">
        <v>43</v>
      </c>
      <c r="AJ123" s="20" t="s">
        <v>43</v>
      </c>
      <c r="AK123" s="20" t="s">
        <v>43</v>
      </c>
      <c r="AL123" s="20" t="s">
        <v>43</v>
      </c>
      <c r="AM123" s="20" t="s">
        <v>43</v>
      </c>
      <c r="AN123" s="20" t="s">
        <v>362</v>
      </c>
      <c r="AO123" s="20" t="s">
        <v>43</v>
      </c>
    </row>
    <row r="124" spans="1:41" s="9" customFormat="1" x14ac:dyDescent="0.3">
      <c r="A124" s="20" t="s">
        <v>363</v>
      </c>
      <c r="B124" s="20">
        <v>684</v>
      </c>
      <c r="C124" s="20" t="str">
        <f>IF(Z124&lt;0, "Down", "Up")</f>
        <v>Up</v>
      </c>
      <c r="D124" s="21" t="str">
        <f>IF(AD124&lt;0.05, "Sig", "N")</f>
        <v>Sig</v>
      </c>
      <c r="E124" s="22" t="str">
        <f>IF(AND(J124&gt;2,L124&gt;2,N124&gt;2,P124&gt;2),"Y","N")</f>
        <v>Y</v>
      </c>
      <c r="F124" s="22" t="str">
        <f>IF(AND(R124&gt;2,T124&gt;2,V124&gt;2,X124&gt;2),"Y","N")</f>
        <v>Y</v>
      </c>
      <c r="G124" s="21" t="str">
        <f>IF(AVERAGE(J124,L124,N124,P124) &gt; AVERAGE(R124,T124,V124,X124), "Smaller", IF(AVERAGE(J124,L124,N124,P124) &lt; AVERAGE(R124,T124,V124,X124), "Larger", "Equal"))</f>
        <v>Larger</v>
      </c>
      <c r="H124" s="22" t="str">
        <f>IF(OR(E124="Y", F124="Y"), "Expressed", "N")</f>
        <v>Expressed</v>
      </c>
      <c r="I124" s="20">
        <v>732</v>
      </c>
      <c r="J124" s="20">
        <v>19.736278003612352</v>
      </c>
      <c r="K124" s="20">
        <v>745</v>
      </c>
      <c r="L124" s="20">
        <v>11.25756018877251</v>
      </c>
      <c r="M124" s="20">
        <v>622</v>
      </c>
      <c r="N124" s="20">
        <v>8.5603586072881885</v>
      </c>
      <c r="O124" s="20">
        <v>369</v>
      </c>
      <c r="P124" s="20">
        <v>14.23859958324994</v>
      </c>
      <c r="Q124" s="20">
        <v>3015</v>
      </c>
      <c r="R124" s="20">
        <v>109.4299851784892</v>
      </c>
      <c r="S124" s="20">
        <v>4417</v>
      </c>
      <c r="T124" s="20">
        <v>105.0530170411804</v>
      </c>
      <c r="U124" s="20">
        <v>481</v>
      </c>
      <c r="V124" s="20">
        <v>27.23946723558096</v>
      </c>
      <c r="W124" s="20">
        <v>8941</v>
      </c>
      <c r="X124" s="20">
        <v>146.52799314819799</v>
      </c>
      <c r="Y124" s="20">
        <v>2282.8501064961301</v>
      </c>
      <c r="Z124" s="20">
        <v>2.9820393615408829</v>
      </c>
      <c r="AA124" s="20">
        <v>0.56399622764498025</v>
      </c>
      <c r="AB124" s="20">
        <v>5.2873391972720656</v>
      </c>
      <c r="AC124" s="20">
        <v>1.2410837721900641E-7</v>
      </c>
      <c r="AD124" s="20">
        <v>1.9972140603968609E-4</v>
      </c>
      <c r="AE124" s="20" t="s">
        <v>364</v>
      </c>
      <c r="AF124" s="20" t="s">
        <v>365</v>
      </c>
      <c r="AG124" s="20" t="s">
        <v>120</v>
      </c>
      <c r="AH124" s="20" t="s">
        <v>43</v>
      </c>
      <c r="AI124" s="20" t="s">
        <v>43</v>
      </c>
      <c r="AJ124" s="20" t="s">
        <v>43</v>
      </c>
      <c r="AK124" s="20" t="s">
        <v>43</v>
      </c>
      <c r="AL124" s="20" t="s">
        <v>43</v>
      </c>
      <c r="AM124" s="20" t="s">
        <v>43</v>
      </c>
      <c r="AN124" s="20" t="s">
        <v>43</v>
      </c>
      <c r="AO124" s="20" t="s">
        <v>43</v>
      </c>
    </row>
    <row r="125" spans="1:41" s="9" customFormat="1" x14ac:dyDescent="0.3">
      <c r="A125" s="20" t="s">
        <v>4355</v>
      </c>
      <c r="B125" s="20">
        <v>2865</v>
      </c>
      <c r="C125" s="20" t="str">
        <f>IF(Z125&lt;0, "Down", "Up")</f>
        <v>Up</v>
      </c>
      <c r="D125" s="21" t="str">
        <f>IF(AD125&lt;0.05, "Sig", "N")</f>
        <v>Sig</v>
      </c>
      <c r="E125" s="22" t="str">
        <f>IF(AND(J125&gt;2,L125&gt;2,N125&gt;2,P125&gt;2),"Y","N")</f>
        <v>Y</v>
      </c>
      <c r="F125" s="22" t="str">
        <f>IF(AND(R125&gt;2,T125&gt;2,V125&gt;2,X125&gt;2),"Y","N")</f>
        <v>Y</v>
      </c>
      <c r="G125" s="21" t="str">
        <f>IF(AVERAGE(J125,L125,N125,P125) &gt; AVERAGE(R125,T125,V125,X125), "Smaller", IF(AVERAGE(J125,L125,N125,P125) &lt; AVERAGE(R125,T125,V125,X125), "Larger", "Equal"))</f>
        <v>Larger</v>
      </c>
      <c r="H125" s="22" t="str">
        <f>IF(OR(E125="Y", F125="Y"), "Expressed", "N")</f>
        <v>Expressed</v>
      </c>
      <c r="I125" s="20">
        <v>1355</v>
      </c>
      <c r="J125" s="20">
        <v>8.7221779624581579</v>
      </c>
      <c r="K125" s="20">
        <v>2542</v>
      </c>
      <c r="L125" s="20">
        <v>9.1705424701753664</v>
      </c>
      <c r="M125" s="20">
        <v>3025</v>
      </c>
      <c r="N125" s="20">
        <v>9.9393601647222507</v>
      </c>
      <c r="O125" s="20">
        <v>1022</v>
      </c>
      <c r="P125" s="20">
        <v>9.4150641197819738</v>
      </c>
      <c r="Q125" s="20">
        <v>1392</v>
      </c>
      <c r="R125" s="20">
        <v>12.06201140059153</v>
      </c>
      <c r="S125" s="20">
        <v>1789</v>
      </c>
      <c r="T125" s="20">
        <v>10.15834471691624</v>
      </c>
      <c r="U125" s="20">
        <v>844</v>
      </c>
      <c r="V125" s="20">
        <v>11.411098516566311</v>
      </c>
      <c r="W125" s="20">
        <v>2538</v>
      </c>
      <c r="X125" s="20">
        <v>9.9301909524519818</v>
      </c>
      <c r="Y125" s="20">
        <v>1666.537109506464</v>
      </c>
      <c r="Z125" s="20">
        <v>0.34935138662940468</v>
      </c>
      <c r="AA125" s="20">
        <v>8.8907355956182987E-2</v>
      </c>
      <c r="AB125" s="20">
        <v>3.929386751773146</v>
      </c>
      <c r="AC125" s="20">
        <v>8.5162772967742285E-5</v>
      </c>
      <c r="AD125" s="20">
        <v>1.9578313199762751E-2</v>
      </c>
      <c r="AE125" s="20" t="s">
        <v>4356</v>
      </c>
      <c r="AF125" s="20" t="s">
        <v>4357</v>
      </c>
      <c r="AG125" s="20" t="s">
        <v>4358</v>
      </c>
      <c r="AH125" s="20" t="s">
        <v>4359</v>
      </c>
      <c r="AI125" s="20" t="s">
        <v>43</v>
      </c>
      <c r="AJ125" s="20" t="s">
        <v>43</v>
      </c>
      <c r="AK125" s="20" t="s">
        <v>43</v>
      </c>
      <c r="AL125" s="20" t="s">
        <v>43</v>
      </c>
      <c r="AM125" s="20" t="s">
        <v>43</v>
      </c>
      <c r="AN125" s="20" t="s">
        <v>4360</v>
      </c>
      <c r="AO125" s="20" t="s">
        <v>43</v>
      </c>
    </row>
    <row r="126" spans="1:41" s="9" customFormat="1" x14ac:dyDescent="0.3">
      <c r="A126" s="20" t="s">
        <v>4361</v>
      </c>
      <c r="B126" s="20">
        <v>3016</v>
      </c>
      <c r="C126" s="20" t="str">
        <f>IF(Z126&lt;0, "Down", "Up")</f>
        <v>Up</v>
      </c>
      <c r="D126" s="21" t="str">
        <f>IF(AD126&lt;0.05, "Sig", "N")</f>
        <v>Sig</v>
      </c>
      <c r="E126" s="22" t="str">
        <f>IF(AND(J126&gt;2,L126&gt;2,N126&gt;2,P126&gt;2),"Y","N")</f>
        <v>Y</v>
      </c>
      <c r="F126" s="22" t="str">
        <f>IF(AND(R126&gt;2,T126&gt;2,V126&gt;2,X126&gt;2),"Y","N")</f>
        <v>Y</v>
      </c>
      <c r="G126" s="21" t="str">
        <f>IF(AVERAGE(J126,L126,N126,P126) &gt; AVERAGE(R126,T126,V126,X126), "Smaller", IF(AVERAGE(J126,L126,N126,P126) &lt; AVERAGE(R126,T126,V126,X126), "Larger", "Equal"))</f>
        <v>Larger</v>
      </c>
      <c r="H126" s="22" t="str">
        <f>IF(OR(E126="Y", F126="Y"), "Expressed", "N")</f>
        <v>Expressed</v>
      </c>
      <c r="I126" s="20">
        <v>5238</v>
      </c>
      <c r="J126" s="20">
        <v>32.029077588525269</v>
      </c>
      <c r="K126" s="20">
        <v>9353</v>
      </c>
      <c r="L126" s="20">
        <v>32.052632467904097</v>
      </c>
      <c r="M126" s="20">
        <v>9631</v>
      </c>
      <c r="N126" s="20">
        <v>30.060605283507311</v>
      </c>
      <c r="O126" s="20">
        <v>3491</v>
      </c>
      <c r="P126" s="20">
        <v>30.550303155767139</v>
      </c>
      <c r="Q126" s="20">
        <v>5085</v>
      </c>
      <c r="R126" s="20">
        <v>41.856676899401137</v>
      </c>
      <c r="S126" s="20">
        <v>6439</v>
      </c>
      <c r="T126" s="20">
        <v>34.731562350586472</v>
      </c>
      <c r="U126" s="20">
        <v>2984</v>
      </c>
      <c r="V126" s="20">
        <v>38.324554584824057</v>
      </c>
      <c r="W126" s="20">
        <v>9139</v>
      </c>
      <c r="X126" s="20">
        <v>33.967059227974048</v>
      </c>
      <c r="Y126" s="20">
        <v>5949.0580119639462</v>
      </c>
      <c r="Z126" s="20">
        <v>0.37642770503196671</v>
      </c>
      <c r="AA126" s="20">
        <v>0.10063950986084751</v>
      </c>
      <c r="AB126" s="20">
        <v>3.7403570978480198</v>
      </c>
      <c r="AC126" s="20">
        <v>1.837589975726347E-4</v>
      </c>
      <c r="AD126" s="20">
        <v>3.1969099118244568E-2</v>
      </c>
      <c r="AE126" s="20" t="s">
        <v>4362</v>
      </c>
      <c r="AF126" s="20" t="s">
        <v>4363</v>
      </c>
      <c r="AG126" s="20" t="s">
        <v>43</v>
      </c>
      <c r="AH126" s="20" t="s">
        <v>4364</v>
      </c>
      <c r="AI126" s="20" t="s">
        <v>43</v>
      </c>
      <c r="AJ126" s="20" t="s">
        <v>43</v>
      </c>
      <c r="AK126" s="20" t="s">
        <v>43</v>
      </c>
      <c r="AL126" s="20" t="s">
        <v>43</v>
      </c>
      <c r="AM126" s="20" t="s">
        <v>43</v>
      </c>
      <c r="AN126" s="20" t="s">
        <v>4365</v>
      </c>
      <c r="AO126" s="20" t="s">
        <v>43</v>
      </c>
    </row>
    <row r="127" spans="1:41" s="9" customFormat="1" x14ac:dyDescent="0.3">
      <c r="A127" s="20" t="s">
        <v>4366</v>
      </c>
      <c r="B127" s="20">
        <v>2499</v>
      </c>
      <c r="C127" s="20" t="str">
        <f>IF(Z127&lt;0, "Down", "Up")</f>
        <v>Up</v>
      </c>
      <c r="D127" s="21" t="str">
        <f>IF(AD127&lt;0.05, "Sig", "N")</f>
        <v>Sig</v>
      </c>
      <c r="E127" s="22" t="str">
        <f>IF(AND(J127&gt;2,L127&gt;2,N127&gt;2,P127&gt;2),"Y","N")</f>
        <v>Y</v>
      </c>
      <c r="F127" s="22" t="str">
        <f>IF(AND(R127&gt;2,T127&gt;2,V127&gt;2,X127&gt;2),"Y","N")</f>
        <v>Y</v>
      </c>
      <c r="G127" s="21" t="str">
        <f>IF(AVERAGE(J127,L127,N127,P127) &gt; AVERAGE(R127,T127,V127,X127), "Smaller", IF(AVERAGE(J127,L127,N127,P127) &lt; AVERAGE(R127,T127,V127,X127), "Larger", "Equal"))</f>
        <v>Larger</v>
      </c>
      <c r="H127" s="22" t="str">
        <f>IF(OR(E127="Y", F127="Y"), "Expressed", "N")</f>
        <v>Expressed</v>
      </c>
      <c r="I127" s="20">
        <v>2831</v>
      </c>
      <c r="J127" s="20">
        <v>20.89218620306427</v>
      </c>
      <c r="K127" s="20">
        <v>5605</v>
      </c>
      <c r="L127" s="20">
        <v>23.18213696373574</v>
      </c>
      <c r="M127" s="20">
        <v>7892</v>
      </c>
      <c r="N127" s="20">
        <v>29.728876430342801</v>
      </c>
      <c r="O127" s="20">
        <v>2239</v>
      </c>
      <c r="P127" s="20">
        <v>23.64747908416189</v>
      </c>
      <c r="Q127" s="20">
        <v>4678</v>
      </c>
      <c r="R127" s="20">
        <v>46.472826468543133</v>
      </c>
      <c r="S127" s="20">
        <v>3991</v>
      </c>
      <c r="T127" s="20">
        <v>25.980811002396351</v>
      </c>
      <c r="U127" s="20">
        <v>2513</v>
      </c>
      <c r="V127" s="20">
        <v>38.952547601578857</v>
      </c>
      <c r="W127" s="20">
        <v>7498</v>
      </c>
      <c r="X127" s="20">
        <v>33.633323793923303</v>
      </c>
      <c r="Y127" s="20">
        <v>4371.5992333902104</v>
      </c>
      <c r="Z127" s="20">
        <v>0.69633348843432874</v>
      </c>
      <c r="AA127" s="20">
        <v>0.17252424877961001</v>
      </c>
      <c r="AB127" s="20">
        <v>4.0361485029496089</v>
      </c>
      <c r="AC127" s="20">
        <v>5.4335830796739632E-5</v>
      </c>
      <c r="AD127" s="20">
        <v>1.544530869472072E-2</v>
      </c>
      <c r="AE127" s="20" t="s">
        <v>4367</v>
      </c>
      <c r="AF127" s="20" t="s">
        <v>4368</v>
      </c>
      <c r="AG127" s="20" t="s">
        <v>4369</v>
      </c>
      <c r="AH127" s="20" t="s">
        <v>4370</v>
      </c>
      <c r="AI127" s="20" t="s">
        <v>43</v>
      </c>
      <c r="AJ127" s="20" t="s">
        <v>43</v>
      </c>
      <c r="AK127" s="20" t="s">
        <v>43</v>
      </c>
      <c r="AL127" s="20" t="s">
        <v>43</v>
      </c>
      <c r="AM127" s="20" t="s">
        <v>43</v>
      </c>
      <c r="AN127" s="20" t="s">
        <v>4371</v>
      </c>
      <c r="AO127" s="20" t="s">
        <v>43</v>
      </c>
    </row>
    <row r="128" spans="1:41" s="9" customFormat="1" x14ac:dyDescent="0.3">
      <c r="A128" s="20" t="s">
        <v>4372</v>
      </c>
      <c r="B128" s="20">
        <v>1894</v>
      </c>
      <c r="C128" s="20" t="str">
        <f>IF(Z128&lt;0, "Down", "Up")</f>
        <v>Up</v>
      </c>
      <c r="D128" s="21" t="str">
        <f>IF(AD128&lt;0.05, "Sig", "N")</f>
        <v>Sig</v>
      </c>
      <c r="E128" s="22" t="str">
        <f>IF(AND(J128&gt;2,L128&gt;2,N128&gt;2,P128&gt;2),"Y","N")</f>
        <v>Y</v>
      </c>
      <c r="F128" s="22" t="str">
        <f>IF(AND(R128&gt;2,T128&gt;2,V128&gt;2,X128&gt;2),"Y","N")</f>
        <v>Y</v>
      </c>
      <c r="G128" s="21" t="str">
        <f>IF(AVERAGE(J128,L128,N128,P128) &gt; AVERAGE(R128,T128,V128,X128), "Smaller", IF(AVERAGE(J128,L128,N128,P128) &lt; AVERAGE(R128,T128,V128,X128), "Larger", "Equal"))</f>
        <v>Larger</v>
      </c>
      <c r="H128" s="22" t="str">
        <f>IF(OR(E128="Y", F128="Y"), "Expressed", "N")</f>
        <v>Expressed</v>
      </c>
      <c r="I128" s="20">
        <v>26661</v>
      </c>
      <c r="J128" s="20">
        <v>259.60122342942861</v>
      </c>
      <c r="K128" s="20">
        <v>52730</v>
      </c>
      <c r="L128" s="20">
        <v>287.75435373288917</v>
      </c>
      <c r="M128" s="20">
        <v>56356</v>
      </c>
      <c r="N128" s="20">
        <v>280.10306506574818</v>
      </c>
      <c r="O128" s="20">
        <v>19436</v>
      </c>
      <c r="P128" s="20">
        <v>270.84693684811452</v>
      </c>
      <c r="Q128" s="20">
        <v>24844</v>
      </c>
      <c r="R128" s="20">
        <v>325.64669251659342</v>
      </c>
      <c r="S128" s="20">
        <v>37427</v>
      </c>
      <c r="T128" s="20">
        <v>321.47135035526532</v>
      </c>
      <c r="U128" s="20">
        <v>15930</v>
      </c>
      <c r="V128" s="20">
        <v>325.79576574559599</v>
      </c>
      <c r="W128" s="20">
        <v>48759</v>
      </c>
      <c r="X128" s="20">
        <v>288.57946490305892</v>
      </c>
      <c r="Y128" s="20">
        <v>32191.602362603699</v>
      </c>
      <c r="Z128" s="20">
        <v>0.32623258179811659</v>
      </c>
      <c r="AA128" s="20">
        <v>7.2515407072046553E-2</v>
      </c>
      <c r="AB128" s="20">
        <v>4.49880370214282</v>
      </c>
      <c r="AC128" s="20">
        <v>6.8336919922843626E-6</v>
      </c>
      <c r="AD128" s="20">
        <v>3.7278368944351232E-3</v>
      </c>
      <c r="AE128" s="20" t="s">
        <v>4373</v>
      </c>
      <c r="AF128" s="20" t="s">
        <v>4374</v>
      </c>
      <c r="AG128" s="20" t="s">
        <v>4375</v>
      </c>
      <c r="AH128" s="20" t="s">
        <v>4376</v>
      </c>
      <c r="AI128" s="20" t="s">
        <v>43</v>
      </c>
      <c r="AJ128" s="20" t="s">
        <v>43</v>
      </c>
      <c r="AK128" s="20" t="s">
        <v>43</v>
      </c>
      <c r="AL128" s="20" t="s">
        <v>43</v>
      </c>
      <c r="AM128" s="20" t="s">
        <v>43</v>
      </c>
      <c r="AN128" s="20" t="s">
        <v>4377</v>
      </c>
      <c r="AO128" s="20" t="s">
        <v>43</v>
      </c>
    </row>
    <row r="129" spans="1:41" s="9" customFormat="1" x14ac:dyDescent="0.3">
      <c r="A129" s="20" t="s">
        <v>4378</v>
      </c>
      <c r="B129" s="20">
        <v>1824</v>
      </c>
      <c r="C129" s="20" t="str">
        <f>IF(Z129&lt;0, "Down", "Up")</f>
        <v>Up</v>
      </c>
      <c r="D129" s="21" t="str">
        <f>IF(AD129&lt;0.05, "Sig", "N")</f>
        <v>Sig</v>
      </c>
      <c r="E129" s="22" t="str">
        <f>IF(AND(J129&gt;2,L129&gt;2,N129&gt;2,P129&gt;2),"Y","N")</f>
        <v>Y</v>
      </c>
      <c r="F129" s="22" t="str">
        <f>IF(AND(R129&gt;2,T129&gt;2,V129&gt;2,X129&gt;2),"Y","N")</f>
        <v>Y</v>
      </c>
      <c r="G129" s="21" t="str">
        <f>IF(AVERAGE(J129,L129,N129,P129) &gt; AVERAGE(R129,T129,V129,X129), "Smaller", IF(AVERAGE(J129,L129,N129,P129) &lt; AVERAGE(R129,T129,V129,X129), "Larger", "Equal"))</f>
        <v>Larger</v>
      </c>
      <c r="H129" s="22" t="str">
        <f>IF(OR(E129="Y", F129="Y"), "Expressed", "N")</f>
        <v>Expressed</v>
      </c>
      <c r="I129" s="20">
        <v>25938</v>
      </c>
      <c r="J129" s="20">
        <v>262.25388261152523</v>
      </c>
      <c r="K129" s="20">
        <v>45718</v>
      </c>
      <c r="L129" s="20">
        <v>259.06365941793712</v>
      </c>
      <c r="M129" s="20">
        <v>56108</v>
      </c>
      <c r="N129" s="20">
        <v>289.57270944798569</v>
      </c>
      <c r="O129" s="20">
        <v>18204</v>
      </c>
      <c r="P129" s="20">
        <v>263.41409229012402</v>
      </c>
      <c r="Q129" s="20">
        <v>24563</v>
      </c>
      <c r="R129" s="20">
        <v>334.31949327602371</v>
      </c>
      <c r="S129" s="20">
        <v>37890</v>
      </c>
      <c r="T129" s="20">
        <v>337.93797959788822</v>
      </c>
      <c r="U129" s="20">
        <v>14828</v>
      </c>
      <c r="V129" s="20">
        <v>314.8961695705778</v>
      </c>
      <c r="W129" s="20">
        <v>51121</v>
      </c>
      <c r="X129" s="20">
        <v>314.17029153879741</v>
      </c>
      <c r="Y129" s="20">
        <v>31290.359367778248</v>
      </c>
      <c r="Z129" s="20">
        <v>0.40423073728582948</v>
      </c>
      <c r="AA129" s="20">
        <v>9.5135111820519688E-2</v>
      </c>
      <c r="AB129" s="20">
        <v>4.2490173139066094</v>
      </c>
      <c r="AC129" s="20">
        <v>2.1471032531035071E-5</v>
      </c>
      <c r="AD129" s="20">
        <v>8.3258455664019741E-3</v>
      </c>
      <c r="AE129" s="20" t="s">
        <v>4379</v>
      </c>
      <c r="AF129" s="20" t="s">
        <v>4380</v>
      </c>
      <c r="AG129" s="20" t="s">
        <v>4381</v>
      </c>
      <c r="AH129" s="20" t="s">
        <v>4382</v>
      </c>
      <c r="AI129" s="20" t="s">
        <v>43</v>
      </c>
      <c r="AJ129" s="20" t="s">
        <v>43</v>
      </c>
      <c r="AK129" s="20" t="s">
        <v>43</v>
      </c>
      <c r="AL129" s="20" t="s">
        <v>43</v>
      </c>
      <c r="AM129" s="20" t="s">
        <v>43</v>
      </c>
      <c r="AN129" s="20" t="s">
        <v>4383</v>
      </c>
      <c r="AO129" s="20" t="s">
        <v>43</v>
      </c>
    </row>
    <row r="130" spans="1:41" s="9" customFormat="1" x14ac:dyDescent="0.3">
      <c r="A130" s="20" t="s">
        <v>4384</v>
      </c>
      <c r="B130" s="20">
        <v>2005</v>
      </c>
      <c r="C130" s="20" t="str">
        <f>IF(Z130&lt;0, "Down", "Up")</f>
        <v>Up</v>
      </c>
      <c r="D130" s="21" t="str">
        <f>IF(AD130&lt;0.05, "Sig", "N")</f>
        <v>Sig</v>
      </c>
      <c r="E130" s="22" t="str">
        <f>IF(AND(J130&gt;2,L130&gt;2,N130&gt;2,P130&gt;2),"Y","N")</f>
        <v>Y</v>
      </c>
      <c r="F130" s="22" t="str">
        <f>IF(AND(R130&gt;2,T130&gt;2,V130&gt;2,X130&gt;2),"Y","N")</f>
        <v>Y</v>
      </c>
      <c r="G130" s="21" t="str">
        <f>IF(AVERAGE(J130,L130,N130,P130) &gt; AVERAGE(R130,T130,V130,X130), "Smaller", IF(AVERAGE(J130,L130,N130,P130) &lt; AVERAGE(R130,T130,V130,X130), "Larger", "Equal"))</f>
        <v>Larger</v>
      </c>
      <c r="H130" s="22" t="str">
        <f>IF(OR(E130="Y", F130="Y"), "Expressed", "N")</f>
        <v>Expressed</v>
      </c>
      <c r="I130" s="20">
        <v>26667</v>
      </c>
      <c r="J130" s="20">
        <v>245.2844736909598</v>
      </c>
      <c r="K130" s="20">
        <v>48565</v>
      </c>
      <c r="L130" s="20">
        <v>250.35318604718549</v>
      </c>
      <c r="M130" s="20">
        <v>63666</v>
      </c>
      <c r="N130" s="20">
        <v>298.9171709846454</v>
      </c>
      <c r="O130" s="20">
        <v>19414</v>
      </c>
      <c r="P130" s="20">
        <v>255.56281364272601</v>
      </c>
      <c r="Q130" s="20">
        <v>28254</v>
      </c>
      <c r="R130" s="20">
        <v>349.8409869262822</v>
      </c>
      <c r="S130" s="20">
        <v>37293</v>
      </c>
      <c r="T130" s="20">
        <v>302.58693774161497</v>
      </c>
      <c r="U130" s="20">
        <v>18540</v>
      </c>
      <c r="V130" s="20">
        <v>358.18301462830141</v>
      </c>
      <c r="W130" s="20">
        <v>55666</v>
      </c>
      <c r="X130" s="20">
        <v>311.21910302790798</v>
      </c>
      <c r="Y130" s="20">
        <v>34298.602158309317</v>
      </c>
      <c r="Z130" s="20">
        <v>0.45732881712562951</v>
      </c>
      <c r="AA130" s="20">
        <v>9.6810698992669905E-2</v>
      </c>
      <c r="AB130" s="20">
        <v>4.7239491283939241</v>
      </c>
      <c r="AC130" s="20">
        <v>2.313083013332582E-6</v>
      </c>
      <c r="AD130" s="20">
        <v>1.6436099536337231E-3</v>
      </c>
      <c r="AE130" s="20" t="s">
        <v>4385</v>
      </c>
      <c r="AF130" s="20" t="s">
        <v>4386</v>
      </c>
      <c r="AG130" s="20" t="s">
        <v>4387</v>
      </c>
      <c r="AH130" s="20" t="s">
        <v>4388</v>
      </c>
      <c r="AI130" s="20" t="s">
        <v>43</v>
      </c>
      <c r="AJ130" s="20" t="s">
        <v>43</v>
      </c>
      <c r="AK130" s="20" t="s">
        <v>43</v>
      </c>
      <c r="AL130" s="20" t="s">
        <v>43</v>
      </c>
      <c r="AM130" s="20" t="s">
        <v>43</v>
      </c>
      <c r="AN130" s="20" t="s">
        <v>4389</v>
      </c>
      <c r="AO130" s="20" t="s">
        <v>43</v>
      </c>
    </row>
    <row r="131" spans="1:41" s="9" customFormat="1" x14ac:dyDescent="0.3">
      <c r="A131" s="20" t="s">
        <v>409</v>
      </c>
      <c r="B131" s="20">
        <v>2056</v>
      </c>
      <c r="C131" s="20" t="str">
        <f>IF(Z131&lt;0, "Down", "Up")</f>
        <v>Up</v>
      </c>
      <c r="D131" s="21" t="str">
        <f>IF(AD131&lt;0.05, "Sig", "N")</f>
        <v>Sig</v>
      </c>
      <c r="E131" s="22" t="str">
        <f>IF(AND(J131&gt;2,L131&gt;2,N131&gt;2,P131&gt;2),"Y","N")</f>
        <v>Y</v>
      </c>
      <c r="F131" s="22" t="str">
        <f>IF(AND(R131&gt;2,T131&gt;2,V131&gt;2,X131&gt;2),"Y","N")</f>
        <v>Y</v>
      </c>
      <c r="G131" s="21" t="str">
        <f>IF(AVERAGE(J131,L131,N131,P131) &gt; AVERAGE(R131,T131,V131,X131), "Smaller", IF(AVERAGE(J131,L131,N131,P131) &lt; AVERAGE(R131,T131,V131,X131), "Larger", "Equal"))</f>
        <v>Larger</v>
      </c>
      <c r="H131" s="22" t="str">
        <f>IF(OR(E131="Y", F131="Y"), "Expressed", "N")</f>
        <v>Expressed</v>
      </c>
      <c r="I131" s="20">
        <v>349</v>
      </c>
      <c r="J131" s="20">
        <v>3.1304919493992829</v>
      </c>
      <c r="K131" s="20">
        <v>1384</v>
      </c>
      <c r="L131" s="20">
        <v>6.9575620205146063</v>
      </c>
      <c r="M131" s="20">
        <v>1198</v>
      </c>
      <c r="N131" s="20">
        <v>5.4851863061663888</v>
      </c>
      <c r="O131" s="20">
        <v>373</v>
      </c>
      <c r="P131" s="20">
        <v>4.7883152342456272</v>
      </c>
      <c r="Q131" s="20">
        <v>3208</v>
      </c>
      <c r="R131" s="20">
        <v>38.736142961840272</v>
      </c>
      <c r="S131" s="20">
        <v>3983</v>
      </c>
      <c r="T131" s="20">
        <v>31.515516427786832</v>
      </c>
      <c r="U131" s="20">
        <v>294</v>
      </c>
      <c r="V131" s="20">
        <v>5.5390317504938524</v>
      </c>
      <c r="W131" s="20">
        <v>4743</v>
      </c>
      <c r="X131" s="20">
        <v>25.85952972878961</v>
      </c>
      <c r="Y131" s="20">
        <v>1860.736293190419</v>
      </c>
      <c r="Z131" s="20">
        <v>2.4694775539661382</v>
      </c>
      <c r="AA131" s="20">
        <v>0.57195705309979383</v>
      </c>
      <c r="AB131" s="20">
        <v>4.317592624450544</v>
      </c>
      <c r="AC131" s="20">
        <v>1.577402207196427E-5</v>
      </c>
      <c r="AD131" s="20">
        <v>6.7691586718155988E-3</v>
      </c>
      <c r="AE131" s="20" t="s">
        <v>410</v>
      </c>
      <c r="AF131" s="20" t="s">
        <v>411</v>
      </c>
      <c r="AG131" s="20" t="s">
        <v>412</v>
      </c>
      <c r="AH131" s="20" t="s">
        <v>413</v>
      </c>
      <c r="AI131" s="20" t="s">
        <v>43</v>
      </c>
      <c r="AJ131" s="20" t="s">
        <v>43</v>
      </c>
      <c r="AK131" s="20" t="s">
        <v>43</v>
      </c>
      <c r="AL131" s="20" t="s">
        <v>43</v>
      </c>
      <c r="AM131" s="20" t="s">
        <v>43</v>
      </c>
      <c r="AN131" s="20" t="s">
        <v>414</v>
      </c>
      <c r="AO131" s="20" t="s">
        <v>43</v>
      </c>
    </row>
    <row r="132" spans="1:41" s="9" customFormat="1" x14ac:dyDescent="0.3">
      <c r="A132" s="20" t="s">
        <v>4390</v>
      </c>
      <c r="B132" s="20">
        <v>2171</v>
      </c>
      <c r="C132" s="20" t="str">
        <f>IF(Z132&lt;0, "Down", "Up")</f>
        <v>Up</v>
      </c>
      <c r="D132" s="21" t="str">
        <f>IF(AD132&lt;0.05, "Sig", "N")</f>
        <v>Sig</v>
      </c>
      <c r="E132" s="22" t="str">
        <f>IF(AND(J132&gt;2,L132&gt;2,N132&gt;2,P132&gt;2),"Y","N")</f>
        <v>Y</v>
      </c>
      <c r="F132" s="22" t="str">
        <f>IF(AND(R132&gt;2,T132&gt;2,V132&gt;2,X132&gt;2),"Y","N")</f>
        <v>Y</v>
      </c>
      <c r="G132" s="21" t="str">
        <f>IF(AVERAGE(J132,L132,N132,P132) &gt; AVERAGE(R132,T132,V132,X132), "Smaller", IF(AVERAGE(J132,L132,N132,P132) &lt; AVERAGE(R132,T132,V132,X132), "Larger", "Equal"))</f>
        <v>Larger</v>
      </c>
      <c r="H132" s="22" t="str">
        <f>IF(OR(E132="Y", F132="Y"), "Expressed", "N")</f>
        <v>Expressed</v>
      </c>
      <c r="I132" s="20">
        <v>9067</v>
      </c>
      <c r="J132" s="20">
        <v>77.021871476836466</v>
      </c>
      <c r="K132" s="20">
        <v>18269</v>
      </c>
      <c r="L132" s="20">
        <v>86.975925539933399</v>
      </c>
      <c r="M132" s="20">
        <v>20366</v>
      </c>
      <c r="N132" s="20">
        <v>88.308720300841827</v>
      </c>
      <c r="O132" s="20">
        <v>7543</v>
      </c>
      <c r="P132" s="20">
        <v>91.702525596729927</v>
      </c>
      <c r="Q132" s="20">
        <v>9598</v>
      </c>
      <c r="R132" s="20">
        <v>109.75543814113951</v>
      </c>
      <c r="S132" s="20">
        <v>12728</v>
      </c>
      <c r="T132" s="20">
        <v>95.375664145041839</v>
      </c>
      <c r="U132" s="20">
        <v>5852</v>
      </c>
      <c r="V132" s="20">
        <v>104.4128928654432</v>
      </c>
      <c r="W132" s="20">
        <v>16965</v>
      </c>
      <c r="X132" s="20">
        <v>87.596075432589373</v>
      </c>
      <c r="Y132" s="20">
        <v>11570.059727040531</v>
      </c>
      <c r="Z132" s="20">
        <v>0.33288473903096671</v>
      </c>
      <c r="AA132" s="20">
        <v>7.7609346895519446E-2</v>
      </c>
      <c r="AB132" s="20">
        <v>4.289235154614925</v>
      </c>
      <c r="AC132" s="20">
        <v>1.7928946744424321E-5</v>
      </c>
      <c r="AD132" s="20">
        <v>7.3979891149909827E-3</v>
      </c>
      <c r="AE132" s="20" t="s">
        <v>4391</v>
      </c>
      <c r="AF132" s="20" t="s">
        <v>4392</v>
      </c>
      <c r="AG132" s="20" t="s">
        <v>4393</v>
      </c>
      <c r="AH132" s="20" t="s">
        <v>4394</v>
      </c>
      <c r="AI132" s="20" t="s">
        <v>43</v>
      </c>
      <c r="AJ132" s="20" t="s">
        <v>43</v>
      </c>
      <c r="AK132" s="20" t="s">
        <v>43</v>
      </c>
      <c r="AL132" s="20" t="s">
        <v>43</v>
      </c>
      <c r="AM132" s="20" t="s">
        <v>43</v>
      </c>
      <c r="AN132" s="20" t="s">
        <v>4395</v>
      </c>
      <c r="AO132" s="20" t="s">
        <v>43</v>
      </c>
    </row>
    <row r="133" spans="1:41" s="9" customFormat="1" x14ac:dyDescent="0.3">
      <c r="A133" s="20" t="s">
        <v>4396</v>
      </c>
      <c r="B133" s="20">
        <v>1894</v>
      </c>
      <c r="C133" s="20" t="str">
        <f>IF(Z133&lt;0, "Down", "Up")</f>
        <v>Up</v>
      </c>
      <c r="D133" s="21" t="str">
        <f>IF(AD133&lt;0.05, "Sig", "N")</f>
        <v>Sig</v>
      </c>
      <c r="E133" s="22" t="str">
        <f>IF(AND(J133&gt;2,L133&gt;2,N133&gt;2,P133&gt;2),"Y","N")</f>
        <v>Y</v>
      </c>
      <c r="F133" s="22" t="str">
        <f>IF(AND(R133&gt;2,T133&gt;2,V133&gt;2,X133&gt;2),"Y","N")</f>
        <v>Y</v>
      </c>
      <c r="G133" s="21" t="str">
        <f>IF(AVERAGE(J133,L133,N133,P133) &gt; AVERAGE(R133,T133,V133,X133), "Smaller", IF(AVERAGE(J133,L133,N133,P133) &lt; AVERAGE(R133,T133,V133,X133), "Larger", "Equal"))</f>
        <v>Larger</v>
      </c>
      <c r="H133" s="22" t="str">
        <f>IF(OR(E133="Y", F133="Y"), "Expressed", "N")</f>
        <v>Expressed</v>
      </c>
      <c r="I133" s="20">
        <v>2584</v>
      </c>
      <c r="J133" s="20">
        <v>25.160705200166671</v>
      </c>
      <c r="K133" s="20">
        <v>4042</v>
      </c>
      <c r="L133" s="20">
        <v>22.057710938523389</v>
      </c>
      <c r="M133" s="20">
        <v>4218</v>
      </c>
      <c r="N133" s="20">
        <v>20.964488758026231</v>
      </c>
      <c r="O133" s="20">
        <v>1745</v>
      </c>
      <c r="P133" s="20">
        <v>24.317138547024069</v>
      </c>
      <c r="Q133" s="20">
        <v>2516</v>
      </c>
      <c r="R133" s="20">
        <v>32.978871291730357</v>
      </c>
      <c r="S133" s="20">
        <v>3302</v>
      </c>
      <c r="T133" s="20">
        <v>28.361835008766018</v>
      </c>
      <c r="U133" s="20">
        <v>1837</v>
      </c>
      <c r="V133" s="20">
        <v>37.569794204310099</v>
      </c>
      <c r="W133" s="20">
        <v>4881</v>
      </c>
      <c r="X133" s="20">
        <v>28.888130769536499</v>
      </c>
      <c r="Y133" s="20">
        <v>3017.9169651797552</v>
      </c>
      <c r="Z133" s="20">
        <v>0.5831163863420803</v>
      </c>
      <c r="AA133" s="20">
        <v>0.13371368950413831</v>
      </c>
      <c r="AB133" s="20">
        <v>4.3609325904064118</v>
      </c>
      <c r="AC133" s="20">
        <v>1.2950926448017591E-5</v>
      </c>
      <c r="AD133" s="20">
        <v>5.8005535096022076E-3</v>
      </c>
      <c r="AE133" s="20" t="s">
        <v>4397</v>
      </c>
      <c r="AF133" s="20" t="s">
        <v>4398</v>
      </c>
      <c r="AG133" s="20" t="s">
        <v>43</v>
      </c>
      <c r="AH133" s="20" t="s">
        <v>4399</v>
      </c>
      <c r="AI133" s="20" t="s">
        <v>43</v>
      </c>
      <c r="AJ133" s="20" t="s">
        <v>43</v>
      </c>
      <c r="AK133" s="20" t="s">
        <v>43</v>
      </c>
      <c r="AL133" s="20" t="s">
        <v>43</v>
      </c>
      <c r="AM133" s="20" t="s">
        <v>43</v>
      </c>
      <c r="AN133" s="20" t="s">
        <v>4400</v>
      </c>
      <c r="AO133" s="20" t="s">
        <v>43</v>
      </c>
    </row>
    <row r="134" spans="1:41" s="9" customFormat="1" x14ac:dyDescent="0.3">
      <c r="A134" s="20" t="s">
        <v>428</v>
      </c>
      <c r="B134" s="20">
        <v>1450</v>
      </c>
      <c r="C134" s="20" t="str">
        <f>IF(Z134&lt;0, "Down", "Up")</f>
        <v>Up</v>
      </c>
      <c r="D134" s="21" t="str">
        <f>IF(AD134&lt;0.05, "Sig", "N")</f>
        <v>Sig</v>
      </c>
      <c r="E134" s="22" t="str">
        <f>IF(AND(J134&gt;2,L134&gt;2,N134&gt;2,P134&gt;2),"Y","N")</f>
        <v>Y</v>
      </c>
      <c r="F134" s="22" t="str">
        <f>IF(AND(R134&gt;2,T134&gt;2,V134&gt;2,X134&gt;2),"Y","N")</f>
        <v>Y</v>
      </c>
      <c r="G134" s="21" t="str">
        <f>IF(AVERAGE(J134,L134,N134,P134) &gt; AVERAGE(R134,T134,V134,X134), "Smaller", IF(AVERAGE(J134,L134,N134,P134) &lt; AVERAGE(R134,T134,V134,X134), "Larger", "Equal"))</f>
        <v>Larger</v>
      </c>
      <c r="H134" s="22" t="str">
        <f>IF(OR(E134="Y", F134="Y"), "Expressed", "N")</f>
        <v>Expressed</v>
      </c>
      <c r="I134" s="20">
        <v>1400</v>
      </c>
      <c r="J134" s="20">
        <v>17.80616150014998</v>
      </c>
      <c r="K134" s="20">
        <v>1275</v>
      </c>
      <c r="L134" s="20">
        <v>9.0883760616787868</v>
      </c>
      <c r="M134" s="20">
        <v>1259</v>
      </c>
      <c r="N134" s="20">
        <v>8.1736380716463763</v>
      </c>
      <c r="O134" s="20">
        <v>721</v>
      </c>
      <c r="P134" s="20">
        <v>13.12394117348636</v>
      </c>
      <c r="Q134" s="20">
        <v>3459</v>
      </c>
      <c r="R134" s="20">
        <v>59.222629384790437</v>
      </c>
      <c r="S134" s="20">
        <v>6254</v>
      </c>
      <c r="T134" s="20">
        <v>70.166062611644819</v>
      </c>
      <c r="U134" s="20">
        <v>652</v>
      </c>
      <c r="V134" s="20">
        <v>17.417636711043901</v>
      </c>
      <c r="W134" s="20">
        <v>9644</v>
      </c>
      <c r="X134" s="20">
        <v>74.555520727074096</v>
      </c>
      <c r="Y134" s="20">
        <v>2932.7658353602628</v>
      </c>
      <c r="Z134" s="20">
        <v>2.3270322084938528</v>
      </c>
      <c r="AA134" s="20">
        <v>0.53366109952868235</v>
      </c>
      <c r="AB134" s="20">
        <v>4.3605055915618296</v>
      </c>
      <c r="AC134" s="20">
        <v>1.297622658665089E-5</v>
      </c>
      <c r="AD134" s="20">
        <v>5.8005535096022076E-3</v>
      </c>
      <c r="AE134" s="20" t="s">
        <v>429</v>
      </c>
      <c r="AF134" s="20" t="s">
        <v>430</v>
      </c>
      <c r="AG134" s="20" t="s">
        <v>431</v>
      </c>
      <c r="AH134" s="20" t="s">
        <v>432</v>
      </c>
      <c r="AI134" s="20" t="s">
        <v>43</v>
      </c>
      <c r="AJ134" s="20" t="s">
        <v>43</v>
      </c>
      <c r="AK134" s="20" t="s">
        <v>43</v>
      </c>
      <c r="AL134" s="20" t="s">
        <v>43</v>
      </c>
      <c r="AM134" s="20" t="s">
        <v>43</v>
      </c>
      <c r="AN134" s="20" t="s">
        <v>371</v>
      </c>
      <c r="AO134" s="20" t="s">
        <v>43</v>
      </c>
    </row>
    <row r="135" spans="1:41" s="9" customFormat="1" x14ac:dyDescent="0.3">
      <c r="A135" s="20" t="s">
        <v>4401</v>
      </c>
      <c r="B135" s="20">
        <v>540</v>
      </c>
      <c r="C135" s="20" t="str">
        <f>IF(Z135&lt;0, "Down", "Up")</f>
        <v>Up</v>
      </c>
      <c r="D135" s="21" t="str">
        <f>IF(AD135&lt;0.05, "Sig", "N")</f>
        <v>Sig</v>
      </c>
      <c r="E135" s="22" t="str">
        <f>IF(AND(J135&gt;2,L135&gt;2,N135&gt;2,P135&gt;2),"Y","N")</f>
        <v>Y</v>
      </c>
      <c r="F135" s="22" t="str">
        <f>IF(AND(R135&gt;2,T135&gt;2,V135&gt;2,X135&gt;2),"Y","N")</f>
        <v>N</v>
      </c>
      <c r="G135" s="21" t="str">
        <f>IF(AVERAGE(J135,L135,N135,P135) &gt; AVERAGE(R135,T135,V135,X135), "Smaller", IF(AVERAGE(J135,L135,N135,P135) &lt; AVERAGE(R135,T135,V135,X135), "Larger", "Equal"))</f>
        <v>Larger</v>
      </c>
      <c r="H135" s="22" t="str">
        <f>IF(OR(E135="Y", F135="Y"), "Expressed", "N")</f>
        <v>Expressed</v>
      </c>
      <c r="I135" s="20">
        <v>92</v>
      </c>
      <c r="J135" s="20">
        <v>3.1419866985714382</v>
      </c>
      <c r="K135" s="20">
        <v>120</v>
      </c>
      <c r="L135" s="20">
        <v>2.2968444948904989</v>
      </c>
      <c r="M135" s="20">
        <v>159</v>
      </c>
      <c r="N135" s="20">
        <v>2.7717945715560148</v>
      </c>
      <c r="O135" s="20">
        <v>75</v>
      </c>
      <c r="P135" s="20">
        <v>3.6657641203489009</v>
      </c>
      <c r="Q135" s="20">
        <v>79</v>
      </c>
      <c r="R135" s="20">
        <v>3.6319382587708642</v>
      </c>
      <c r="S135" s="20">
        <v>1827</v>
      </c>
      <c r="T135" s="20">
        <v>55.040455521100228</v>
      </c>
      <c r="U135" s="20">
        <v>5</v>
      </c>
      <c r="V135" s="20">
        <v>0.35866242375331819</v>
      </c>
      <c r="W135" s="20">
        <v>159</v>
      </c>
      <c r="X135" s="20">
        <v>3.300608189245843</v>
      </c>
      <c r="Y135" s="20">
        <v>301.87449565079379</v>
      </c>
      <c r="Z135" s="20">
        <v>2.5453169992167668</v>
      </c>
      <c r="AA135" s="20">
        <v>1.2308069947899281</v>
      </c>
      <c r="AB135" s="20">
        <v>2.0680066086650708</v>
      </c>
      <c r="AC135" s="20"/>
      <c r="AD135" s="20"/>
      <c r="AE135" s="20" t="s">
        <v>4402</v>
      </c>
      <c r="AF135" s="20" t="s">
        <v>4403</v>
      </c>
      <c r="AG135" s="20" t="s">
        <v>43</v>
      </c>
      <c r="AH135" s="20" t="s">
        <v>2880</v>
      </c>
      <c r="AI135" s="20" t="s">
        <v>43</v>
      </c>
      <c r="AJ135" s="20" t="s">
        <v>43</v>
      </c>
      <c r="AK135" s="20" t="s">
        <v>43</v>
      </c>
      <c r="AL135" s="20" t="s">
        <v>43</v>
      </c>
      <c r="AM135" s="20" t="s">
        <v>43</v>
      </c>
      <c r="AN135" s="20" t="s">
        <v>2881</v>
      </c>
      <c r="AO135" s="20" t="s">
        <v>43</v>
      </c>
    </row>
    <row r="136" spans="1:41" s="9" customFormat="1" x14ac:dyDescent="0.3">
      <c r="A136" s="20" t="s">
        <v>4404</v>
      </c>
      <c r="B136" s="20">
        <v>2935</v>
      </c>
      <c r="C136" s="20" t="str">
        <f>IF(Z136&lt;0, "Down", "Up")</f>
        <v>Up</v>
      </c>
      <c r="D136" s="21" t="str">
        <f>IF(AD136&lt;0.05, "Sig", "N")</f>
        <v>Sig</v>
      </c>
      <c r="E136" s="22" t="str">
        <f>IF(AND(J136&gt;2,L136&gt;2,N136&gt;2,P136&gt;2),"Y","N")</f>
        <v>Y</v>
      </c>
      <c r="F136" s="22" t="str">
        <f>IF(AND(R136&gt;2,T136&gt;2,V136&gt;2,X136&gt;2),"Y","N")</f>
        <v>Y</v>
      </c>
      <c r="G136" s="21" t="str">
        <f>IF(AVERAGE(J136,L136,N136,P136) &gt; AVERAGE(R136,T136,V136,X136), "Smaller", IF(AVERAGE(J136,L136,N136,P136) &lt; AVERAGE(R136,T136,V136,X136), "Larger", "Equal"))</f>
        <v>Larger</v>
      </c>
      <c r="H136" s="22" t="str">
        <f>IF(OR(E136="Y", F136="Y"), "Expressed", "N")</f>
        <v>Expressed</v>
      </c>
      <c r="I136" s="20">
        <v>6002</v>
      </c>
      <c r="J136" s="20">
        <v>37.713614728560543</v>
      </c>
      <c r="K136" s="20">
        <v>11412</v>
      </c>
      <c r="L136" s="20">
        <v>40.188126811109612</v>
      </c>
      <c r="M136" s="20">
        <v>12945</v>
      </c>
      <c r="N136" s="20">
        <v>41.519453127078343</v>
      </c>
      <c r="O136" s="20">
        <v>4950</v>
      </c>
      <c r="P136" s="20">
        <v>44.513742163282743</v>
      </c>
      <c r="Q136" s="20">
        <v>6043</v>
      </c>
      <c r="R136" s="20">
        <v>51.115147024286799</v>
      </c>
      <c r="S136" s="20">
        <v>8244</v>
      </c>
      <c r="T136" s="20">
        <v>45.694834583390573</v>
      </c>
      <c r="U136" s="20">
        <v>3662</v>
      </c>
      <c r="V136" s="20">
        <v>48.330342059537429</v>
      </c>
      <c r="W136" s="20">
        <v>11780</v>
      </c>
      <c r="X136" s="20">
        <v>44.991222426002928</v>
      </c>
      <c r="Y136" s="20">
        <v>7483.4785332630772</v>
      </c>
      <c r="Z136" s="20">
        <v>0.34197148082942802</v>
      </c>
      <c r="AA136" s="20">
        <v>7.6997058347107045E-2</v>
      </c>
      <c r="AB136" s="20">
        <v>4.4413577371722619</v>
      </c>
      <c r="AC136" s="20">
        <v>8.9393038084498841E-6</v>
      </c>
      <c r="AD136" s="20">
        <v>4.4263306626916854E-3</v>
      </c>
      <c r="AE136" s="20" t="s">
        <v>4405</v>
      </c>
      <c r="AF136" s="20" t="s">
        <v>4406</v>
      </c>
      <c r="AG136" s="20" t="s">
        <v>43</v>
      </c>
      <c r="AH136" s="20" t="s">
        <v>4407</v>
      </c>
      <c r="AI136" s="20" t="s">
        <v>43</v>
      </c>
      <c r="AJ136" s="20" t="s">
        <v>43</v>
      </c>
      <c r="AK136" s="20" t="s">
        <v>43</v>
      </c>
      <c r="AL136" s="20" t="s">
        <v>43</v>
      </c>
      <c r="AM136" s="20" t="s">
        <v>43</v>
      </c>
      <c r="AN136" s="20" t="s">
        <v>4408</v>
      </c>
      <c r="AO136" s="20" t="s">
        <v>43</v>
      </c>
    </row>
    <row r="137" spans="1:41" s="9" customFormat="1" x14ac:dyDescent="0.3">
      <c r="A137" s="20" t="s">
        <v>4409</v>
      </c>
      <c r="B137" s="20">
        <v>3555</v>
      </c>
      <c r="C137" s="20" t="str">
        <f>IF(Z137&lt;0, "Down", "Up")</f>
        <v>Up</v>
      </c>
      <c r="D137" s="21" t="str">
        <f>IF(AD137&lt;0.05, "Sig", "N")</f>
        <v>Sig</v>
      </c>
      <c r="E137" s="22" t="str">
        <f>IF(AND(J137&gt;2,L137&gt;2,N137&gt;2,P137&gt;2),"Y","N")</f>
        <v>Y</v>
      </c>
      <c r="F137" s="22" t="str">
        <f>IF(AND(R137&gt;2,T137&gt;2,V137&gt;2,X137&gt;2),"Y","N")</f>
        <v>Y</v>
      </c>
      <c r="G137" s="21" t="str">
        <f>IF(AVERAGE(J137,L137,N137,P137) &gt; AVERAGE(R137,T137,V137,X137), "Smaller", IF(AVERAGE(J137,L137,N137,P137) &lt; AVERAGE(R137,T137,V137,X137), "Larger", "Equal"))</f>
        <v>Larger</v>
      </c>
      <c r="H137" s="22" t="str">
        <f>IF(OR(E137="Y", F137="Y"), "Expressed", "N")</f>
        <v>Expressed</v>
      </c>
      <c r="I137" s="20">
        <v>509</v>
      </c>
      <c r="J137" s="20">
        <v>2.6405138628060461</v>
      </c>
      <c r="K137" s="20">
        <v>826</v>
      </c>
      <c r="L137" s="20">
        <v>2.4015108263032312</v>
      </c>
      <c r="M137" s="20">
        <v>1042</v>
      </c>
      <c r="N137" s="20">
        <v>2.7592165689623762</v>
      </c>
      <c r="O137" s="20">
        <v>358</v>
      </c>
      <c r="P137" s="20">
        <v>2.6579109976403168</v>
      </c>
      <c r="Q137" s="20">
        <v>483</v>
      </c>
      <c r="R137" s="20">
        <v>3.3729713423867849</v>
      </c>
      <c r="S137" s="20">
        <v>727</v>
      </c>
      <c r="T137" s="20">
        <v>3.326840943970391</v>
      </c>
      <c r="U137" s="20">
        <v>290</v>
      </c>
      <c r="V137" s="20">
        <v>3.1598613535735378</v>
      </c>
      <c r="W137" s="20">
        <v>1118</v>
      </c>
      <c r="X137" s="20">
        <v>3.5252734230492981</v>
      </c>
      <c r="Y137" s="20">
        <v>613.73656734442739</v>
      </c>
      <c r="Z137" s="20">
        <v>0.49154533092862329</v>
      </c>
      <c r="AA137" s="20">
        <v>0.13084301922985861</v>
      </c>
      <c r="AB137" s="20">
        <v>3.7567562551052172</v>
      </c>
      <c r="AC137" s="20">
        <v>1.7213000267956229E-4</v>
      </c>
      <c r="AD137" s="20">
        <v>3.0439583166163259E-2</v>
      </c>
      <c r="AE137" s="20" t="s">
        <v>4410</v>
      </c>
      <c r="AF137" s="20" t="s">
        <v>4411</v>
      </c>
      <c r="AG137" s="20" t="s">
        <v>4412</v>
      </c>
      <c r="AH137" s="20" t="s">
        <v>4413</v>
      </c>
      <c r="AI137" s="20" t="s">
        <v>43</v>
      </c>
      <c r="AJ137" s="20" t="s">
        <v>43</v>
      </c>
      <c r="AK137" s="20" t="s">
        <v>43</v>
      </c>
      <c r="AL137" s="20" t="s">
        <v>43</v>
      </c>
      <c r="AM137" s="20" t="s">
        <v>43</v>
      </c>
      <c r="AN137" s="20" t="s">
        <v>3079</v>
      </c>
      <c r="AO137" s="20" t="s">
        <v>43</v>
      </c>
    </row>
    <row r="138" spans="1:41" s="9" customFormat="1" x14ac:dyDescent="0.3">
      <c r="A138" s="20" t="s">
        <v>4414</v>
      </c>
      <c r="B138" s="20">
        <v>2469</v>
      </c>
      <c r="C138" s="20" t="str">
        <f>IF(Z138&lt;0, "Down", "Up")</f>
        <v>Up</v>
      </c>
      <c r="D138" s="21" t="str">
        <f>IF(AD138&lt;0.05, "Sig", "N")</f>
        <v>Sig</v>
      </c>
      <c r="E138" s="22" t="str">
        <f>IF(AND(J138&gt;2,L138&gt;2,N138&gt;2,P138&gt;2),"Y","N")</f>
        <v>Y</v>
      </c>
      <c r="F138" s="22" t="str">
        <f>IF(AND(R138&gt;2,T138&gt;2,V138&gt;2,X138&gt;2),"Y","N")</f>
        <v>Y</v>
      </c>
      <c r="G138" s="21" t="str">
        <f>IF(AVERAGE(J138,L138,N138,P138) &gt; AVERAGE(R138,T138,V138,X138), "Smaller", IF(AVERAGE(J138,L138,N138,P138) &lt; AVERAGE(R138,T138,V138,X138), "Larger", "Equal"))</f>
        <v>Larger</v>
      </c>
      <c r="H138" s="22" t="str">
        <f>IF(OR(E138="Y", F138="Y"), "Expressed", "N")</f>
        <v>Expressed</v>
      </c>
      <c r="I138" s="20">
        <v>2077</v>
      </c>
      <c r="J138" s="20">
        <v>15.514067662421651</v>
      </c>
      <c r="K138" s="20">
        <v>4680</v>
      </c>
      <c r="L138" s="20">
        <v>19.59155328570025</v>
      </c>
      <c r="M138" s="20">
        <v>4970</v>
      </c>
      <c r="N138" s="20">
        <v>18.949291392237409</v>
      </c>
      <c r="O138" s="20">
        <v>1458</v>
      </c>
      <c r="P138" s="20">
        <v>15.58595602664019</v>
      </c>
      <c r="Q138" s="20">
        <v>2628</v>
      </c>
      <c r="R138" s="20">
        <v>26.4246593033971</v>
      </c>
      <c r="S138" s="20">
        <v>3482</v>
      </c>
      <c r="T138" s="20">
        <v>22.94272020835356</v>
      </c>
      <c r="U138" s="20">
        <v>1322</v>
      </c>
      <c r="V138" s="20">
        <v>20.740537146133558</v>
      </c>
      <c r="W138" s="20">
        <v>4125</v>
      </c>
      <c r="X138" s="20">
        <v>18.72808929224297</v>
      </c>
      <c r="Y138" s="20">
        <v>2819.5166205598189</v>
      </c>
      <c r="Z138" s="20">
        <v>0.47626338579128041</v>
      </c>
      <c r="AA138" s="20">
        <v>0.13111165494601559</v>
      </c>
      <c r="AB138" s="20">
        <v>3.6325022820235069</v>
      </c>
      <c r="AC138" s="20">
        <v>2.8068609292658308E-4</v>
      </c>
      <c r="AD138" s="20">
        <v>4.3432124523279207E-2</v>
      </c>
      <c r="AE138" s="20" t="s">
        <v>4415</v>
      </c>
      <c r="AF138" s="20" t="s">
        <v>4416</v>
      </c>
      <c r="AG138" s="20" t="s">
        <v>4417</v>
      </c>
      <c r="AH138" s="20" t="s">
        <v>4418</v>
      </c>
      <c r="AI138" s="20" t="s">
        <v>43</v>
      </c>
      <c r="AJ138" s="20" t="s">
        <v>43</v>
      </c>
      <c r="AK138" s="20" t="s">
        <v>43</v>
      </c>
      <c r="AL138" s="20" t="s">
        <v>43</v>
      </c>
      <c r="AM138" s="20" t="s">
        <v>43</v>
      </c>
      <c r="AN138" s="20" t="s">
        <v>371</v>
      </c>
      <c r="AO138" s="20" t="s">
        <v>43</v>
      </c>
    </row>
    <row r="139" spans="1:41" s="9" customFormat="1" x14ac:dyDescent="0.3">
      <c r="A139" s="20" t="s">
        <v>4419</v>
      </c>
      <c r="B139" s="20">
        <v>1195</v>
      </c>
      <c r="C139" s="20" t="str">
        <f>IF(Z139&lt;0, "Down", "Up")</f>
        <v>Up</v>
      </c>
      <c r="D139" s="21" t="str">
        <f>IF(AD139&lt;0.05, "Sig", "N")</f>
        <v>Sig</v>
      </c>
      <c r="E139" s="22" t="str">
        <f>IF(AND(J139&gt;2,L139&gt;2,N139&gt;2,P139&gt;2),"Y","N")</f>
        <v>Y</v>
      </c>
      <c r="F139" s="22" t="str">
        <f>IF(AND(R139&gt;2,T139&gt;2,V139&gt;2,X139&gt;2),"Y","N")</f>
        <v>Y</v>
      </c>
      <c r="G139" s="21" t="str">
        <f>IF(AVERAGE(J139,L139,N139,P139) &gt; AVERAGE(R139,T139,V139,X139), "Smaller", IF(AVERAGE(J139,L139,N139,P139) &lt; AVERAGE(R139,T139,V139,X139), "Larger", "Equal"))</f>
        <v>Larger</v>
      </c>
      <c r="H139" s="22" t="str">
        <f>IF(OR(E139="Y", F139="Y"), "Expressed", "N")</f>
        <v>Expressed</v>
      </c>
      <c r="I139" s="20">
        <v>150</v>
      </c>
      <c r="J139" s="20">
        <v>2.314907427544902</v>
      </c>
      <c r="K139" s="20">
        <v>245</v>
      </c>
      <c r="L139" s="20">
        <v>2.1190552766667579</v>
      </c>
      <c r="M139" s="20">
        <v>287</v>
      </c>
      <c r="N139" s="20">
        <v>2.2608495707994591</v>
      </c>
      <c r="O139" s="20">
        <v>98</v>
      </c>
      <c r="P139" s="20">
        <v>2.1644880027767242</v>
      </c>
      <c r="Q139" s="20">
        <v>148</v>
      </c>
      <c r="R139" s="20">
        <v>3.074673011397357</v>
      </c>
      <c r="S139" s="20">
        <v>204</v>
      </c>
      <c r="T139" s="20">
        <v>2.7771510010028111</v>
      </c>
      <c r="U139" s="20">
        <v>128</v>
      </c>
      <c r="V139" s="20">
        <v>4.1490789505990557</v>
      </c>
      <c r="W139" s="20">
        <v>325</v>
      </c>
      <c r="X139" s="20">
        <v>3.0486394421864982</v>
      </c>
      <c r="Y139" s="20">
        <v>189.54929158200019</v>
      </c>
      <c r="Z139" s="20">
        <v>0.66976581197624574</v>
      </c>
      <c r="AA139" s="20">
        <v>0.17719430709123249</v>
      </c>
      <c r="AB139" s="20">
        <v>3.779838206830211</v>
      </c>
      <c r="AC139" s="20">
        <v>1.569302991863035E-4</v>
      </c>
      <c r="AD139" s="20">
        <v>2.886172388177816E-2</v>
      </c>
      <c r="AE139" s="20" t="s">
        <v>4420</v>
      </c>
      <c r="AF139" s="20" t="s">
        <v>4421</v>
      </c>
      <c r="AG139" s="20" t="s">
        <v>43</v>
      </c>
      <c r="AH139" s="20" t="s">
        <v>4422</v>
      </c>
      <c r="AI139" s="20" t="s">
        <v>43</v>
      </c>
      <c r="AJ139" s="20" t="s">
        <v>43</v>
      </c>
      <c r="AK139" s="20" t="s">
        <v>43</v>
      </c>
      <c r="AL139" s="20" t="s">
        <v>43</v>
      </c>
      <c r="AM139" s="20" t="s">
        <v>43</v>
      </c>
      <c r="AN139" s="20" t="s">
        <v>4423</v>
      </c>
      <c r="AO139" s="20" t="s">
        <v>43</v>
      </c>
    </row>
    <row r="140" spans="1:41" s="9" customFormat="1" x14ac:dyDescent="0.3">
      <c r="A140" s="20" t="s">
        <v>4036</v>
      </c>
      <c r="B140" s="20">
        <v>2467</v>
      </c>
      <c r="C140" s="20" t="str">
        <f>IF(Z140&lt;0, "Down", "Up")</f>
        <v>Up</v>
      </c>
      <c r="D140" s="21" t="str">
        <f>IF(AD140&lt;0.05, "Sig", "N")</f>
        <v>Sig</v>
      </c>
      <c r="E140" s="22" t="str">
        <f>IF(AND(J140&gt;2,L140&gt;2,N140&gt;2,P140&gt;2),"Y","N")</f>
        <v>N</v>
      </c>
      <c r="F140" s="22" t="str">
        <f>IF(AND(R140&gt;2,T140&gt;2,V140&gt;2,X140&gt;2),"Y","N")</f>
        <v>Y</v>
      </c>
      <c r="G140" s="21" t="str">
        <f>IF(AVERAGE(J140,L140,N140,P140) &gt; AVERAGE(R140,T140,V140,X140), "Smaller", IF(AVERAGE(J140,L140,N140,P140) &lt; AVERAGE(R140,T140,V140,X140), "Larger", "Equal"))</f>
        <v>Larger</v>
      </c>
      <c r="H140" s="22" t="str">
        <f>IF(OR(E140="Y", F140="Y"), "Expressed", "N")</f>
        <v>Expressed</v>
      </c>
      <c r="I140" s="20">
        <v>259</v>
      </c>
      <c r="J140" s="20">
        <v>1.9361584201115649</v>
      </c>
      <c r="K140" s="20">
        <v>709</v>
      </c>
      <c r="L140" s="20">
        <v>2.9704427891966509</v>
      </c>
      <c r="M140" s="20">
        <v>941</v>
      </c>
      <c r="N140" s="20">
        <v>3.590691960521585</v>
      </c>
      <c r="O140" s="20">
        <v>240</v>
      </c>
      <c r="P140" s="20">
        <v>2.5676693960125259</v>
      </c>
      <c r="Q140" s="20">
        <v>901</v>
      </c>
      <c r="R140" s="20">
        <v>9.066940528507315</v>
      </c>
      <c r="S140" s="20">
        <v>893</v>
      </c>
      <c r="T140" s="20">
        <v>5.8887015138159677</v>
      </c>
      <c r="U140" s="20">
        <v>239</v>
      </c>
      <c r="V140" s="20">
        <v>3.7526528098583909</v>
      </c>
      <c r="W140" s="20">
        <v>1234</v>
      </c>
      <c r="X140" s="20">
        <v>5.6070782708758378</v>
      </c>
      <c r="Y140" s="20">
        <v>635.2464533494973</v>
      </c>
      <c r="Z140" s="20">
        <v>1.270338496124539</v>
      </c>
      <c r="AA140" s="20">
        <v>0.25902414927687362</v>
      </c>
      <c r="AB140" s="20">
        <v>4.9043245568839247</v>
      </c>
      <c r="AC140" s="20">
        <v>9.3749370194625898E-7</v>
      </c>
      <c r="AD140" s="20">
        <v>9.2018117736181637E-4</v>
      </c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s="9" customFormat="1" x14ac:dyDescent="0.3">
      <c r="A141" s="20" t="s">
        <v>4424</v>
      </c>
      <c r="B141" s="20">
        <v>2611</v>
      </c>
      <c r="C141" s="20" t="str">
        <f>IF(Z141&lt;0, "Down", "Up")</f>
        <v>Up</v>
      </c>
      <c r="D141" s="21" t="str">
        <f>IF(AD141&lt;0.05, "Sig", "N")</f>
        <v>Sig</v>
      </c>
      <c r="E141" s="22" t="str">
        <f>IF(AND(J141&gt;2,L141&gt;2,N141&gt;2,P141&gt;2),"Y","N")</f>
        <v>Y</v>
      </c>
      <c r="F141" s="22" t="str">
        <f>IF(AND(R141&gt;2,T141&gt;2,V141&gt;2,X141&gt;2),"Y","N")</f>
        <v>Y</v>
      </c>
      <c r="G141" s="21" t="str">
        <f>IF(AVERAGE(J141,L141,N141,P141) &gt; AVERAGE(R141,T141,V141,X141), "Smaller", IF(AVERAGE(J141,L141,N141,P141) &lt; AVERAGE(R141,T141,V141,X141), "Larger", "Equal"))</f>
        <v>Larger</v>
      </c>
      <c r="H141" s="22" t="str">
        <f>IF(OR(E141="Y", F141="Y"), "Expressed", "N")</f>
        <v>Expressed</v>
      </c>
      <c r="I141" s="20">
        <v>6011</v>
      </c>
      <c r="J141" s="20">
        <v>42.457080846756092</v>
      </c>
      <c r="K141" s="20">
        <v>12631</v>
      </c>
      <c r="L141" s="20">
        <v>50.000571684154941</v>
      </c>
      <c r="M141" s="20">
        <v>15587</v>
      </c>
      <c r="N141" s="20">
        <v>56.197026785312133</v>
      </c>
      <c r="O141" s="20">
        <v>4659</v>
      </c>
      <c r="P141" s="20">
        <v>47.095872946870863</v>
      </c>
      <c r="Q141" s="20">
        <v>7538</v>
      </c>
      <c r="R141" s="20">
        <v>71.672802607720868</v>
      </c>
      <c r="S141" s="20">
        <v>11472</v>
      </c>
      <c r="T141" s="20">
        <v>71.477523747169911</v>
      </c>
      <c r="U141" s="20">
        <v>3848</v>
      </c>
      <c r="V141" s="20">
        <v>57.087079553082731</v>
      </c>
      <c r="W141" s="20">
        <v>12275</v>
      </c>
      <c r="X141" s="20">
        <v>52.699347420844248</v>
      </c>
      <c r="Y141" s="20">
        <v>8448.3725010643939</v>
      </c>
      <c r="Z141" s="20">
        <v>0.49862320991841452</v>
      </c>
      <c r="AA141" s="20">
        <v>0.13354656371746321</v>
      </c>
      <c r="AB141" s="20">
        <v>3.7337030323994189</v>
      </c>
      <c r="AC141" s="20">
        <v>1.886849567140201E-4</v>
      </c>
      <c r="AD141" s="20">
        <v>3.2649598558283532E-2</v>
      </c>
      <c r="AE141" s="20" t="s">
        <v>4425</v>
      </c>
      <c r="AF141" s="20" t="s">
        <v>4426</v>
      </c>
      <c r="AG141" s="20" t="s">
        <v>4427</v>
      </c>
      <c r="AH141" s="20" t="s">
        <v>4428</v>
      </c>
      <c r="AI141" s="20" t="s">
        <v>43</v>
      </c>
      <c r="AJ141" s="20" t="s">
        <v>43</v>
      </c>
      <c r="AK141" s="20" t="s">
        <v>43</v>
      </c>
      <c r="AL141" s="20" t="s">
        <v>43</v>
      </c>
      <c r="AM141" s="20" t="s">
        <v>43</v>
      </c>
      <c r="AN141" s="20" t="s">
        <v>4429</v>
      </c>
      <c r="AO141" s="20" t="s">
        <v>43</v>
      </c>
    </row>
    <row r="142" spans="1:41" s="9" customFormat="1" x14ac:dyDescent="0.3">
      <c r="A142" s="20" t="s">
        <v>4430</v>
      </c>
      <c r="B142" s="20">
        <v>2678</v>
      </c>
      <c r="C142" s="20" t="str">
        <f>IF(Z142&lt;0, "Down", "Up")</f>
        <v>Up</v>
      </c>
      <c r="D142" s="21" t="str">
        <f>IF(AD142&lt;0.05, "Sig", "N")</f>
        <v>Sig</v>
      </c>
      <c r="E142" s="22" t="str">
        <f>IF(AND(J142&gt;2,L142&gt;2,N142&gt;2,P142&gt;2),"Y","N")</f>
        <v>Y</v>
      </c>
      <c r="F142" s="22" t="str">
        <f>IF(AND(R142&gt;2,T142&gt;2,V142&gt;2,X142&gt;2),"Y","N")</f>
        <v>Y</v>
      </c>
      <c r="G142" s="21" t="str">
        <f>IF(AVERAGE(J142,L142,N142,P142) &gt; AVERAGE(R142,T142,V142,X142), "Smaller", IF(AVERAGE(J142,L142,N142,P142) &lt; AVERAGE(R142,T142,V142,X142), "Larger", "Equal"))</f>
        <v>Larger</v>
      </c>
      <c r="H142" s="22" t="str">
        <f>IF(OR(E142="Y", F142="Y"), "Expressed", "N")</f>
        <v>Expressed</v>
      </c>
      <c r="I142" s="20">
        <v>6750</v>
      </c>
      <c r="J142" s="20">
        <v>46.483998101653128</v>
      </c>
      <c r="K142" s="20">
        <v>12688</v>
      </c>
      <c r="L142" s="20">
        <v>48.969616609510069</v>
      </c>
      <c r="M142" s="20">
        <v>12288</v>
      </c>
      <c r="N142" s="20">
        <v>43.194485501362998</v>
      </c>
      <c r="O142" s="20">
        <v>3491</v>
      </c>
      <c r="P142" s="20">
        <v>34.406166660863967</v>
      </c>
      <c r="Q142" s="20">
        <v>7571</v>
      </c>
      <c r="R142" s="20">
        <v>70.185564803051932</v>
      </c>
      <c r="S142" s="20">
        <v>10318</v>
      </c>
      <c r="T142" s="20">
        <v>62.679017876002483</v>
      </c>
      <c r="U142" s="20">
        <v>3753</v>
      </c>
      <c r="V142" s="20">
        <v>54.284723019189677</v>
      </c>
      <c r="W142" s="20">
        <v>13397</v>
      </c>
      <c r="X142" s="20">
        <v>56.07736429635451</v>
      </c>
      <c r="Y142" s="20">
        <v>8078.4074041135118</v>
      </c>
      <c r="Z142" s="20">
        <v>0.61218710010263555</v>
      </c>
      <c r="AA142" s="20">
        <v>0.15674161598699071</v>
      </c>
      <c r="AB142" s="20">
        <v>3.905708743958888</v>
      </c>
      <c r="AC142" s="20">
        <v>9.3949616483160153E-5</v>
      </c>
      <c r="AD142" s="20">
        <v>2.038505591002561E-2</v>
      </c>
      <c r="AE142" s="20" t="s">
        <v>4431</v>
      </c>
      <c r="AF142" s="20" t="s">
        <v>4432</v>
      </c>
      <c r="AG142" s="20" t="s">
        <v>4433</v>
      </c>
      <c r="AH142" s="20" t="s">
        <v>4434</v>
      </c>
      <c r="AI142" s="20" t="s">
        <v>43</v>
      </c>
      <c r="AJ142" s="20" t="s">
        <v>43</v>
      </c>
      <c r="AK142" s="20" t="s">
        <v>43</v>
      </c>
      <c r="AL142" s="20" t="s">
        <v>43</v>
      </c>
      <c r="AM142" s="20" t="s">
        <v>43</v>
      </c>
      <c r="AN142" s="20" t="s">
        <v>87</v>
      </c>
      <c r="AO142" s="20" t="s">
        <v>43</v>
      </c>
    </row>
    <row r="143" spans="1:41" s="9" customFormat="1" x14ac:dyDescent="0.3">
      <c r="A143" s="20" t="s">
        <v>4435</v>
      </c>
      <c r="B143" s="20">
        <v>1340</v>
      </c>
      <c r="C143" s="20" t="str">
        <f>IF(Z143&lt;0, "Down", "Up")</f>
        <v>Up</v>
      </c>
      <c r="D143" s="21" t="str">
        <f>IF(AD143&lt;0.05, "Sig", "N")</f>
        <v>Sig</v>
      </c>
      <c r="E143" s="22" t="str">
        <f>IF(AND(J143&gt;2,L143&gt;2,N143&gt;2,P143&gt;2),"Y","N")</f>
        <v>Y</v>
      </c>
      <c r="F143" s="22" t="str">
        <f>IF(AND(R143&gt;2,T143&gt;2,V143&gt;2,X143&gt;2),"Y","N")</f>
        <v>Y</v>
      </c>
      <c r="G143" s="21" t="str">
        <f>IF(AVERAGE(J143,L143,N143,P143) &gt; AVERAGE(R143,T143,V143,X143), "Smaller", IF(AVERAGE(J143,L143,N143,P143) &lt; AVERAGE(R143,T143,V143,X143), "Larger", "Equal"))</f>
        <v>Larger</v>
      </c>
      <c r="H143" s="22" t="str">
        <f>IF(OR(E143="Y", F143="Y"), "Expressed", "N")</f>
        <v>Expressed</v>
      </c>
      <c r="I143" s="20">
        <v>11569</v>
      </c>
      <c r="J143" s="20">
        <v>159.22134833320411</v>
      </c>
      <c r="K143" s="20">
        <v>20189</v>
      </c>
      <c r="L143" s="20">
        <v>155.72348565899199</v>
      </c>
      <c r="M143" s="20">
        <v>19287</v>
      </c>
      <c r="N143" s="20">
        <v>135.4932179989884</v>
      </c>
      <c r="O143" s="20">
        <v>6599</v>
      </c>
      <c r="P143" s="20">
        <v>129.9781473860547</v>
      </c>
      <c r="Q143" s="20">
        <v>10765</v>
      </c>
      <c r="R143" s="20">
        <v>199.44096251710661</v>
      </c>
      <c r="S143" s="20">
        <v>14588</v>
      </c>
      <c r="T143" s="20">
        <v>177.10392584555771</v>
      </c>
      <c r="U143" s="20">
        <v>6531</v>
      </c>
      <c r="V143" s="20">
        <v>188.79240542504141</v>
      </c>
      <c r="W143" s="20">
        <v>23477</v>
      </c>
      <c r="X143" s="20">
        <v>196.39408789927401</v>
      </c>
      <c r="Y143" s="20">
        <v>13029.836119060659</v>
      </c>
      <c r="Z143" s="20">
        <v>0.51473555649277658</v>
      </c>
      <c r="AA143" s="20">
        <v>0.13269991673079201</v>
      </c>
      <c r="AB143" s="20">
        <v>3.8789440805529609</v>
      </c>
      <c r="AC143" s="20">
        <v>1.049108658197544E-4</v>
      </c>
      <c r="AD143" s="20">
        <v>2.1591221047846221E-2</v>
      </c>
      <c r="AE143" s="20" t="s">
        <v>4436</v>
      </c>
      <c r="AF143" s="20" t="s">
        <v>4437</v>
      </c>
      <c r="AG143" s="20" t="s">
        <v>4438</v>
      </c>
      <c r="AH143" s="20" t="s">
        <v>4439</v>
      </c>
      <c r="AI143" s="20" t="s">
        <v>43</v>
      </c>
      <c r="AJ143" s="20" t="s">
        <v>43</v>
      </c>
      <c r="AK143" s="20" t="s">
        <v>43</v>
      </c>
      <c r="AL143" s="20" t="s">
        <v>43</v>
      </c>
      <c r="AM143" s="20" t="s">
        <v>43</v>
      </c>
      <c r="AN143" s="20" t="s">
        <v>87</v>
      </c>
      <c r="AO143" s="20" t="s">
        <v>43</v>
      </c>
    </row>
    <row r="144" spans="1:41" s="9" customFormat="1" x14ac:dyDescent="0.3">
      <c r="A144" s="20" t="s">
        <v>4440</v>
      </c>
      <c r="B144" s="20">
        <v>3234</v>
      </c>
      <c r="C144" s="20" t="str">
        <f>IF(Z144&lt;0, "Down", "Up")</f>
        <v>Up</v>
      </c>
      <c r="D144" s="21" t="str">
        <f>IF(AD144&lt;0.05, "Sig", "N")</f>
        <v>Sig</v>
      </c>
      <c r="E144" s="22" t="str">
        <f>IF(AND(J144&gt;2,L144&gt;2,N144&gt;2,P144&gt;2),"Y","N")</f>
        <v>Y</v>
      </c>
      <c r="F144" s="22" t="str">
        <f>IF(AND(R144&gt;2,T144&gt;2,V144&gt;2,X144&gt;2),"Y","N")</f>
        <v>Y</v>
      </c>
      <c r="G144" s="21" t="str">
        <f>IF(AVERAGE(J144,L144,N144,P144) &gt; AVERAGE(R144,T144,V144,X144), "Smaller", IF(AVERAGE(J144,L144,N144,P144) &lt; AVERAGE(R144,T144,V144,X144), "Larger", "Equal"))</f>
        <v>Larger</v>
      </c>
      <c r="H144" s="22" t="str">
        <f>IF(OR(E144="Y", F144="Y"), "Expressed", "N")</f>
        <v>Expressed</v>
      </c>
      <c r="I144" s="20">
        <v>3464</v>
      </c>
      <c r="J144" s="20">
        <v>19.75368583420649</v>
      </c>
      <c r="K144" s="20">
        <v>6718</v>
      </c>
      <c r="L144" s="20">
        <v>21.470595524129461</v>
      </c>
      <c r="M144" s="20">
        <v>8157</v>
      </c>
      <c r="N144" s="20">
        <v>23.74368500736767</v>
      </c>
      <c r="O144" s="20">
        <v>2871</v>
      </c>
      <c r="P144" s="20">
        <v>23.430965765168899</v>
      </c>
      <c r="Q144" s="20">
        <v>4584</v>
      </c>
      <c r="R144" s="20">
        <v>35.189226369472479</v>
      </c>
      <c r="S144" s="20">
        <v>5533</v>
      </c>
      <c r="T144" s="20">
        <v>27.832863302617291</v>
      </c>
      <c r="U144" s="20">
        <v>2798</v>
      </c>
      <c r="V144" s="20">
        <v>33.513310408000223</v>
      </c>
      <c r="W144" s="20">
        <v>6691</v>
      </c>
      <c r="X144" s="20">
        <v>23.192182652267231</v>
      </c>
      <c r="Y144" s="20">
        <v>4845.9253659099313</v>
      </c>
      <c r="Z144" s="20">
        <v>0.55749818714037036</v>
      </c>
      <c r="AA144" s="20">
        <v>0.1232811044116275</v>
      </c>
      <c r="AB144" s="20">
        <v>4.5221706100143342</v>
      </c>
      <c r="AC144" s="20">
        <v>6.120869174701419E-6</v>
      </c>
      <c r="AD144" s="20">
        <v>3.4286803551220788E-3</v>
      </c>
      <c r="AE144" s="20" t="s">
        <v>4441</v>
      </c>
      <c r="AF144" s="20" t="s">
        <v>4442</v>
      </c>
      <c r="AG144" s="20" t="s">
        <v>43</v>
      </c>
      <c r="AH144" s="20" t="s">
        <v>4443</v>
      </c>
      <c r="AI144" s="20" t="s">
        <v>43</v>
      </c>
      <c r="AJ144" s="20" t="s">
        <v>43</v>
      </c>
      <c r="AK144" s="20" t="s">
        <v>43</v>
      </c>
      <c r="AL144" s="20" t="s">
        <v>43</v>
      </c>
      <c r="AM144" s="20" t="s">
        <v>43</v>
      </c>
      <c r="AN144" s="20" t="s">
        <v>4444</v>
      </c>
      <c r="AO144" s="20" t="s">
        <v>43</v>
      </c>
    </row>
    <row r="145" spans="1:41" s="9" customFormat="1" x14ac:dyDescent="0.3">
      <c r="A145" s="20" t="s">
        <v>4445</v>
      </c>
      <c r="B145" s="20">
        <v>1334</v>
      </c>
      <c r="C145" s="20" t="str">
        <f>IF(Z145&lt;0, "Down", "Up")</f>
        <v>Up</v>
      </c>
      <c r="D145" s="21" t="str">
        <f>IF(AD145&lt;0.05, "Sig", "N")</f>
        <v>Sig</v>
      </c>
      <c r="E145" s="22" t="str">
        <f>IF(AND(J145&gt;2,L145&gt;2,N145&gt;2,P145&gt;2),"Y","N")</f>
        <v>N</v>
      </c>
      <c r="F145" s="22" t="str">
        <f>IF(AND(R145&gt;2,T145&gt;2,V145&gt;2,X145&gt;2),"Y","N")</f>
        <v>Y</v>
      </c>
      <c r="G145" s="21" t="str">
        <f>IF(AVERAGE(J145,L145,N145,P145) &gt; AVERAGE(R145,T145,V145,X145), "Smaller", IF(AVERAGE(J145,L145,N145,P145) &lt; AVERAGE(R145,T145,V145,X145), "Larger", "Equal"))</f>
        <v>Larger</v>
      </c>
      <c r="H145" s="22" t="str">
        <f>IF(OR(E145="Y", F145="Y"), "Expressed", "N")</f>
        <v>Expressed</v>
      </c>
      <c r="I145" s="20">
        <v>108</v>
      </c>
      <c r="J145" s="20">
        <v>1.4930632313790351</v>
      </c>
      <c r="K145" s="20">
        <v>334</v>
      </c>
      <c r="L145" s="20">
        <v>2.5878240448428942</v>
      </c>
      <c r="M145" s="20">
        <v>270</v>
      </c>
      <c r="N145" s="20">
        <v>1.9053098381604809</v>
      </c>
      <c r="O145" s="20">
        <v>61</v>
      </c>
      <c r="P145" s="20">
        <v>1.20689925161712</v>
      </c>
      <c r="Q145" s="20">
        <v>261</v>
      </c>
      <c r="R145" s="20">
        <v>4.8572426905961468</v>
      </c>
      <c r="S145" s="20">
        <v>289</v>
      </c>
      <c r="T145" s="20">
        <v>3.5243517357178971</v>
      </c>
      <c r="U145" s="20">
        <v>126</v>
      </c>
      <c r="V145" s="20">
        <v>3.658679357147792</v>
      </c>
      <c r="W145" s="20">
        <v>296</v>
      </c>
      <c r="X145" s="20">
        <v>2.487290378249817</v>
      </c>
      <c r="Y145" s="20">
        <v>209.81305038580209</v>
      </c>
      <c r="Z145" s="20">
        <v>1.1178779027509551</v>
      </c>
      <c r="AA145" s="20">
        <v>0.26487172789184588</v>
      </c>
      <c r="AB145" s="20">
        <v>4.2204500708637891</v>
      </c>
      <c r="AC145" s="20">
        <v>2.4381505525487871E-5</v>
      </c>
      <c r="AD145" s="20">
        <v>9.1246366899747355E-3</v>
      </c>
      <c r="AE145" s="20" t="s">
        <v>4446</v>
      </c>
      <c r="AF145" s="20" t="s">
        <v>4447</v>
      </c>
      <c r="AG145" s="20" t="s">
        <v>43</v>
      </c>
      <c r="AH145" s="20" t="s">
        <v>43</v>
      </c>
      <c r="AI145" s="20" t="s">
        <v>43</v>
      </c>
      <c r="AJ145" s="20" t="s">
        <v>43</v>
      </c>
      <c r="AK145" s="20" t="s">
        <v>43</v>
      </c>
      <c r="AL145" s="20" t="s">
        <v>43</v>
      </c>
      <c r="AM145" s="20" t="s">
        <v>43</v>
      </c>
      <c r="AN145" s="20" t="s">
        <v>43</v>
      </c>
      <c r="AO145" s="20" t="s">
        <v>43</v>
      </c>
    </row>
    <row r="146" spans="1:41" s="9" customFormat="1" x14ac:dyDescent="0.3">
      <c r="A146" s="20" t="s">
        <v>4448</v>
      </c>
      <c r="B146" s="20">
        <v>2869</v>
      </c>
      <c r="C146" s="20" t="str">
        <f>IF(Z146&lt;0, "Down", "Up")</f>
        <v>Up</v>
      </c>
      <c r="D146" s="21" t="str">
        <f>IF(AD146&lt;0.05, "Sig", "N")</f>
        <v>Sig</v>
      </c>
      <c r="E146" s="22" t="str">
        <f>IF(AND(J146&gt;2,L146&gt;2,N146&gt;2,P146&gt;2),"Y","N")</f>
        <v>Y</v>
      </c>
      <c r="F146" s="22" t="str">
        <f>IF(AND(R146&gt;2,T146&gt;2,V146&gt;2,X146&gt;2),"Y","N")</f>
        <v>Y</v>
      </c>
      <c r="G146" s="21" t="str">
        <f>IF(AVERAGE(J146,L146,N146,P146) &gt; AVERAGE(R146,T146,V146,X146), "Smaller", IF(AVERAGE(J146,L146,N146,P146) &lt; AVERAGE(R146,T146,V146,X146), "Larger", "Equal"))</f>
        <v>Larger</v>
      </c>
      <c r="H146" s="22" t="str">
        <f>IF(OR(E146="Y", F146="Y"), "Expressed", "N")</f>
        <v>Expressed</v>
      </c>
      <c r="I146" s="20">
        <v>16963</v>
      </c>
      <c r="J146" s="20">
        <v>109.0391327028367</v>
      </c>
      <c r="K146" s="20">
        <v>31672</v>
      </c>
      <c r="L146" s="20">
        <v>114.10089396645991</v>
      </c>
      <c r="M146" s="20">
        <v>36375</v>
      </c>
      <c r="N146" s="20">
        <v>119.3521176747076</v>
      </c>
      <c r="O146" s="20">
        <v>12276</v>
      </c>
      <c r="P146" s="20">
        <v>112.93364463510019</v>
      </c>
      <c r="Q146" s="20">
        <v>19570</v>
      </c>
      <c r="R146" s="20">
        <v>169.34228011806141</v>
      </c>
      <c r="S146" s="20">
        <v>22525</v>
      </c>
      <c r="T146" s="20">
        <v>127.7236977522024</v>
      </c>
      <c r="U146" s="20">
        <v>10172</v>
      </c>
      <c r="V146" s="20">
        <v>137.3363300234316</v>
      </c>
      <c r="W146" s="20">
        <v>31303</v>
      </c>
      <c r="X146" s="20">
        <v>122.30550955650359</v>
      </c>
      <c r="Y146" s="20">
        <v>20912.91385430927</v>
      </c>
      <c r="Z146" s="20">
        <v>0.41143510260461053</v>
      </c>
      <c r="AA146" s="20">
        <v>0.1076019757193475</v>
      </c>
      <c r="AB146" s="20">
        <v>3.823676097525706</v>
      </c>
      <c r="AC146" s="20">
        <v>1.3147661107877569E-4</v>
      </c>
      <c r="AD146" s="20">
        <v>2.5307074817975141E-2</v>
      </c>
      <c r="AE146" s="20" t="s">
        <v>4449</v>
      </c>
      <c r="AF146" s="20" t="s">
        <v>4450</v>
      </c>
      <c r="AG146" s="20" t="s">
        <v>43</v>
      </c>
      <c r="AH146" s="20" t="s">
        <v>4451</v>
      </c>
      <c r="AI146" s="20" t="s">
        <v>43</v>
      </c>
      <c r="AJ146" s="20" t="s">
        <v>43</v>
      </c>
      <c r="AK146" s="20" t="s">
        <v>43</v>
      </c>
      <c r="AL146" s="20" t="s">
        <v>43</v>
      </c>
      <c r="AM146" s="20" t="s">
        <v>43</v>
      </c>
      <c r="AN146" s="20" t="s">
        <v>2210</v>
      </c>
      <c r="AO146" s="20" t="s">
        <v>43</v>
      </c>
    </row>
    <row r="147" spans="1:41" s="9" customFormat="1" x14ac:dyDescent="0.3">
      <c r="A147" s="20" t="s">
        <v>4452</v>
      </c>
      <c r="B147" s="20">
        <v>2031</v>
      </c>
      <c r="C147" s="20" t="str">
        <f>IF(Z147&lt;0, "Down", "Up")</f>
        <v>Up</v>
      </c>
      <c r="D147" s="21" t="str">
        <f>IF(AD147&lt;0.05, "Sig", "N")</f>
        <v>Sig</v>
      </c>
      <c r="E147" s="22" t="str">
        <f>IF(AND(J147&gt;2,L147&gt;2,N147&gt;2,P147&gt;2),"Y","N")</f>
        <v>Y</v>
      </c>
      <c r="F147" s="22" t="str">
        <f>IF(AND(R147&gt;2,T147&gt;2,V147&gt;2,X147&gt;2),"Y","N")</f>
        <v>Y</v>
      </c>
      <c r="G147" s="21" t="str">
        <f>IF(AVERAGE(J147,L147,N147,P147) &gt; AVERAGE(R147,T147,V147,X147), "Smaller", IF(AVERAGE(J147,L147,N147,P147) &lt; AVERAGE(R147,T147,V147,X147), "Larger", "Equal"))</f>
        <v>Larger</v>
      </c>
      <c r="H147" s="22" t="str">
        <f>IF(OR(E147="Y", F147="Y"), "Expressed", "N")</f>
        <v>Expressed</v>
      </c>
      <c r="I147" s="20">
        <v>63749</v>
      </c>
      <c r="J147" s="20">
        <v>578.86024995988544</v>
      </c>
      <c r="K147" s="20">
        <v>16792</v>
      </c>
      <c r="L147" s="20">
        <v>85.454828858643864</v>
      </c>
      <c r="M147" s="20">
        <v>13007</v>
      </c>
      <c r="N147" s="20">
        <v>60.287169240928208</v>
      </c>
      <c r="O147" s="20">
        <v>8246</v>
      </c>
      <c r="P147" s="20">
        <v>107.1594361113041</v>
      </c>
      <c r="Q147" s="20">
        <v>15359</v>
      </c>
      <c r="R147" s="20">
        <v>187.74057455571119</v>
      </c>
      <c r="S147" s="20">
        <v>20933</v>
      </c>
      <c r="T147" s="20">
        <v>167.67131948733419</v>
      </c>
      <c r="U147" s="20">
        <v>7508</v>
      </c>
      <c r="V147" s="20">
        <v>143.1937211099511</v>
      </c>
      <c r="W147" s="20">
        <v>94239</v>
      </c>
      <c r="X147" s="20">
        <v>520.1293416788925</v>
      </c>
      <c r="Y147" s="20">
        <v>28169.10867983718</v>
      </c>
      <c r="Z147" s="20">
        <v>0.37802357499265937</v>
      </c>
      <c r="AA147" s="20">
        <v>0.93890516281077263</v>
      </c>
      <c r="AB147" s="20">
        <v>0.40262168104495388</v>
      </c>
      <c r="AC147" s="20"/>
      <c r="AD147" s="20"/>
      <c r="AE147" s="20" t="s">
        <v>4453</v>
      </c>
      <c r="AF147" s="20" t="s">
        <v>4454</v>
      </c>
      <c r="AG147" s="20" t="s">
        <v>4455</v>
      </c>
      <c r="AH147" s="20" t="s">
        <v>4456</v>
      </c>
      <c r="AI147" s="20" t="s">
        <v>43</v>
      </c>
      <c r="AJ147" s="20" t="s">
        <v>43</v>
      </c>
      <c r="AK147" s="20" t="s">
        <v>43</v>
      </c>
      <c r="AL147" s="20" t="s">
        <v>43</v>
      </c>
      <c r="AM147" s="20" t="s">
        <v>43</v>
      </c>
      <c r="AN147" s="20" t="s">
        <v>4457</v>
      </c>
      <c r="AO147" s="20" t="s">
        <v>43</v>
      </c>
    </row>
    <row r="148" spans="1:41" s="9" customFormat="1" x14ac:dyDescent="0.3">
      <c r="A148" s="20" t="s">
        <v>4458</v>
      </c>
      <c r="B148" s="20">
        <v>2792</v>
      </c>
      <c r="C148" s="20" t="str">
        <f>IF(Z148&lt;0, "Down", "Up")</f>
        <v>Up</v>
      </c>
      <c r="D148" s="21" t="str">
        <f>IF(AD148&lt;0.05, "Sig", "N")</f>
        <v>Sig</v>
      </c>
      <c r="E148" s="22" t="str">
        <f>IF(AND(J148&gt;2,L148&gt;2,N148&gt;2,P148&gt;2),"Y","N")</f>
        <v>Y</v>
      </c>
      <c r="F148" s="22" t="str">
        <f>IF(AND(R148&gt;2,T148&gt;2,V148&gt;2,X148&gt;2),"Y","N")</f>
        <v>Y</v>
      </c>
      <c r="G148" s="21" t="str">
        <f>IF(AVERAGE(J148,L148,N148,P148) &gt; AVERAGE(R148,T148,V148,X148), "Smaller", IF(AVERAGE(J148,L148,N148,P148) &lt; AVERAGE(R148,T148,V148,X148), "Larger", "Equal"))</f>
        <v>Larger</v>
      </c>
      <c r="H148" s="22" t="str">
        <f>IF(OR(E148="Y", F148="Y"), "Expressed", "N")</f>
        <v>Expressed</v>
      </c>
      <c r="I148" s="20">
        <v>1258</v>
      </c>
      <c r="J148" s="20">
        <v>8.3095116640461448</v>
      </c>
      <c r="K148" s="20">
        <v>2137</v>
      </c>
      <c r="L148" s="20">
        <v>7.9110333399407189</v>
      </c>
      <c r="M148" s="20">
        <v>2316</v>
      </c>
      <c r="N148" s="20">
        <v>7.8087373695077007</v>
      </c>
      <c r="O148" s="20">
        <v>833</v>
      </c>
      <c r="P148" s="20">
        <v>7.8745655043712643</v>
      </c>
      <c r="Q148" s="20">
        <v>1236</v>
      </c>
      <c r="R148" s="20">
        <v>10.990265457518881</v>
      </c>
      <c r="S148" s="20">
        <v>1713</v>
      </c>
      <c r="T148" s="20">
        <v>9.9811177933763631</v>
      </c>
      <c r="U148" s="20">
        <v>660</v>
      </c>
      <c r="V148" s="20">
        <v>9.156682509003053</v>
      </c>
      <c r="W148" s="20">
        <v>2228</v>
      </c>
      <c r="X148" s="20">
        <v>8.9452067106500586</v>
      </c>
      <c r="Y148" s="20">
        <v>1431.1005306922921</v>
      </c>
      <c r="Z148" s="20">
        <v>0.41700278422961828</v>
      </c>
      <c r="AA148" s="20">
        <v>0.1156157414634021</v>
      </c>
      <c r="AB148" s="20">
        <v>3.6067993765504629</v>
      </c>
      <c r="AC148" s="20">
        <v>3.0999715507566803E-4</v>
      </c>
      <c r="AD148" s="20">
        <v>4.5978149475163023E-2</v>
      </c>
      <c r="AE148" s="20" t="s">
        <v>4459</v>
      </c>
      <c r="AF148" s="20" t="s">
        <v>4460</v>
      </c>
      <c r="AG148" s="20" t="s">
        <v>4461</v>
      </c>
      <c r="AH148" s="20" t="s">
        <v>4462</v>
      </c>
      <c r="AI148" s="20" t="s">
        <v>43</v>
      </c>
      <c r="AJ148" s="20" t="s">
        <v>43</v>
      </c>
      <c r="AK148" s="20" t="s">
        <v>43</v>
      </c>
      <c r="AL148" s="20" t="s">
        <v>43</v>
      </c>
      <c r="AM148" s="20" t="s">
        <v>43</v>
      </c>
      <c r="AN148" s="20" t="s">
        <v>4463</v>
      </c>
      <c r="AO148" s="20" t="s">
        <v>43</v>
      </c>
    </row>
    <row r="149" spans="1:41" s="10" customFormat="1" x14ac:dyDescent="0.3">
      <c r="A149" s="10" t="s">
        <v>489</v>
      </c>
      <c r="B149" s="10">
        <v>2343</v>
      </c>
      <c r="C149" s="10" t="str">
        <f>IF(Z149&lt;0, "Down", "Up")</f>
        <v>Up</v>
      </c>
      <c r="D149" s="11" t="str">
        <f>IF(AD149&lt;0.05, "Sig", "N")</f>
        <v>Sig</v>
      </c>
      <c r="E149" s="12" t="str">
        <f>IF(AND(J149&gt;2,L149&gt;2,N149&gt;2,P149&gt;2),"Y","N")</f>
        <v>Y</v>
      </c>
      <c r="F149" s="12" t="str">
        <f>IF(AND(R149&gt;2,T149&gt;2,V149&gt;2,X149&gt;2),"Y","N")</f>
        <v>Y</v>
      </c>
      <c r="G149" s="11" t="str">
        <f>IF(AVERAGE(J149,L149,N149,P149) &gt; AVERAGE(R149,T149,V149,X149), "Smaller", IF(AVERAGE(J149,L149,N149,P149) &lt; AVERAGE(R149,T149,V149,X149), "Larger", "Equal"))</f>
        <v>Larger</v>
      </c>
      <c r="H149" s="12" t="str">
        <f>IF(OR(E149="Y", F149="Y"), "Expressed", "N")</f>
        <v>Expressed</v>
      </c>
      <c r="I149" s="10">
        <v>1180</v>
      </c>
      <c r="J149" s="10">
        <v>9.2879526634829013</v>
      </c>
      <c r="K149" s="10">
        <v>4786</v>
      </c>
      <c r="L149" s="10">
        <v>21.112735760331489</v>
      </c>
      <c r="M149" s="10">
        <v>4258</v>
      </c>
      <c r="N149" s="10">
        <v>17.107677074411871</v>
      </c>
      <c r="O149" s="10">
        <v>1148</v>
      </c>
      <c r="P149" s="10">
        <v>12.93202727834224</v>
      </c>
      <c r="Q149" s="10">
        <v>3309</v>
      </c>
      <c r="R149" s="10">
        <v>35.061428316327692</v>
      </c>
      <c r="S149" s="10">
        <v>6293</v>
      </c>
      <c r="T149" s="10">
        <v>43.694087609580208</v>
      </c>
      <c r="U149" s="10">
        <v>1830</v>
      </c>
      <c r="V149" s="10">
        <v>30.254392415964929</v>
      </c>
      <c r="W149" s="10">
        <v>8681</v>
      </c>
      <c r="X149" s="10">
        <v>41.532500216234389</v>
      </c>
      <c r="Y149" s="10">
        <v>3626.8155869668722</v>
      </c>
      <c r="Z149" s="10">
        <v>1.4681087486156681</v>
      </c>
      <c r="AA149" s="10">
        <v>0.2336537114534121</v>
      </c>
      <c r="AB149" s="10">
        <v>6.2832674023600612</v>
      </c>
      <c r="AC149" s="10">
        <v>3.3153008786687618E-10</v>
      </c>
      <c r="AD149" s="10">
        <v>1.333786984749426E-6</v>
      </c>
      <c r="AE149" s="10" t="s">
        <v>490</v>
      </c>
      <c r="AF149" s="10" t="s">
        <v>491</v>
      </c>
      <c r="AG149" s="10" t="s">
        <v>492</v>
      </c>
      <c r="AH149" s="10" t="s">
        <v>493</v>
      </c>
      <c r="AI149" s="10" t="s">
        <v>43</v>
      </c>
      <c r="AJ149" s="10" t="s">
        <v>43</v>
      </c>
      <c r="AK149" s="10" t="s">
        <v>43</v>
      </c>
      <c r="AL149" s="10" t="s">
        <v>43</v>
      </c>
      <c r="AM149" s="10" t="s">
        <v>43</v>
      </c>
      <c r="AN149" s="10" t="s">
        <v>494</v>
      </c>
      <c r="AO149" s="10" t="s">
        <v>43</v>
      </c>
    </row>
    <row r="150" spans="1:41" s="9" customFormat="1" x14ac:dyDescent="0.3">
      <c r="A150" s="20" t="s">
        <v>4076</v>
      </c>
      <c r="B150" s="20">
        <v>2468</v>
      </c>
      <c r="C150" s="20" t="str">
        <f>IF(Z150&lt;0, "Down", "Up")</f>
        <v>Up</v>
      </c>
      <c r="D150" s="21" t="str">
        <f>IF(AD150&lt;0.05, "Sig", "N")</f>
        <v>Sig</v>
      </c>
      <c r="E150" s="22" t="str">
        <f>IF(AND(J150&gt;2,L150&gt;2,N150&gt;2,P150&gt;2),"Y","N")</f>
        <v>Y</v>
      </c>
      <c r="F150" s="22" t="str">
        <f>IF(AND(R150&gt;2,T150&gt;2,V150&gt;2,X150&gt;2),"Y","N")</f>
        <v>Y</v>
      </c>
      <c r="G150" s="21" t="str">
        <f>IF(AVERAGE(J150,L150,N150,P150) &gt; AVERAGE(R150,T150,V150,X150), "Smaller", IF(AVERAGE(J150,L150,N150,P150) &lt; AVERAGE(R150,T150,V150,X150), "Larger", "Equal"))</f>
        <v>Larger</v>
      </c>
      <c r="H150" s="22" t="str">
        <f>IF(OR(E150="Y", F150="Y"), "Expressed", "N")</f>
        <v>Expressed</v>
      </c>
      <c r="I150" s="20">
        <v>5535</v>
      </c>
      <c r="J150" s="20">
        <v>41.36021088788744</v>
      </c>
      <c r="K150" s="20">
        <v>9589</v>
      </c>
      <c r="L150" s="20">
        <v>40.158017980864059</v>
      </c>
      <c r="M150" s="20">
        <v>9470</v>
      </c>
      <c r="N150" s="20">
        <v>36.121227383523312</v>
      </c>
      <c r="O150" s="20">
        <v>4816</v>
      </c>
      <c r="P150" s="20">
        <v>51.503688827359078</v>
      </c>
      <c r="Q150" s="20">
        <v>8273</v>
      </c>
      <c r="R150" s="20">
        <v>83.219096157387384</v>
      </c>
      <c r="S150" s="20">
        <v>11966</v>
      </c>
      <c r="T150" s="20">
        <v>78.875309270842394</v>
      </c>
      <c r="U150" s="20">
        <v>3460</v>
      </c>
      <c r="V150" s="20">
        <v>54.305095019505657</v>
      </c>
      <c r="W150" s="20">
        <v>16651</v>
      </c>
      <c r="X150" s="20">
        <v>75.628549988103245</v>
      </c>
      <c r="Y150" s="20">
        <v>8294.629065817433</v>
      </c>
      <c r="Z150" s="20">
        <v>0.92003495136018498</v>
      </c>
      <c r="AA150" s="20">
        <v>0.1803485994223232</v>
      </c>
      <c r="AB150" s="20">
        <v>5.1014255409088847</v>
      </c>
      <c r="AC150" s="20">
        <v>3.3710464419895738E-7</v>
      </c>
      <c r="AD150" s="20">
        <v>4.0788782820269279E-4</v>
      </c>
      <c r="AE150" s="20" t="s">
        <v>4077</v>
      </c>
      <c r="AF150" s="20" t="s">
        <v>4078</v>
      </c>
      <c r="AG150" s="20" t="s">
        <v>43</v>
      </c>
      <c r="AH150" s="20" t="s">
        <v>3922</v>
      </c>
      <c r="AI150" s="20" t="s">
        <v>43</v>
      </c>
      <c r="AJ150" s="20" t="s">
        <v>43</v>
      </c>
      <c r="AK150" s="20" t="s">
        <v>43</v>
      </c>
      <c r="AL150" s="20" t="s">
        <v>43</v>
      </c>
      <c r="AM150" s="20" t="s">
        <v>43</v>
      </c>
      <c r="AN150" s="20" t="s">
        <v>3923</v>
      </c>
      <c r="AO150" s="20" t="s">
        <v>43</v>
      </c>
    </row>
    <row r="151" spans="1:41" s="9" customFormat="1" x14ac:dyDescent="0.3">
      <c r="A151" s="20" t="s">
        <v>4464</v>
      </c>
      <c r="B151" s="20">
        <v>695</v>
      </c>
      <c r="C151" s="20" t="str">
        <f>IF(Z151&lt;0, "Down", "Up")</f>
        <v>Up</v>
      </c>
      <c r="D151" s="21" t="str">
        <f>IF(AD151&lt;0.05, "Sig", "N")</f>
        <v>Sig</v>
      </c>
      <c r="E151" s="22" t="str">
        <f>IF(AND(J151&gt;2,L151&gt;2,N151&gt;2,P151&gt;2),"Y","N")</f>
        <v>Y</v>
      </c>
      <c r="F151" s="22" t="str">
        <f>IF(AND(R151&gt;2,T151&gt;2,V151&gt;2,X151&gt;2),"Y","N")</f>
        <v>Y</v>
      </c>
      <c r="G151" s="21" t="str">
        <f>IF(AVERAGE(J151,L151,N151,P151) &gt; AVERAGE(R151,T151,V151,X151), "Smaller", IF(AVERAGE(J151,L151,N151,P151) &lt; AVERAGE(R151,T151,V151,X151), "Larger", "Equal"))</f>
        <v>Larger</v>
      </c>
      <c r="H151" s="22" t="str">
        <f>IF(OR(E151="Y", F151="Y"), "Expressed", "N")</f>
        <v>Expressed</v>
      </c>
      <c r="I151" s="20">
        <v>264</v>
      </c>
      <c r="J151" s="20">
        <v>7.0053428800178947</v>
      </c>
      <c r="K151" s="20">
        <v>249</v>
      </c>
      <c r="L151" s="20">
        <v>3.7030420957191428</v>
      </c>
      <c r="M151" s="20">
        <v>255</v>
      </c>
      <c r="N151" s="20">
        <v>3.4539261798403991</v>
      </c>
      <c r="O151" s="20">
        <v>153</v>
      </c>
      <c r="P151" s="20">
        <v>5.8103679927717264</v>
      </c>
      <c r="Q151" s="20">
        <v>210</v>
      </c>
      <c r="R151" s="20">
        <v>7.5013532200093973</v>
      </c>
      <c r="S151" s="20">
        <v>491</v>
      </c>
      <c r="T151" s="20">
        <v>11.49301357090841</v>
      </c>
      <c r="U151" s="20">
        <v>197</v>
      </c>
      <c r="V151" s="20">
        <v>10.97971471622388</v>
      </c>
      <c r="W151" s="20">
        <v>837</v>
      </c>
      <c r="X151" s="20">
        <v>13.49992207932072</v>
      </c>
      <c r="Y151" s="20">
        <v>325.40608312833331</v>
      </c>
      <c r="Z151" s="20">
        <v>1.254394803989473</v>
      </c>
      <c r="AA151" s="20">
        <v>0.30249612222169148</v>
      </c>
      <c r="AB151" s="20">
        <v>4.1468128410259739</v>
      </c>
      <c r="AC151" s="20">
        <v>3.3713542573368742E-5</v>
      </c>
      <c r="AD151" s="20">
        <v>1.1072146609427279E-2</v>
      </c>
      <c r="AE151" s="20" t="s">
        <v>4465</v>
      </c>
      <c r="AF151" s="20" t="s">
        <v>4466</v>
      </c>
      <c r="AG151" s="20" t="s">
        <v>43</v>
      </c>
      <c r="AH151" s="20" t="s">
        <v>4467</v>
      </c>
      <c r="AI151" s="20" t="s">
        <v>43</v>
      </c>
      <c r="AJ151" s="20" t="s">
        <v>43</v>
      </c>
      <c r="AK151" s="20" t="s">
        <v>43</v>
      </c>
      <c r="AL151" s="20" t="s">
        <v>43</v>
      </c>
      <c r="AM151" s="20" t="s">
        <v>43</v>
      </c>
      <c r="AN151" s="20" t="s">
        <v>2977</v>
      </c>
      <c r="AO151" s="20" t="s">
        <v>43</v>
      </c>
    </row>
    <row r="152" spans="1:41" s="10" customFormat="1" x14ac:dyDescent="0.3">
      <c r="A152" s="10" t="s">
        <v>4079</v>
      </c>
      <c r="B152" s="10">
        <v>2531</v>
      </c>
      <c r="C152" s="10" t="str">
        <f>IF(Z152&lt;0, "Down", "Up")</f>
        <v>Up</v>
      </c>
      <c r="D152" s="11" t="str">
        <f>IF(AD152&lt;0.05, "Sig", "N")</f>
        <v>Sig</v>
      </c>
      <c r="E152" s="12" t="str">
        <f>IF(AND(J152&gt;2,L152&gt;2,N152&gt;2,P152&gt;2),"Y","N")</f>
        <v>N</v>
      </c>
      <c r="F152" s="12" t="str">
        <f>IF(AND(R152&gt;2,T152&gt;2,V152&gt;2,X152&gt;2),"Y","N")</f>
        <v>Y</v>
      </c>
      <c r="G152" s="11" t="str">
        <f>IF(AVERAGE(J152,L152,N152,P152) &gt; AVERAGE(R152,T152,V152,X152), "Smaller", IF(AVERAGE(J152,L152,N152,P152) &lt; AVERAGE(R152,T152,V152,X152), "Larger", "Equal"))</f>
        <v>Larger</v>
      </c>
      <c r="H152" s="12" t="str">
        <f>IF(OR(E152="Y", F152="Y"), "Expressed", "N")</f>
        <v>Expressed</v>
      </c>
      <c r="I152" s="10">
        <v>410</v>
      </c>
      <c r="J152" s="10">
        <v>2.9874592232994188</v>
      </c>
      <c r="K152" s="10">
        <v>555</v>
      </c>
      <c r="L152" s="10">
        <v>2.2664437479213841</v>
      </c>
      <c r="M152" s="10">
        <v>793</v>
      </c>
      <c r="N152" s="10">
        <v>2.949434239161981</v>
      </c>
      <c r="O152" s="10">
        <v>123</v>
      </c>
      <c r="P152" s="10">
        <v>1.282655355583163</v>
      </c>
      <c r="Q152" s="10">
        <v>2510</v>
      </c>
      <c r="R152" s="10">
        <v>24.619923660223499</v>
      </c>
      <c r="S152" s="10">
        <v>5235</v>
      </c>
      <c r="T152" s="10">
        <v>33.648195049713763</v>
      </c>
      <c r="U152" s="10">
        <v>264</v>
      </c>
      <c r="V152" s="10">
        <v>4.0403725903020984</v>
      </c>
      <c r="W152" s="10">
        <v>9170</v>
      </c>
      <c r="X152" s="10">
        <v>40.613255087251581</v>
      </c>
      <c r="Y152" s="10">
        <v>2165.2388285577399</v>
      </c>
      <c r="Z152" s="10">
        <v>3.585534823573191</v>
      </c>
      <c r="AA152" s="10">
        <v>0.69037588114717119</v>
      </c>
      <c r="AB152" s="10">
        <v>5.1935980405561741</v>
      </c>
      <c r="AC152" s="10">
        <v>2.0626823861549921E-7</v>
      </c>
      <c r="AD152" s="10">
        <v>2.7661430249332678E-4</v>
      </c>
      <c r="AE152" s="10" t="s">
        <v>4080</v>
      </c>
      <c r="AF152" s="10" t="s">
        <v>4081</v>
      </c>
      <c r="AG152" s="10" t="s">
        <v>4082</v>
      </c>
      <c r="AH152" s="10" t="s">
        <v>1352</v>
      </c>
      <c r="AI152" s="10" t="s">
        <v>43</v>
      </c>
      <c r="AJ152" s="10" t="s">
        <v>43</v>
      </c>
      <c r="AK152" s="10" t="s">
        <v>43</v>
      </c>
      <c r="AL152" s="10" t="s">
        <v>43</v>
      </c>
      <c r="AM152" s="10" t="s">
        <v>43</v>
      </c>
      <c r="AN152" s="10" t="s">
        <v>414</v>
      </c>
      <c r="AO152" s="10" t="s">
        <v>43</v>
      </c>
    </row>
    <row r="153" spans="1:41" s="9" customFormat="1" x14ac:dyDescent="0.3">
      <c r="A153" s="20" t="s">
        <v>4095</v>
      </c>
      <c r="B153" s="20">
        <v>1279</v>
      </c>
      <c r="C153" s="20" t="str">
        <f>IF(Z153&lt;0, "Down", "Up")</f>
        <v>Up</v>
      </c>
      <c r="D153" s="21" t="str">
        <f>IF(AD153&lt;0.05, "Sig", "N")</f>
        <v>Sig</v>
      </c>
      <c r="E153" s="22" t="str">
        <f>IF(AND(J153&gt;2,L153&gt;2,N153&gt;2,P153&gt;2),"Y","N")</f>
        <v>Y</v>
      </c>
      <c r="F153" s="22" t="str">
        <f>IF(AND(R153&gt;2,T153&gt;2,V153&gt;2,X153&gt;2),"Y","N")</f>
        <v>Y</v>
      </c>
      <c r="G153" s="21" t="str">
        <f>IF(AVERAGE(J153,L153,N153,P153) &gt; AVERAGE(R153,T153,V153,X153), "Smaller", IF(AVERAGE(J153,L153,N153,P153) &lt; AVERAGE(R153,T153,V153,X153), "Larger", "Equal"))</f>
        <v>Larger</v>
      </c>
      <c r="H153" s="22" t="str">
        <f>IF(OR(E153="Y", F153="Y"), "Expressed", "N")</f>
        <v>Expressed</v>
      </c>
      <c r="I153" s="20">
        <v>18136</v>
      </c>
      <c r="J153" s="20">
        <v>261.50574678975983</v>
      </c>
      <c r="K153" s="20">
        <v>35042</v>
      </c>
      <c r="L153" s="20">
        <v>283.17991521093671</v>
      </c>
      <c r="M153" s="20">
        <v>32919</v>
      </c>
      <c r="N153" s="20">
        <v>242.2890375763707</v>
      </c>
      <c r="O153" s="20">
        <v>12007</v>
      </c>
      <c r="P153" s="20">
        <v>247.7769933618535</v>
      </c>
      <c r="Q153" s="20">
        <v>24444</v>
      </c>
      <c r="R153" s="20">
        <v>474.46792243340133</v>
      </c>
      <c r="S153" s="20">
        <v>25380</v>
      </c>
      <c r="T153" s="20">
        <v>322.8184182821841</v>
      </c>
      <c r="U153" s="20">
        <v>10502</v>
      </c>
      <c r="V153" s="20">
        <v>318.06150087552282</v>
      </c>
      <c r="W153" s="20">
        <v>37840</v>
      </c>
      <c r="X153" s="20">
        <v>331.64327228806832</v>
      </c>
      <c r="Y153" s="20">
        <v>22946.154437990859</v>
      </c>
      <c r="Z153" s="20">
        <v>0.60419397414557741</v>
      </c>
      <c r="AA153" s="20">
        <v>0.14998690621331881</v>
      </c>
      <c r="AB153" s="20">
        <v>4.0283114666440456</v>
      </c>
      <c r="AC153" s="20">
        <v>5.617888555710714E-5</v>
      </c>
      <c r="AD153" s="20">
        <v>1.558721923840942E-2</v>
      </c>
      <c r="AE153" s="20" t="s">
        <v>4096</v>
      </c>
      <c r="AF153" s="20" t="s">
        <v>4097</v>
      </c>
      <c r="AG153" s="20" t="s">
        <v>4098</v>
      </c>
      <c r="AH153" s="20" t="s">
        <v>4099</v>
      </c>
      <c r="AI153" s="20" t="s">
        <v>43</v>
      </c>
      <c r="AJ153" s="20" t="s">
        <v>43</v>
      </c>
      <c r="AK153" s="20" t="s">
        <v>43</v>
      </c>
      <c r="AL153" s="20" t="s">
        <v>43</v>
      </c>
      <c r="AM153" s="20" t="s">
        <v>43</v>
      </c>
      <c r="AN153" s="20" t="s">
        <v>75</v>
      </c>
      <c r="AO153" s="20" t="s">
        <v>43</v>
      </c>
    </row>
    <row r="154" spans="1:41" s="9" customFormat="1" x14ac:dyDescent="0.3">
      <c r="A154" s="20" t="s">
        <v>4468</v>
      </c>
      <c r="B154" s="20">
        <v>3035</v>
      </c>
      <c r="C154" s="20" t="str">
        <f>IF(Z154&lt;0, "Down", "Up")</f>
        <v>Up</v>
      </c>
      <c r="D154" s="21" t="str">
        <f>IF(AD154&lt;0.05, "Sig", "N")</f>
        <v>Sig</v>
      </c>
      <c r="E154" s="22" t="str">
        <f>IF(AND(J154&gt;2,L154&gt;2,N154&gt;2,P154&gt;2),"Y","N")</f>
        <v>Y</v>
      </c>
      <c r="F154" s="22" t="str">
        <f>IF(AND(R154&gt;2,T154&gt;2,V154&gt;2,X154&gt;2),"Y","N")</f>
        <v>Y</v>
      </c>
      <c r="G154" s="21" t="str">
        <f>IF(AVERAGE(J154,L154,N154,P154) &gt; AVERAGE(R154,T154,V154,X154), "Smaller", IF(AVERAGE(J154,L154,N154,P154) &lt; AVERAGE(R154,T154,V154,X154), "Larger", "Equal"))</f>
        <v>Larger</v>
      </c>
      <c r="H154" s="22" t="str">
        <f>IF(OR(E154="Y", F154="Y"), "Expressed", "N")</f>
        <v>Expressed</v>
      </c>
      <c r="I154" s="20">
        <v>1250</v>
      </c>
      <c r="J154" s="20">
        <v>7.595591367150349</v>
      </c>
      <c r="K154" s="20">
        <v>2498</v>
      </c>
      <c r="L154" s="20">
        <v>8.5070276662484687</v>
      </c>
      <c r="M154" s="20">
        <v>3020</v>
      </c>
      <c r="N154" s="20">
        <v>9.3671165279155115</v>
      </c>
      <c r="O154" s="20">
        <v>902</v>
      </c>
      <c r="P154" s="20">
        <v>7.8441313025350592</v>
      </c>
      <c r="Q154" s="20">
        <v>1306</v>
      </c>
      <c r="R154" s="20">
        <v>10.682910923677619</v>
      </c>
      <c r="S154" s="20">
        <v>2007</v>
      </c>
      <c r="T154" s="20">
        <v>10.757860517039941</v>
      </c>
      <c r="U154" s="20">
        <v>831</v>
      </c>
      <c r="V154" s="20">
        <v>10.60600830544079</v>
      </c>
      <c r="W154" s="20">
        <v>2366</v>
      </c>
      <c r="X154" s="20">
        <v>8.7386964386311874</v>
      </c>
      <c r="Y154" s="20">
        <v>1620.353526468175</v>
      </c>
      <c r="Z154" s="20">
        <v>0.41594395468440037</v>
      </c>
      <c r="AA154" s="20">
        <v>0.1067120622683278</v>
      </c>
      <c r="AB154" s="20">
        <v>3.8978157280711909</v>
      </c>
      <c r="AC154" s="20">
        <v>9.7064229395014761E-5</v>
      </c>
      <c r="AD154" s="20">
        <v>2.041838054299706E-2</v>
      </c>
      <c r="AE154" s="20" t="s">
        <v>4469</v>
      </c>
      <c r="AF154" s="20" t="s">
        <v>4470</v>
      </c>
      <c r="AG154" s="20" t="s">
        <v>4471</v>
      </c>
      <c r="AH154" s="20" t="s">
        <v>4472</v>
      </c>
      <c r="AI154" s="20" t="s">
        <v>43</v>
      </c>
      <c r="AJ154" s="20" t="s">
        <v>43</v>
      </c>
      <c r="AK154" s="20" t="s">
        <v>43</v>
      </c>
      <c r="AL154" s="20" t="s">
        <v>43</v>
      </c>
      <c r="AM154" s="20" t="s">
        <v>43</v>
      </c>
      <c r="AN154" s="20" t="s">
        <v>4473</v>
      </c>
      <c r="AO154" s="20" t="s">
        <v>214</v>
      </c>
    </row>
    <row r="155" spans="1:41" s="9" customFormat="1" x14ac:dyDescent="0.3">
      <c r="A155" s="20" t="s">
        <v>524</v>
      </c>
      <c r="B155" s="20">
        <v>1547</v>
      </c>
      <c r="C155" s="20" t="str">
        <f>IF(Z155&lt;0, "Down", "Up")</f>
        <v>Up</v>
      </c>
      <c r="D155" s="21" t="str">
        <f>IF(AD155&lt;0.05, "Sig", "N")</f>
        <v>Sig</v>
      </c>
      <c r="E155" s="22" t="str">
        <f>IF(AND(J155&gt;2,L155&gt;2,N155&gt;2,P155&gt;2),"Y","N")</f>
        <v>Y</v>
      </c>
      <c r="F155" s="22" t="str">
        <f>IF(AND(R155&gt;2,T155&gt;2,V155&gt;2,X155&gt;2),"Y","N")</f>
        <v>Y</v>
      </c>
      <c r="G155" s="21" t="str">
        <f>IF(AVERAGE(J155,L155,N155,P155) &gt; AVERAGE(R155,T155,V155,X155), "Smaller", IF(AVERAGE(J155,L155,N155,P155) &lt; AVERAGE(R155,T155,V155,X155), "Larger", "Equal"))</f>
        <v>Larger</v>
      </c>
      <c r="H155" s="22" t="str">
        <f>IF(OR(E155="Y", F155="Y"), "Expressed", "N")</f>
        <v>Expressed</v>
      </c>
      <c r="I155" s="20">
        <v>1020</v>
      </c>
      <c r="J155" s="20">
        <v>12.15962363040069</v>
      </c>
      <c r="K155" s="20">
        <v>2916</v>
      </c>
      <c r="L155" s="20">
        <v>19.482348714901828</v>
      </c>
      <c r="M155" s="20">
        <v>2594</v>
      </c>
      <c r="N155" s="20">
        <v>15.784736389981029</v>
      </c>
      <c r="O155" s="20">
        <v>1270</v>
      </c>
      <c r="P155" s="20">
        <v>21.667580553633069</v>
      </c>
      <c r="Q155" s="20">
        <v>2334</v>
      </c>
      <c r="R155" s="20">
        <v>37.455505583075833</v>
      </c>
      <c r="S155" s="20">
        <v>3234</v>
      </c>
      <c r="T155" s="20">
        <v>34.008457460377109</v>
      </c>
      <c r="U155" s="20">
        <v>877</v>
      </c>
      <c r="V155" s="20">
        <v>21.959321349850871</v>
      </c>
      <c r="W155" s="20">
        <v>5667</v>
      </c>
      <c r="X155" s="20">
        <v>41.063267791856603</v>
      </c>
      <c r="Y155" s="20">
        <v>2301.2174917121488</v>
      </c>
      <c r="Z155" s="20">
        <v>1.111896776708065</v>
      </c>
      <c r="AA155" s="20">
        <v>0.23015400470701139</v>
      </c>
      <c r="AB155" s="20">
        <v>4.8310989770676436</v>
      </c>
      <c r="AC155" s="20">
        <v>1.3578147916597939E-6</v>
      </c>
      <c r="AD155" s="20">
        <v>1.1811153802586611E-3</v>
      </c>
      <c r="AE155" s="20" t="s">
        <v>525</v>
      </c>
      <c r="AF155" s="20" t="s">
        <v>526</v>
      </c>
      <c r="AG155" s="20" t="s">
        <v>527</v>
      </c>
      <c r="AH155" s="20" t="s">
        <v>528</v>
      </c>
      <c r="AI155" s="20" t="s">
        <v>43</v>
      </c>
      <c r="AJ155" s="20" t="s">
        <v>43</v>
      </c>
      <c r="AK155" s="20" t="s">
        <v>43</v>
      </c>
      <c r="AL155" s="20" t="s">
        <v>43</v>
      </c>
      <c r="AM155" s="20" t="s">
        <v>43</v>
      </c>
      <c r="AN155" s="20" t="s">
        <v>529</v>
      </c>
      <c r="AO155" s="20" t="s">
        <v>43</v>
      </c>
    </row>
    <row r="156" spans="1:41" s="9" customFormat="1" x14ac:dyDescent="0.3">
      <c r="A156" s="20" t="s">
        <v>4100</v>
      </c>
      <c r="B156" s="20">
        <v>2416</v>
      </c>
      <c r="C156" s="20" t="str">
        <f>IF(Z156&lt;0, "Down", "Up")</f>
        <v>Up</v>
      </c>
      <c r="D156" s="21" t="str">
        <f>IF(AD156&lt;0.05, "Sig", "N")</f>
        <v>Sig</v>
      </c>
      <c r="E156" s="22" t="str">
        <f>IF(AND(J156&gt;2,L156&gt;2,N156&gt;2,P156&gt;2),"Y","N")</f>
        <v>Y</v>
      </c>
      <c r="F156" s="22" t="str">
        <f>IF(AND(R156&gt;2,T156&gt;2,V156&gt;2,X156&gt;2),"Y","N")</f>
        <v>Y</v>
      </c>
      <c r="G156" s="21" t="str">
        <f>IF(AVERAGE(J156,L156,N156,P156) &gt; AVERAGE(R156,T156,V156,X156), "Smaller", IF(AVERAGE(J156,L156,N156,P156) &lt; AVERAGE(R156,T156,V156,X156), "Larger", "Equal"))</f>
        <v>Larger</v>
      </c>
      <c r="H156" s="22" t="str">
        <f>IF(OR(E156="Y", F156="Y"), "Expressed", "N")</f>
        <v>Expressed</v>
      </c>
      <c r="I156" s="20">
        <v>620</v>
      </c>
      <c r="J156" s="20">
        <v>4.732657044889673</v>
      </c>
      <c r="K156" s="20">
        <v>1352</v>
      </c>
      <c r="L156" s="20">
        <v>5.7839411866365058</v>
      </c>
      <c r="M156" s="20">
        <v>1953</v>
      </c>
      <c r="N156" s="20">
        <v>7.6096203274147296</v>
      </c>
      <c r="O156" s="20">
        <v>709</v>
      </c>
      <c r="P156" s="20">
        <v>7.745443990710708</v>
      </c>
      <c r="Q156" s="20">
        <v>2709</v>
      </c>
      <c r="R156" s="20">
        <v>27.836664856785699</v>
      </c>
      <c r="S156" s="20">
        <v>3441</v>
      </c>
      <c r="T156" s="20">
        <v>23.16994349428758</v>
      </c>
      <c r="U156" s="20">
        <v>543</v>
      </c>
      <c r="V156" s="20">
        <v>8.7058771434559592</v>
      </c>
      <c r="W156" s="20">
        <v>5409</v>
      </c>
      <c r="X156" s="20">
        <v>25.096355626120971</v>
      </c>
      <c r="Y156" s="20">
        <v>1975.514609083247</v>
      </c>
      <c r="Z156" s="20">
        <v>1.8621778304909811</v>
      </c>
      <c r="AA156" s="20">
        <v>0.31022245396461062</v>
      </c>
      <c r="AB156" s="20">
        <v>6.0027177488042618</v>
      </c>
      <c r="AC156" s="20">
        <v>1.940417690501494E-9</v>
      </c>
      <c r="AD156" s="20">
        <v>5.2043619473992166E-6</v>
      </c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s="9" customFormat="1" x14ac:dyDescent="0.3">
      <c r="A157" s="20" t="s">
        <v>4107</v>
      </c>
      <c r="B157" s="20">
        <v>1905</v>
      </c>
      <c r="C157" s="20" t="str">
        <f>IF(Z157&lt;0, "Down", "Up")</f>
        <v>Up</v>
      </c>
      <c r="D157" s="21" t="str">
        <f>IF(AD157&lt;0.05, "Sig", "N")</f>
        <v>Sig</v>
      </c>
      <c r="E157" s="22" t="str">
        <f>IF(AND(J157&gt;2,L157&gt;2,N157&gt;2,P157&gt;2),"Y","N")</f>
        <v>N</v>
      </c>
      <c r="F157" s="22" t="str">
        <f>IF(AND(R157&gt;2,T157&gt;2,V157&gt;2,X157&gt;2),"Y","N")</f>
        <v>Y</v>
      </c>
      <c r="G157" s="21" t="str">
        <f>IF(AVERAGE(J157,L157,N157,P157) &gt; AVERAGE(R157,T157,V157,X157), "Smaller", IF(AVERAGE(J157,L157,N157,P157) &lt; AVERAGE(R157,T157,V157,X157), "Larger", "Equal"))</f>
        <v>Larger</v>
      </c>
      <c r="H157" s="22" t="str">
        <f>IF(OR(E157="Y", F157="Y"), "Expressed", "N")</f>
        <v>Expressed</v>
      </c>
      <c r="I157" s="20">
        <v>169</v>
      </c>
      <c r="J157" s="20">
        <v>1.6360704445488381</v>
      </c>
      <c r="K157" s="20">
        <v>266</v>
      </c>
      <c r="L157" s="20">
        <v>1.4432140999390699</v>
      </c>
      <c r="M157" s="20">
        <v>247</v>
      </c>
      <c r="N157" s="20">
        <v>1.220561448535437</v>
      </c>
      <c r="O157" s="20">
        <v>117</v>
      </c>
      <c r="P157" s="20">
        <v>1.621018212588931</v>
      </c>
      <c r="Q157" s="20">
        <v>1525</v>
      </c>
      <c r="R157" s="20">
        <v>19.87375764043859</v>
      </c>
      <c r="S157" s="20">
        <v>3866</v>
      </c>
      <c r="T157" s="20">
        <v>33.014452665850577</v>
      </c>
      <c r="U157" s="20">
        <v>121</v>
      </c>
      <c r="V157" s="20">
        <v>2.4603677446763061</v>
      </c>
      <c r="W157" s="20">
        <v>6300</v>
      </c>
      <c r="X157" s="20">
        <v>37.071160170403473</v>
      </c>
      <c r="Y157" s="20">
        <v>1432.3965063334319</v>
      </c>
      <c r="Z157" s="20">
        <v>4.1226721564208466</v>
      </c>
      <c r="AA157" s="20">
        <v>0.73182585051867044</v>
      </c>
      <c r="AB157" s="20">
        <v>5.6334060261727092</v>
      </c>
      <c r="AC157" s="20">
        <v>1.7668481350234651E-8</v>
      </c>
      <c r="AD157" s="20">
        <v>3.3450592485723657E-5</v>
      </c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s="9" customFormat="1" x14ac:dyDescent="0.3">
      <c r="A158" s="20" t="s">
        <v>4474</v>
      </c>
      <c r="B158" s="20">
        <v>2212</v>
      </c>
      <c r="C158" s="20" t="str">
        <f>IF(Z158&lt;0, "Down", "Up")</f>
        <v>Up</v>
      </c>
      <c r="D158" s="21" t="str">
        <f>IF(AD158&lt;0.05, "Sig", "N")</f>
        <v>Sig</v>
      </c>
      <c r="E158" s="22" t="str">
        <f>IF(AND(J158&gt;2,L158&gt;2,N158&gt;2,P158&gt;2),"Y","N")</f>
        <v>Y</v>
      </c>
      <c r="F158" s="22" t="str">
        <f>IF(AND(R158&gt;2,T158&gt;2,V158&gt;2,X158&gt;2),"Y","N")</f>
        <v>Y</v>
      </c>
      <c r="G158" s="21" t="str">
        <f>IF(AVERAGE(J158,L158,N158,P158) &gt; AVERAGE(R158,T158,V158,X158), "Smaller", IF(AVERAGE(J158,L158,N158,P158) &lt; AVERAGE(R158,T158,V158,X158), "Larger", "Equal"))</f>
        <v>Larger</v>
      </c>
      <c r="H158" s="22" t="str">
        <f>IF(OR(E158="Y", F158="Y"), "Expressed", "N")</f>
        <v>Expressed</v>
      </c>
      <c r="I158" s="20">
        <v>1826</v>
      </c>
      <c r="J158" s="20">
        <v>15.22390009169048</v>
      </c>
      <c r="K158" s="20">
        <v>3215</v>
      </c>
      <c r="L158" s="20">
        <v>15.022422120175539</v>
      </c>
      <c r="M158" s="20">
        <v>2801</v>
      </c>
      <c r="N158" s="20">
        <v>11.920258172294441</v>
      </c>
      <c r="O158" s="20">
        <v>1063</v>
      </c>
      <c r="P158" s="20">
        <v>12.68367643377141</v>
      </c>
      <c r="Q158" s="20">
        <v>1799</v>
      </c>
      <c r="R158" s="20">
        <v>20.19069025605754</v>
      </c>
      <c r="S158" s="20">
        <v>3046</v>
      </c>
      <c r="T158" s="20">
        <v>22.401753202496629</v>
      </c>
      <c r="U158" s="20">
        <v>940</v>
      </c>
      <c r="V158" s="20">
        <v>16.460854095586289</v>
      </c>
      <c r="W158" s="20">
        <v>3924</v>
      </c>
      <c r="X158" s="20">
        <v>19.885407010032111</v>
      </c>
      <c r="Y158" s="20">
        <v>2151.9574189832229</v>
      </c>
      <c r="Z158" s="20">
        <v>0.65267960565228622</v>
      </c>
      <c r="AA158" s="20">
        <v>0.16773062877223729</v>
      </c>
      <c r="AB158" s="20">
        <v>3.891236862520588</v>
      </c>
      <c r="AC158" s="20">
        <v>9.973451187568724E-5</v>
      </c>
      <c r="AD158" s="20">
        <v>2.0843865355318139E-2</v>
      </c>
      <c r="AE158" s="20" t="s">
        <v>4475</v>
      </c>
      <c r="AF158" s="20" t="s">
        <v>4476</v>
      </c>
      <c r="AG158" s="20" t="s">
        <v>4477</v>
      </c>
      <c r="AH158" s="20" t="s">
        <v>4478</v>
      </c>
      <c r="AI158" s="20" t="s">
        <v>43</v>
      </c>
      <c r="AJ158" s="20" t="s">
        <v>43</v>
      </c>
      <c r="AK158" s="20" t="s">
        <v>43</v>
      </c>
      <c r="AL158" s="20" t="s">
        <v>43</v>
      </c>
      <c r="AM158" s="20" t="s">
        <v>43</v>
      </c>
      <c r="AN158" s="20" t="s">
        <v>4479</v>
      </c>
      <c r="AO158" s="20" t="s">
        <v>43</v>
      </c>
    </row>
    <row r="159" spans="1:41" s="9" customFormat="1" x14ac:dyDescent="0.3">
      <c r="A159" s="20" t="s">
        <v>2943</v>
      </c>
      <c r="B159" s="20">
        <v>336</v>
      </c>
      <c r="C159" s="20" t="str">
        <f>IF(Z159&lt;0, "Down", "Up")</f>
        <v>Up</v>
      </c>
      <c r="D159" s="21" t="str">
        <f>IF(AD159&lt;0.05, "Sig", "N")</f>
        <v>Sig</v>
      </c>
      <c r="E159" s="22" t="str">
        <f>IF(AND(J159&gt;2,L159&gt;2,N159&gt;2,P159&gt;2),"Y","N")</f>
        <v>Y</v>
      </c>
      <c r="F159" s="22" t="str">
        <f>IF(AND(R159&gt;2,T159&gt;2,V159&gt;2,X159&gt;2),"Y","N")</f>
        <v>Y</v>
      </c>
      <c r="G159" s="21" t="str">
        <f>IF(AVERAGE(J159,L159,N159,P159) &gt; AVERAGE(R159,T159,V159,X159), "Smaller", IF(AVERAGE(J159,L159,N159,P159) &lt; AVERAGE(R159,T159,V159,X159), "Larger", "Equal"))</f>
        <v>Larger</v>
      </c>
      <c r="H159" s="22" t="str">
        <f>IF(OR(E159="Y", F159="Y"), "Expressed", "N")</f>
        <v>Expressed</v>
      </c>
      <c r="I159" s="20">
        <v>125</v>
      </c>
      <c r="J159" s="20">
        <v>6.8608987497920566</v>
      </c>
      <c r="K159" s="20">
        <v>302</v>
      </c>
      <c r="L159" s="20">
        <v>9.289915680226752</v>
      </c>
      <c r="M159" s="20">
        <v>305</v>
      </c>
      <c r="N159" s="20">
        <v>8.5451214048980919</v>
      </c>
      <c r="O159" s="20">
        <v>121</v>
      </c>
      <c r="P159" s="20">
        <v>9.504802683476079</v>
      </c>
      <c r="Q159" s="20">
        <v>112</v>
      </c>
      <c r="R159" s="20">
        <v>8.275302361756399</v>
      </c>
      <c r="S159" s="20">
        <v>235</v>
      </c>
      <c r="T159" s="20">
        <v>11.37799705089598</v>
      </c>
      <c r="U159" s="20">
        <v>542</v>
      </c>
      <c r="V159" s="20">
        <v>62.4841179667388</v>
      </c>
      <c r="W159" s="20">
        <v>309</v>
      </c>
      <c r="X159" s="20">
        <v>10.308840267624319</v>
      </c>
      <c r="Y159" s="20">
        <v>306.35009352948663</v>
      </c>
      <c r="Z159" s="20">
        <v>1.5325741238996169</v>
      </c>
      <c r="AA159" s="20">
        <v>0.68334847153188549</v>
      </c>
      <c r="AB159" s="20">
        <v>2.2427417163368988</v>
      </c>
      <c r="AC159" s="20"/>
      <c r="AD159" s="20"/>
      <c r="AE159" s="20" t="s">
        <v>2944</v>
      </c>
      <c r="AF159" s="20" t="s">
        <v>2945</v>
      </c>
      <c r="AG159" s="20" t="s">
        <v>43</v>
      </c>
      <c r="AH159" s="20" t="s">
        <v>2946</v>
      </c>
      <c r="AI159" s="20" t="s">
        <v>43</v>
      </c>
      <c r="AJ159" s="20" t="s">
        <v>43</v>
      </c>
      <c r="AK159" s="20" t="s">
        <v>43</v>
      </c>
      <c r="AL159" s="20" t="s">
        <v>43</v>
      </c>
      <c r="AM159" s="20" t="s">
        <v>43</v>
      </c>
      <c r="AN159" s="20" t="s">
        <v>2947</v>
      </c>
      <c r="AO159" s="20" t="s">
        <v>43</v>
      </c>
    </row>
    <row r="160" spans="1:41" s="9" customFormat="1" x14ac:dyDescent="0.3">
      <c r="A160" s="20" t="s">
        <v>530</v>
      </c>
      <c r="B160" s="20">
        <v>1328</v>
      </c>
      <c r="C160" s="20" t="str">
        <f>IF(Z160&lt;0, "Down", "Up")</f>
        <v>Up</v>
      </c>
      <c r="D160" s="21" t="str">
        <f>IF(AD160&lt;0.05, "Sig", "N")</f>
        <v>Sig</v>
      </c>
      <c r="E160" s="22" t="str">
        <f>IF(AND(J160&gt;2,L160&gt;2,N160&gt;2,P160&gt;2),"Y","N")</f>
        <v>Y</v>
      </c>
      <c r="F160" s="22" t="str">
        <f>IF(AND(R160&gt;2,T160&gt;2,V160&gt;2,X160&gt;2),"Y","N")</f>
        <v>Y</v>
      </c>
      <c r="G160" s="21" t="str">
        <f>IF(AVERAGE(J160,L160,N160,P160) &gt; AVERAGE(R160,T160,V160,X160), "Smaller", IF(AVERAGE(J160,L160,N160,P160) &lt; AVERAGE(R160,T160,V160,X160), "Larger", "Equal"))</f>
        <v>Larger</v>
      </c>
      <c r="H160" s="22" t="str">
        <f>IF(OR(E160="Y", F160="Y"), "Expressed", "N")</f>
        <v>Expressed</v>
      </c>
      <c r="I160" s="20">
        <v>5763</v>
      </c>
      <c r="J160" s="20">
        <v>80.03147464058641</v>
      </c>
      <c r="K160" s="20">
        <v>13518</v>
      </c>
      <c r="L160" s="20">
        <v>105.2103520095512</v>
      </c>
      <c r="M160" s="20">
        <v>12747</v>
      </c>
      <c r="N160" s="20">
        <v>90.358203180444619</v>
      </c>
      <c r="O160" s="20">
        <v>6070</v>
      </c>
      <c r="P160" s="20">
        <v>120.63897222569911</v>
      </c>
      <c r="Q160" s="20">
        <v>10778</v>
      </c>
      <c r="R160" s="20">
        <v>201.48616458210199</v>
      </c>
      <c r="S160" s="20">
        <v>11418</v>
      </c>
      <c r="T160" s="20">
        <v>139.87148817583889</v>
      </c>
      <c r="U160" s="20">
        <v>4024</v>
      </c>
      <c r="V160" s="20">
        <v>117.37335848177869</v>
      </c>
      <c r="W160" s="20">
        <v>16020</v>
      </c>
      <c r="X160" s="20">
        <v>135.2243943866406</v>
      </c>
      <c r="Y160" s="20">
        <v>9500.2657885226035</v>
      </c>
      <c r="Z160" s="20">
        <v>0.71459257268730159</v>
      </c>
      <c r="AA160" s="20">
        <v>0.18028314668755149</v>
      </c>
      <c r="AB160" s="20">
        <v>3.9637236525816868</v>
      </c>
      <c r="AC160" s="20">
        <v>7.3789667202781313E-5</v>
      </c>
      <c r="AD160" s="20">
        <v>1.769425000386185E-2</v>
      </c>
      <c r="AE160" s="20" t="s">
        <v>531</v>
      </c>
      <c r="AF160" s="20" t="s">
        <v>532</v>
      </c>
      <c r="AG160" s="20" t="s">
        <v>533</v>
      </c>
      <c r="AH160" s="20" t="s">
        <v>534</v>
      </c>
      <c r="AI160" s="20" t="s">
        <v>43</v>
      </c>
      <c r="AJ160" s="20" t="s">
        <v>43</v>
      </c>
      <c r="AK160" s="20" t="s">
        <v>43</v>
      </c>
      <c r="AL160" s="20" t="s">
        <v>43</v>
      </c>
      <c r="AM160" s="20" t="s">
        <v>43</v>
      </c>
      <c r="AN160" s="20" t="s">
        <v>535</v>
      </c>
      <c r="AO160" s="20" t="s">
        <v>43</v>
      </c>
    </row>
    <row r="161" spans="1:41" s="9" customFormat="1" x14ac:dyDescent="0.3">
      <c r="A161" s="20" t="s">
        <v>4480</v>
      </c>
      <c r="B161" s="20">
        <v>1956</v>
      </c>
      <c r="C161" s="20" t="str">
        <f>IF(Z161&lt;0, "Down", "Up")</f>
        <v>Up</v>
      </c>
      <c r="D161" s="21" t="str">
        <f>IF(AD161&lt;0.05, "Sig", "N")</f>
        <v>Sig</v>
      </c>
      <c r="E161" s="22" t="str">
        <f>IF(AND(J161&gt;2,L161&gt;2,N161&gt;2,P161&gt;2),"Y","N")</f>
        <v>Y</v>
      </c>
      <c r="F161" s="22" t="str">
        <f>IF(AND(R161&gt;2,T161&gt;2,V161&gt;2,X161&gt;2),"Y","N")</f>
        <v>Y</v>
      </c>
      <c r="G161" s="21" t="str">
        <f>IF(AVERAGE(J161,L161,N161,P161) &gt; AVERAGE(R161,T161,V161,X161), "Smaller", IF(AVERAGE(J161,L161,N161,P161) &lt; AVERAGE(R161,T161,V161,X161), "Larger", "Equal"))</f>
        <v>Larger</v>
      </c>
      <c r="H161" s="22" t="str">
        <f>IF(OR(E161="Y", F161="Y"), "Expressed", "N")</f>
        <v>Expressed</v>
      </c>
      <c r="I161" s="20">
        <v>2012</v>
      </c>
      <c r="J161" s="20">
        <v>18.970090403351421</v>
      </c>
      <c r="K161" s="20">
        <v>4386</v>
      </c>
      <c r="L161" s="20">
        <v>23.176288239086809</v>
      </c>
      <c r="M161" s="20">
        <v>4601</v>
      </c>
      <c r="N161" s="20">
        <v>22.14323444333121</v>
      </c>
      <c r="O161" s="20">
        <v>1507</v>
      </c>
      <c r="P161" s="20">
        <v>20.334870660242188</v>
      </c>
      <c r="Q161" s="20">
        <v>2001</v>
      </c>
      <c r="R161" s="20">
        <v>25.397055254408819</v>
      </c>
      <c r="S161" s="20">
        <v>2914</v>
      </c>
      <c r="T161" s="20">
        <v>24.235831755037339</v>
      </c>
      <c r="U161" s="20">
        <v>1270</v>
      </c>
      <c r="V161" s="20">
        <v>25.150377322088509</v>
      </c>
      <c r="W161" s="20">
        <v>4098</v>
      </c>
      <c r="X161" s="20">
        <v>23.485170204067831</v>
      </c>
      <c r="Y161" s="20">
        <v>2576.4786137503602</v>
      </c>
      <c r="Z161" s="20">
        <v>0.3442310072716096</v>
      </c>
      <c r="AA161" s="20">
        <v>8.5640003617862823E-2</v>
      </c>
      <c r="AB161" s="20">
        <v>4.0195118254269877</v>
      </c>
      <c r="AC161" s="20">
        <v>5.8318854728550062E-5</v>
      </c>
      <c r="AD161" s="20">
        <v>1.5773044869230111E-2</v>
      </c>
      <c r="AE161" s="20" t="s">
        <v>4481</v>
      </c>
      <c r="AF161" s="20" t="s">
        <v>4482</v>
      </c>
      <c r="AG161" s="20" t="s">
        <v>4483</v>
      </c>
      <c r="AH161" s="20" t="s">
        <v>4484</v>
      </c>
      <c r="AI161" s="20" t="s">
        <v>43</v>
      </c>
      <c r="AJ161" s="20" t="s">
        <v>43</v>
      </c>
      <c r="AK161" s="20" t="s">
        <v>43</v>
      </c>
      <c r="AL161" s="20" t="s">
        <v>43</v>
      </c>
      <c r="AM161" s="20" t="s">
        <v>43</v>
      </c>
      <c r="AN161" s="20" t="s">
        <v>4485</v>
      </c>
      <c r="AO161" s="20" t="s">
        <v>43</v>
      </c>
    </row>
    <row r="162" spans="1:41" s="9" customFormat="1" x14ac:dyDescent="0.3">
      <c r="A162" s="20" t="s">
        <v>4486</v>
      </c>
      <c r="B162" s="20">
        <v>3087</v>
      </c>
      <c r="C162" s="20" t="str">
        <f>IF(Z162&lt;0, "Down", "Up")</f>
        <v>Up</v>
      </c>
      <c r="D162" s="21" t="str">
        <f>IF(AD162&lt;0.05, "Sig", "N")</f>
        <v>Sig</v>
      </c>
      <c r="E162" s="22" t="str">
        <f>IF(AND(J162&gt;2,L162&gt;2,N162&gt;2,P162&gt;2),"Y","N")</f>
        <v>Y</v>
      </c>
      <c r="F162" s="22" t="str">
        <f>IF(AND(R162&gt;2,T162&gt;2,V162&gt;2,X162&gt;2),"Y","N")</f>
        <v>Y</v>
      </c>
      <c r="G162" s="21" t="str">
        <f>IF(AVERAGE(J162,L162,N162,P162) &gt; AVERAGE(R162,T162,V162,X162), "Smaller", IF(AVERAGE(J162,L162,N162,P162) &lt; AVERAGE(R162,T162,V162,X162), "Larger", "Equal"))</f>
        <v>Larger</v>
      </c>
      <c r="H162" s="22" t="str">
        <f>IF(OR(E162="Y", F162="Y"), "Expressed", "N")</f>
        <v>Expressed</v>
      </c>
      <c r="I162" s="20">
        <v>24449</v>
      </c>
      <c r="J162" s="20">
        <v>146.06116008373641</v>
      </c>
      <c r="K162" s="20">
        <v>40816</v>
      </c>
      <c r="L162" s="20">
        <v>136.65889927616709</v>
      </c>
      <c r="M162" s="20">
        <v>50214</v>
      </c>
      <c r="N162" s="20">
        <v>153.12491623974219</v>
      </c>
      <c r="O162" s="20">
        <v>16341</v>
      </c>
      <c r="P162" s="20">
        <v>139.71370610057471</v>
      </c>
      <c r="Q162" s="20">
        <v>21480</v>
      </c>
      <c r="R162" s="20">
        <v>172.74392102092071</v>
      </c>
      <c r="S162" s="20">
        <v>36322</v>
      </c>
      <c r="T162" s="20">
        <v>191.41252691047339</v>
      </c>
      <c r="U162" s="20">
        <v>13695</v>
      </c>
      <c r="V162" s="20">
        <v>171.84426448868899</v>
      </c>
      <c r="W162" s="20">
        <v>48330</v>
      </c>
      <c r="X162" s="20">
        <v>175.49743526734321</v>
      </c>
      <c r="Y162" s="20">
        <v>28738.295902522121</v>
      </c>
      <c r="Z162" s="20">
        <v>0.43366364151710929</v>
      </c>
      <c r="AA162" s="20">
        <v>0.1127844444723987</v>
      </c>
      <c r="AB162" s="20">
        <v>3.8450660775585761</v>
      </c>
      <c r="AC162" s="20">
        <v>1.205199575766905E-4</v>
      </c>
      <c r="AD162" s="20">
        <v>2.379714622457536E-2</v>
      </c>
      <c r="AE162" s="20" t="s">
        <v>4487</v>
      </c>
      <c r="AF162" s="20" t="s">
        <v>4488</v>
      </c>
      <c r="AG162" s="20" t="s">
        <v>4489</v>
      </c>
      <c r="AH162" s="20" t="s">
        <v>4490</v>
      </c>
      <c r="AI162" s="20" t="s">
        <v>43</v>
      </c>
      <c r="AJ162" s="20" t="s">
        <v>43</v>
      </c>
      <c r="AK162" s="20" t="s">
        <v>43</v>
      </c>
      <c r="AL162" s="20" t="s">
        <v>43</v>
      </c>
      <c r="AM162" s="20" t="s">
        <v>43</v>
      </c>
      <c r="AN162" s="20" t="s">
        <v>4491</v>
      </c>
      <c r="AO162" s="20" t="s">
        <v>43</v>
      </c>
    </row>
    <row r="163" spans="1:41" s="20" customFormat="1" x14ac:dyDescent="0.3">
      <c r="A163" s="20" t="s">
        <v>4739</v>
      </c>
      <c r="B163" s="20">
        <v>2721</v>
      </c>
      <c r="C163" s="20" t="str">
        <f>IF(Z163&lt;0, "Down", "Up")</f>
        <v>Up</v>
      </c>
      <c r="D163" s="21" t="str">
        <f>IF(AD163&lt;0.05, "Sig", "N")</f>
        <v>Sig</v>
      </c>
      <c r="E163" s="22" t="str">
        <f>IF(AND(J163&gt;2,L163&gt;2,N163&gt;2,P163&gt;2),"Y","N")</f>
        <v>Y</v>
      </c>
      <c r="F163" s="22" t="str">
        <f>IF(AND(R163&gt;2,T163&gt;2,V163&gt;2,X163&gt;2),"Y","N")</f>
        <v>Y</v>
      </c>
      <c r="G163" s="21" t="str">
        <f>IF(AVERAGE(J163,L163,N163,P163) &gt; AVERAGE(R163,T163,V163,X163), "Smaller", IF(AVERAGE(J163,L163,N163,P163) &lt; AVERAGE(R163,T163,V163,X163), "Larger", "Equal"))</f>
        <v>Smaller</v>
      </c>
      <c r="H163" s="22" t="str">
        <f>IF(OR(E163="Y", F163="Y"), "Expressed", "N")</f>
        <v>Expressed</v>
      </c>
      <c r="I163" s="20">
        <v>27280</v>
      </c>
      <c r="J163" s="20">
        <v>184.89539672912599</v>
      </c>
      <c r="K163" s="20">
        <v>3311</v>
      </c>
      <c r="L163" s="20">
        <v>12.576932948041531</v>
      </c>
      <c r="M163" s="20">
        <v>2386</v>
      </c>
      <c r="N163" s="20">
        <v>8.2546672809793655</v>
      </c>
      <c r="O163" s="20">
        <v>1637</v>
      </c>
      <c r="P163" s="20">
        <v>15.87878067919158</v>
      </c>
      <c r="Q163" s="20">
        <v>4060</v>
      </c>
      <c r="R163" s="20">
        <v>37.042698554278907</v>
      </c>
      <c r="S163" s="20">
        <v>5932</v>
      </c>
      <c r="T163" s="20">
        <v>35.46580587235205</v>
      </c>
      <c r="U163" s="20">
        <v>2397</v>
      </c>
      <c r="V163" s="20">
        <v>34.123150904654167</v>
      </c>
      <c r="W163" s="20">
        <v>26039</v>
      </c>
      <c r="X163" s="20">
        <v>107.2719976365449</v>
      </c>
      <c r="Y163" s="20">
        <v>8916.7002323630277</v>
      </c>
      <c r="Z163" s="20">
        <v>1.023710823934953E-2</v>
      </c>
      <c r="AA163" s="20">
        <v>1.1730072986129809</v>
      </c>
      <c r="AB163" s="20">
        <v>8.7272331991918271E-3</v>
      </c>
      <c r="AE163" s="20" t="s">
        <v>4740</v>
      </c>
      <c r="AF163" s="20" t="s">
        <v>4741</v>
      </c>
      <c r="AG163" s="20" t="s">
        <v>4742</v>
      </c>
      <c r="AH163" s="20" t="s">
        <v>4743</v>
      </c>
      <c r="AI163" s="20" t="s">
        <v>43</v>
      </c>
      <c r="AJ163" s="20" t="s">
        <v>43</v>
      </c>
      <c r="AK163" s="20" t="s">
        <v>43</v>
      </c>
      <c r="AL163" s="20" t="s">
        <v>43</v>
      </c>
      <c r="AM163" s="20" t="s">
        <v>43</v>
      </c>
      <c r="AN163" s="20" t="s">
        <v>4744</v>
      </c>
      <c r="AO163" s="20" t="s">
        <v>43</v>
      </c>
    </row>
  </sheetData>
  <sortState xmlns:xlrd2="http://schemas.microsoft.com/office/spreadsheetml/2017/richdata2" ref="A2:AO163">
    <sortCondition ref="C2:C1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2023 V10</vt:lpstr>
      <vt:lpstr>2022 V10</vt:lpstr>
      <vt:lpstr>2022 V6</vt:lpstr>
      <vt:lpstr>2023 V6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Brugler, Skye</dc:creator>
  <cp:lastModifiedBy>Brugler, Skye</cp:lastModifiedBy>
  <dcterms:created xsi:type="dcterms:W3CDTF">2025-12-09T14:27:38Z</dcterms:created>
  <dcterms:modified xsi:type="dcterms:W3CDTF">2025-12-09T14:39:23Z</dcterms:modified>
</cp:coreProperties>
</file>